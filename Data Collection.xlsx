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onditions" sheetId="1" state="visible" r:id="rId3"/>
    <sheet name="Original Comparison" sheetId="2" state="visible" r:id="rId4"/>
    <sheet name="Failure Matrix" sheetId="3" state="visible" r:id="rId5"/>
    <sheet name="Repeats" sheetId="4" state="visible" r:id="rId6"/>
    <sheet name="Representative" sheetId="5" state="visible" r:id="rId7"/>
    <sheet name="Statistical Analysis" sheetId="6" state="visible" r:id="rId8"/>
    <sheet name="Sensitivity Analysis" sheetId="7" state="visible" r:id="rId9"/>
    <sheet name="New Comparison" sheetId="8" state="visible" r:id="rId10"/>
    <sheet name="Computation Times" sheetId="9" state="visible" r:id="rId11"/>
    <sheet name="t values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<sst xmlns="http://schemas.openxmlformats.org/spreadsheetml/2006/main" count="2421" uniqueCount="120">
  <si>
    <t xml:space="preserve">Seed</t>
  </si>
  <si>
    <t xml:space="preserve">Coverage</t>
  </si>
  <si>
    <t xml:space="preserve">Symmetry</t>
  </si>
  <si>
    <t xml:space="preserve">Granul.</t>
  </si>
  <si>
    <t xml:space="preserve">Samples</t>
  </si>
  <si>
    <t xml:space="preserve">Support Qty</t>
  </si>
  <si>
    <t xml:space="preserve">Complete</t>
  </si>
  <si>
    <t xml:space="preserve">Yes</t>
  </si>
  <si>
    <t xml:space="preserve">vfine</t>
  </si>
  <si>
    <t xml:space="preserve">Partial</t>
  </si>
  <si>
    <t xml:space="preserve">No</t>
  </si>
  <si>
    <t xml:space="preserve">regular</t>
  </si>
  <si>
    <t xml:space="preserve">Finished</t>
  </si>
  <si>
    <t xml:space="preserve">Needs Slicing</t>
  </si>
  <si>
    <t xml:space="preserve">Slicing</t>
  </si>
  <si>
    <t xml:space="preserve">Running</t>
  </si>
  <si>
    <t xml:space="preserve">Pending</t>
  </si>
  <si>
    <t xml:space="preserve">Parallelobox</t>
  </si>
  <si>
    <t xml:space="preserve">Symmetry-Based Decomposition</t>
  </si>
  <si>
    <t xml:space="preserve">Harpe</t>
  </si>
  <si>
    <t xml:space="preserve">Cube Skeleton Based Decomposition</t>
  </si>
  <si>
    <t xml:space="preserve">Model</t>
  </si>
  <si>
    <t xml:space="preserve"># Printers</t>
  </si>
  <si>
    <r>
      <rPr>
        <b val="true"/>
        <sz val="10"/>
        <rFont val="Noto Sans"/>
        <family val="2"/>
      </rPr>
      <t xml:space="preserve">Parallel Time
</t>
    </r>
    <r>
      <rPr>
        <b val="true"/>
        <i val="true"/>
        <sz val="10"/>
        <rFont val="Noto Sans"/>
        <family val="2"/>
      </rPr>
      <t xml:space="preserve">(seconds)</t>
    </r>
  </si>
  <si>
    <r>
      <rPr>
        <b val="true"/>
        <sz val="10"/>
        <rFont val="Noto Sans"/>
        <family val="2"/>
      </rPr>
      <t xml:space="preserve">Parallel Time
</t>
    </r>
    <r>
      <rPr>
        <b val="true"/>
        <i val="true"/>
        <sz val="10"/>
        <rFont val="Noto Sans"/>
        <family val="2"/>
      </rPr>
      <t xml:space="preserve">(mins)</t>
    </r>
  </si>
  <si>
    <r>
      <rPr>
        <b val="true"/>
        <sz val="10"/>
        <rFont val="Noto Sans"/>
        <family val="2"/>
      </rPr>
      <t xml:space="preserve">Parallel Time 
</t>
    </r>
    <r>
      <rPr>
        <b val="true"/>
        <i val="true"/>
        <sz val="10"/>
        <rFont val="Noto Sans"/>
        <family val="2"/>
      </rPr>
      <t xml:space="preserve">(seconds)</t>
    </r>
  </si>
  <si>
    <t xml:space="preserve">Parallelobox
Improvement</t>
  </si>
  <si>
    <t xml:space="preserve"># Parts</t>
  </si>
  <si>
    <t xml:space="preserve">Symmetry
Vs Harpe</t>
  </si>
  <si>
    <r>
      <rPr>
        <b val="true"/>
        <sz val="10"/>
        <rFont val="Noto Sans"/>
        <family val="2"/>
      </rPr>
      <t xml:space="preserve">Parallelobox
</t>
    </r>
    <r>
      <rPr>
        <b val="true"/>
        <i val="true"/>
        <sz val="10"/>
        <rFont val="Noto Sans"/>
        <family val="2"/>
      </rPr>
      <t xml:space="preserve">(weaker)</t>
    </r>
  </si>
  <si>
    <r>
      <rPr>
        <b val="true"/>
        <sz val="10"/>
        <rFont val="Noto Sans"/>
        <family val="2"/>
      </rPr>
      <t xml:space="preserve">Parallelobox
</t>
    </r>
    <r>
      <rPr>
        <b val="true"/>
        <i val="true"/>
        <sz val="10"/>
        <rFont val="Noto Sans"/>
        <family val="2"/>
      </rPr>
      <t xml:space="preserve">(stronger)</t>
    </r>
  </si>
  <si>
    <t xml:space="preserve">1053374 (25x)</t>
  </si>
  <si>
    <t xml:space="preserve">41084 (10x)</t>
  </si>
  <si>
    <t xml:space="preserve">500094 (10x)</t>
  </si>
  <si>
    <t xml:space="preserve">51329 (4x)</t>
  </si>
  <si>
    <t xml:space="preserve">Fail</t>
  </si>
  <si>
    <t xml:space="preserve">51329 (5x)</t>
  </si>
  <si>
    <t xml:space="preserve">77951 (5x)</t>
  </si>
  <si>
    <t xml:space="preserve">78224 (5x)</t>
  </si>
  <si>
    <t xml:space="preserve">797990 (5x)</t>
  </si>
  <si>
    <t xml:space="preserve">N/A</t>
  </si>
  <si>
    <t xml:space="preserve">96457 (2x)</t>
  </si>
  <si>
    <t xml:space="preserve">96457 (4x)</t>
  </si>
  <si>
    <t xml:space="preserve">3DBenchy (50cm)</t>
  </si>
  <si>
    <t xml:space="preserve">3DBenchy (70cm)</t>
  </si>
  <si>
    <t xml:space="preserve">Brain Left (4x)</t>
  </si>
  <si>
    <t xml:space="preserve">Large Building </t>
  </si>
  <si>
    <t xml:space="preserve">Large Building (2x)</t>
  </si>
  <si>
    <t xml:space="preserve">Snail (50cm)</t>
  </si>
  <si>
    <t xml:space="preserve">Stanford Bunny (2x) </t>
  </si>
  <si>
    <t xml:space="preserve">Utah Teapot </t>
  </si>
  <si>
    <t xml:space="preserve">vs Symmetry</t>
  </si>
  <si>
    <t xml:space="preserve">vs Harpe</t>
  </si>
  <si>
    <t xml:space="preserve">Printer Quantity</t>
  </si>
  <si>
    <t xml:space="preserve">Strange Washer</t>
  </si>
  <si>
    <t xml:space="preserve">Mini Refinery</t>
  </si>
  <si>
    <t xml:space="preserve">Sparse Lattice</t>
  </si>
  <si>
    <r>
      <rPr>
        <sz val="12"/>
        <rFont val="Arial"/>
        <family val="2"/>
      </rPr>
      <t xml:space="preserve">Unusual Vase </t>
    </r>
    <r>
      <rPr>
        <i val="true"/>
        <sz val="12"/>
        <rFont val="Arial"/>
        <family val="2"/>
      </rPr>
      <t xml:space="preserve">(4x)</t>
    </r>
  </si>
  <si>
    <r>
      <rPr>
        <sz val="12"/>
        <rFont val="Arial"/>
        <family val="2"/>
      </rPr>
      <t xml:space="preserve">Unusual Vase </t>
    </r>
    <r>
      <rPr>
        <i val="true"/>
        <sz val="12"/>
        <rFont val="Arial"/>
        <family val="2"/>
      </rPr>
      <t xml:space="preserve">(5x)</t>
    </r>
  </si>
  <si>
    <t xml:space="preserve">Side Plate</t>
  </si>
  <si>
    <t xml:space="preserve">Hole Pipe</t>
  </si>
  <si>
    <t xml:space="preserve">Trousers</t>
  </si>
  <si>
    <r>
      <rPr>
        <sz val="12"/>
        <rFont val="Arial"/>
        <family val="2"/>
      </rPr>
      <t xml:space="preserve">Nighthawk </t>
    </r>
    <r>
      <rPr>
        <i val="true"/>
        <sz val="12"/>
        <rFont val="Arial"/>
        <family val="2"/>
      </rPr>
      <t xml:space="preserve">(2x)</t>
    </r>
  </si>
  <si>
    <r>
      <rPr>
        <sz val="12"/>
        <rFont val="Arial"/>
        <family val="2"/>
      </rPr>
      <t xml:space="preserve">Nighthawk </t>
    </r>
    <r>
      <rPr>
        <i val="true"/>
        <sz val="12"/>
        <rFont val="Arial"/>
        <family val="2"/>
      </rPr>
      <t xml:space="preserve">(4x)</t>
    </r>
  </si>
  <si>
    <r>
      <rPr>
        <sz val="12"/>
        <rFont val="Arial"/>
        <family val="2"/>
      </rPr>
      <t xml:space="preserve">3DBenchy </t>
    </r>
    <r>
      <rPr>
        <i val="true"/>
        <sz val="12"/>
        <rFont val="Arial"/>
        <family val="2"/>
      </rPr>
      <t xml:space="preserve">(50cm)</t>
    </r>
  </si>
  <si>
    <r>
      <rPr>
        <sz val="12"/>
        <rFont val="Arial"/>
        <family val="2"/>
      </rPr>
      <t xml:space="preserve">3DBenchy </t>
    </r>
    <r>
      <rPr>
        <i val="true"/>
        <sz val="12"/>
        <rFont val="Arial"/>
        <family val="2"/>
      </rPr>
      <t xml:space="preserve">(70cm)</t>
    </r>
  </si>
  <si>
    <r>
      <rPr>
        <sz val="12"/>
        <rFont val="Arial"/>
        <family val="2"/>
      </rPr>
      <t xml:space="preserve">Brain Left </t>
    </r>
    <r>
      <rPr>
        <i val="true"/>
        <sz val="12"/>
        <rFont val="Arial"/>
        <family val="2"/>
      </rPr>
      <t xml:space="preserve">(4x)</t>
    </r>
  </si>
  <si>
    <r>
      <rPr>
        <sz val="12"/>
        <rFont val="Arial"/>
        <family val="2"/>
      </rPr>
      <t xml:space="preserve">Large Building </t>
    </r>
    <r>
      <rPr>
        <i val="true"/>
        <sz val="12"/>
        <rFont val="Arial"/>
        <family val="2"/>
      </rPr>
      <t xml:space="preserve">(2x)</t>
    </r>
  </si>
  <si>
    <t xml:space="preserve">Snail</t>
  </si>
  <si>
    <t xml:space="preserve">Stanford Bunny</t>
  </si>
  <si>
    <t xml:space="preserve">Neither</t>
  </si>
  <si>
    <t xml:space="preserve">632456723 (No Symmetry)</t>
  </si>
  <si>
    <t xml:space="preserve">632456723 (Low Granularity)</t>
  </si>
  <si>
    <t xml:space="preserve">632456723 (More Samples)</t>
  </si>
  <si>
    <t xml:space="preserve">102370435 (No Symmetry)</t>
  </si>
  <si>
    <t xml:space="preserve">102370435 (Low Granularity)</t>
  </si>
  <si>
    <t xml:space="preserve">102370435 (More Samples)</t>
  </si>
  <si>
    <t xml:space="preserve">914023457 (No Symmetry)</t>
  </si>
  <si>
    <t xml:space="preserve">914023457 (Low Granularity)</t>
  </si>
  <si>
    <t xml:space="preserve">914023457 (More Samples)</t>
  </si>
  <si>
    <t xml:space="preserve">CV %</t>
  </si>
  <si>
    <r>
      <rPr>
        <b val="true"/>
        <sz val="10"/>
        <rFont val="Noto Sans"/>
        <family val="2"/>
      </rPr>
      <t xml:space="preserve">Parallel Printing Times </t>
    </r>
    <r>
      <rPr>
        <b val="true"/>
        <i val="true"/>
        <sz val="10"/>
        <rFont val="Noto Sans"/>
        <family val="2"/>
      </rPr>
      <t xml:space="preserve">(minutes)</t>
    </r>
  </si>
  <si>
    <t xml:space="preserve">Statistical Information</t>
  </si>
  <si>
    <t xml:space="preserve">Standard</t>
  </si>
  <si>
    <t xml:space="preserve">Symmetry Skip</t>
  </si>
  <si>
    <t xml:space="preserve">Reduced Granularity</t>
  </si>
  <si>
    <t xml:space="preserve">Samples = 6</t>
  </si>
  <si>
    <t xml:space="preserve">N</t>
  </si>
  <si>
    <t xml:space="preserve">df</t>
  </si>
  <si>
    <t xml:space="preserve">t*</t>
  </si>
  <si>
    <r>
      <rPr>
        <b val="true"/>
        <sz val="10"/>
        <rFont val="Noto Sans"/>
        <family val="2"/>
      </rPr>
      <t xml:space="preserve">Mean
</t>
    </r>
    <r>
      <rPr>
        <b val="true"/>
        <i val="true"/>
        <sz val="10"/>
        <rFont val="Noto Sans"/>
        <family val="2"/>
      </rPr>
      <t xml:space="preserve">(μ)</t>
    </r>
  </si>
  <si>
    <r>
      <rPr>
        <b val="true"/>
        <sz val="10"/>
        <rFont val="Noto Sans"/>
        <family val="2"/>
      </rPr>
      <t xml:space="preserve">Variance
</t>
    </r>
    <r>
      <rPr>
        <b val="true"/>
        <i val="true"/>
        <sz val="10"/>
        <rFont val="Noto Sans"/>
        <family val="2"/>
      </rPr>
      <t xml:space="preserve">(σ²)</t>
    </r>
  </si>
  <si>
    <r>
      <rPr>
        <b val="true"/>
        <sz val="10"/>
        <rFont val="Noto Sans"/>
        <family val="2"/>
      </rPr>
      <t xml:space="preserve">Std Dev 
</t>
    </r>
    <r>
      <rPr>
        <b val="true"/>
        <i val="true"/>
        <sz val="10"/>
        <rFont val="Noto Sans"/>
        <family val="2"/>
      </rPr>
      <t xml:space="preserve">(σ)</t>
    </r>
  </si>
  <si>
    <t xml:space="preserve">ME</t>
  </si>
  <si>
    <r>
      <rPr>
        <b val="true"/>
        <sz val="10"/>
        <rFont val="Noto Sans"/>
        <family val="2"/>
      </rPr>
      <t xml:space="preserve">95% CI
</t>
    </r>
    <r>
      <rPr>
        <b val="true"/>
        <i val="true"/>
        <sz val="10"/>
        <rFont val="Noto Sans"/>
        <family val="2"/>
      </rPr>
      <t xml:space="preserve">(low)</t>
    </r>
  </si>
  <si>
    <r>
      <rPr>
        <b val="true"/>
        <sz val="10"/>
        <rFont val="Noto Sans"/>
        <family val="2"/>
      </rPr>
      <t xml:space="preserve">95% CI
</t>
    </r>
    <r>
      <rPr>
        <b val="true"/>
        <i val="true"/>
        <sz val="10"/>
        <rFont val="Noto Sans"/>
        <family val="2"/>
      </rPr>
      <t xml:space="preserve">(high)</t>
    </r>
  </si>
  <si>
    <t xml:space="preserve">CV</t>
  </si>
  <si>
    <t xml:space="preserve">Mean
(μ)</t>
  </si>
  <si>
    <t xml:space="preserve">95% CI
(low)</t>
  </si>
  <si>
    <t xml:space="preserve">95% CI
(high)</t>
  </si>
  <si>
    <r>
      <rPr>
        <b val="true"/>
        <sz val="10"/>
        <rFont val="Noto Sans"/>
        <family val="2"/>
      </rPr>
      <t xml:space="preserve">Change
</t>
    </r>
    <r>
      <rPr>
        <b val="true"/>
        <i val="true"/>
        <sz val="10"/>
        <rFont val="Noto Sans"/>
        <family val="2"/>
      </rPr>
      <t xml:space="preserve">(Nrmlizd)</t>
    </r>
  </si>
  <si>
    <r>
      <rPr>
        <b val="true"/>
        <sz val="10"/>
        <rFont val="Noto Sans"/>
        <family val="2"/>
      </rPr>
      <t xml:space="preserve">Change
</t>
    </r>
    <r>
      <rPr>
        <b val="true"/>
        <i val="true"/>
        <sz val="10"/>
        <rFont val="Noto Sans"/>
        <family val="2"/>
      </rPr>
      <t xml:space="preserve">(Abs)</t>
    </r>
  </si>
  <si>
    <t xml:space="preserve">Parallelobox Seed Times</t>
  </si>
  <si>
    <t xml:space="preserve">Std Dev </t>
  </si>
  <si>
    <t xml:space="preserve">Parallelobox (weaker)</t>
  </si>
  <si>
    <t xml:space="preserve">Parallelobox (stronger)</t>
  </si>
  <si>
    <t xml:space="preserve">Print Time</t>
  </si>
  <si>
    <t xml:space="preserve">Vs Parallelobox</t>
  </si>
  <si>
    <t xml:space="preserve">Mean</t>
  </si>
  <si>
    <t xml:space="preserve">Sum d^2</t>
  </si>
  <si>
    <t xml:space="preserve">Variance</t>
  </si>
  <si>
    <t xml:space="preserve">Std Dev</t>
  </si>
  <si>
    <t xml:space="preserve">- 95% CI</t>
  </si>
  <si>
    <t xml:space="preserve">+ 95% CI</t>
  </si>
  <si>
    <t xml:space="preserve">Parallel Time Improvement</t>
  </si>
  <si>
    <t xml:space="preserve">#N</t>
  </si>
  <si>
    <t xml:space="preserve">Cube Skeletonization</t>
  </si>
  <si>
    <t xml:space="preserve">Time (ms)</t>
  </si>
  <si>
    <t xml:space="preserve">Time (s)</t>
  </si>
  <si>
    <t xml:space="preserve">Time (m)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</si>
</sst>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"/>
    <numFmt numFmtId="167" formatCode="0.00"/>
  </numFmts>
  <fonts count="12">
    <font>
      <sz val="10"/>
      <name val="Noto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Noto Sans"/>
      <family val="2"/>
    </font>
    <font>
      <b val="true"/>
      <sz val="10"/>
      <name val="Noto Sans"/>
      <family val="2"/>
    </font>
    <font>
      <sz val="10"/>
      <color rgb="FF000000"/>
      <name val="Noto Sans"/>
      <family val="2"/>
    </font>
    <font>
      <i val="true"/>
      <sz val="10"/>
      <name val="Noto Sans"/>
      <family val="2"/>
    </font>
    <font>
      <b val="true"/>
      <i val="true"/>
      <sz val="10"/>
      <name val="Noto Sans"/>
      <family val="2"/>
    </font>
    <font>
      <b val="true"/>
      <sz val="12"/>
      <name val="Arial"/>
      <family val="2"/>
    </font>
    <font>
      <sz val="12"/>
      <name val="Arial"/>
      <family val="2"/>
    </font>
    <font>
      <i val="true"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B2B2B2"/>
        <bgColor rgb="FFB7B3CA"/>
      </patternFill>
    </fill>
    <fill>
      <patternFill patternType="solid">
        <fgColor rgb="FFAFD095"/>
        <bgColor rgb="FFB4C7DC"/>
      </patternFill>
    </fill>
    <fill>
      <patternFill patternType="solid">
        <fgColor rgb="FFFFFF00"/>
        <bgColor rgb="FFFFFF00"/>
      </patternFill>
    </fill>
    <fill>
      <patternFill patternType="solid">
        <fgColor rgb="FFB4C7DC"/>
        <bgColor rgb="FFB7B3CA"/>
      </patternFill>
    </fill>
    <fill>
      <patternFill patternType="solid">
        <fgColor rgb="FFB7B3CA"/>
        <bgColor rgb="FFB2B2B2"/>
      </patternFill>
    </fill>
    <fill>
      <patternFill patternType="solid">
        <fgColor rgb="FFFF972F"/>
        <bgColor rgb="FFFF8080"/>
      </patternFill>
    </fill>
    <fill>
      <patternFill patternType="solid">
        <fgColor rgb="FFFF0000"/>
        <bgColor rgb="FF993300"/>
      </patternFill>
    </fill>
    <fill>
      <patternFill patternType="solid">
        <fgColor rgb="FF729FCF"/>
        <bgColor rgb="FF808080"/>
      </patternFill>
    </fill>
    <fill>
      <patternFill patternType="solid">
        <fgColor rgb="FF666666"/>
        <bgColor rgb="FF80808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72F"/>
      <rgbColor rgb="FFFF6600"/>
      <rgbColor rgb="FF666666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2" activeCellId="0" sqref="K32"/>
    </sheetView>
  </sheetViews>
  <sheetFormatPr defaultColWidth="11.23046875" defaultRowHeight="12.8" customHeight="false" zeroHeight="false" outlineLevelRow="0" outlineLevelCol="0"/>
  <cols>
    <col collapsed="false" customWidth="true" hidden="false" outlineLevel="0" max="5" min="5" style="0" width="8.86"/>
    <col collapsed="false" customWidth="true" hidden="false" outlineLevel="0" max="6" min="6" style="0" width="9.13"/>
    <col collapsed="false" customWidth="true" hidden="false" outlineLevel="0" max="7" min="7" style="0" width="12.17"/>
    <col collapsed="false" customWidth="true" hidden="false" outlineLevel="0" max="9" min="9" style="0" width="12.45"/>
  </cols>
  <sheetData>
    <row r="2" customFormat="false" ht="12.8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</row>
    <row r="3" customFormat="false" ht="12.8" hidden="false" customHeight="false" outlineLevel="0" collapsed="false">
      <c r="B3" s="3" t="n">
        <v>632456723</v>
      </c>
      <c r="C3" s="4" t="s">
        <v>6</v>
      </c>
      <c r="D3" s="4" t="s">
        <v>7</v>
      </c>
      <c r="E3" s="4" t="s">
        <v>8</v>
      </c>
      <c r="F3" s="4" t="n">
        <v>3</v>
      </c>
      <c r="G3" s="4" t="s">
        <v>7</v>
      </c>
    </row>
    <row r="4" customFormat="false" ht="12.8" hidden="false" customHeight="false" outlineLevel="0" collapsed="false">
      <c r="B4" s="3" t="n">
        <v>632456723</v>
      </c>
      <c r="C4" s="4" t="s">
        <v>9</v>
      </c>
      <c r="D4" s="4" t="s">
        <v>10</v>
      </c>
      <c r="E4" s="4" t="s">
        <v>8</v>
      </c>
      <c r="F4" s="4" t="n">
        <v>3</v>
      </c>
      <c r="G4" s="4"/>
    </row>
    <row r="5" customFormat="false" ht="12.8" hidden="false" customHeight="false" outlineLevel="0" collapsed="false">
      <c r="B5" s="3" t="n">
        <v>632456723</v>
      </c>
      <c r="C5" s="4" t="s">
        <v>9</v>
      </c>
      <c r="D5" s="4" t="s">
        <v>7</v>
      </c>
      <c r="E5" s="4" t="s">
        <v>11</v>
      </c>
      <c r="F5" s="4" t="n">
        <v>3</v>
      </c>
      <c r="G5" s="4" t="s">
        <v>10</v>
      </c>
    </row>
    <row r="6" customFormat="false" ht="12.8" hidden="false" customHeight="false" outlineLevel="0" collapsed="false">
      <c r="B6" s="3" t="n">
        <v>632456723</v>
      </c>
      <c r="C6" s="4" t="s">
        <v>9</v>
      </c>
      <c r="D6" s="4" t="s">
        <v>7</v>
      </c>
      <c r="E6" s="4" t="s">
        <v>8</v>
      </c>
      <c r="F6" s="4" t="n">
        <v>6</v>
      </c>
      <c r="G6" s="4"/>
    </row>
    <row r="7" customFormat="false" ht="12.8" hidden="false" customHeight="false" outlineLevel="0" collapsed="false">
      <c r="B7" s="3" t="n">
        <v>102370435</v>
      </c>
      <c r="C7" s="4" t="s">
        <v>9</v>
      </c>
      <c r="D7" s="4" t="s">
        <v>7</v>
      </c>
      <c r="E7" s="4" t="s">
        <v>8</v>
      </c>
      <c r="F7" s="4" t="n">
        <v>3</v>
      </c>
      <c r="G7" s="4"/>
      <c r="I7" s="3" t="s">
        <v>12</v>
      </c>
    </row>
    <row r="8" customFormat="false" ht="12.8" hidden="false" customHeight="false" outlineLevel="0" collapsed="false">
      <c r="B8" s="3" t="n">
        <v>102370435</v>
      </c>
      <c r="C8" s="4" t="s">
        <v>6</v>
      </c>
      <c r="D8" s="4" t="s">
        <v>10</v>
      </c>
      <c r="E8" s="4" t="s">
        <v>8</v>
      </c>
      <c r="F8" s="4" t="n">
        <v>3</v>
      </c>
      <c r="G8" s="4" t="s">
        <v>7</v>
      </c>
      <c r="I8" s="5" t="s">
        <v>13</v>
      </c>
    </row>
    <row r="9" customFormat="false" ht="12.8" hidden="false" customHeight="false" outlineLevel="0" collapsed="false">
      <c r="B9" s="3" t="n">
        <v>102370435</v>
      </c>
      <c r="C9" s="4" t="s">
        <v>9</v>
      </c>
      <c r="D9" s="4" t="s">
        <v>7</v>
      </c>
      <c r="E9" s="4" t="s">
        <v>11</v>
      </c>
      <c r="F9" s="4" t="n">
        <v>3</v>
      </c>
      <c r="G9" s="4" t="s">
        <v>10</v>
      </c>
      <c r="I9" s="6" t="s">
        <v>14</v>
      </c>
    </row>
    <row r="10" customFormat="false" ht="12.8" hidden="false" customHeight="false" outlineLevel="0" collapsed="false">
      <c r="B10" s="3" t="n">
        <v>102370435</v>
      </c>
      <c r="C10" s="4" t="s">
        <v>9</v>
      </c>
      <c r="D10" s="4" t="s">
        <v>7</v>
      </c>
      <c r="E10" s="4" t="s">
        <v>8</v>
      </c>
      <c r="F10" s="4" t="n">
        <v>6</v>
      </c>
      <c r="G10" s="4" t="s">
        <v>10</v>
      </c>
      <c r="I10" s="7" t="s">
        <v>15</v>
      </c>
    </row>
    <row r="11" customFormat="false" ht="12.8" hidden="false" customHeight="false" outlineLevel="0" collapsed="false">
      <c r="B11" s="8" t="n">
        <v>914023457</v>
      </c>
      <c r="C11" s="4" t="s">
        <v>6</v>
      </c>
      <c r="D11" s="9" t="s">
        <v>7</v>
      </c>
      <c r="E11" s="4" t="s">
        <v>8</v>
      </c>
      <c r="F11" s="4" t="n">
        <v>3</v>
      </c>
      <c r="G11" s="4" t="s">
        <v>10</v>
      </c>
      <c r="I11" s="10" t="s">
        <v>16</v>
      </c>
    </row>
    <row r="12" customFormat="false" ht="12.8" hidden="false" customHeight="false" outlineLevel="0" collapsed="false">
      <c r="B12" s="8" t="n">
        <v>914023458</v>
      </c>
      <c r="C12" s="4" t="s">
        <v>9</v>
      </c>
      <c r="D12" s="9" t="s">
        <v>10</v>
      </c>
      <c r="E12" s="4" t="s">
        <v>8</v>
      </c>
      <c r="F12" s="4" t="n">
        <v>3</v>
      </c>
      <c r="G12" s="4"/>
    </row>
    <row r="13" customFormat="false" ht="12.8" hidden="false" customHeight="false" outlineLevel="0" collapsed="false">
      <c r="B13" s="8" t="n">
        <v>914023459</v>
      </c>
      <c r="C13" s="4" t="s">
        <v>9</v>
      </c>
      <c r="D13" s="9" t="s">
        <v>7</v>
      </c>
      <c r="E13" s="4" t="s">
        <v>11</v>
      </c>
      <c r="F13" s="4" t="n">
        <v>3</v>
      </c>
      <c r="G13" s="4" t="s">
        <v>10</v>
      </c>
    </row>
    <row r="14" customFormat="false" ht="12.8" hidden="false" customHeight="false" outlineLevel="0" collapsed="false">
      <c r="B14" s="8" t="n">
        <v>914023460</v>
      </c>
      <c r="C14" s="4" t="s">
        <v>9</v>
      </c>
      <c r="D14" s="9" t="s">
        <v>7</v>
      </c>
      <c r="E14" s="4" t="s">
        <v>8</v>
      </c>
      <c r="F14" s="4" t="n">
        <v>6</v>
      </c>
      <c r="G14" s="4" t="s">
        <v>10</v>
      </c>
    </row>
    <row r="15" customFormat="false" ht="12.8" hidden="false" customHeight="false" outlineLevel="0" collapsed="false">
      <c r="B15" s="11"/>
      <c r="C15" s="12"/>
      <c r="D15" s="13"/>
      <c r="E15" s="12"/>
    </row>
    <row r="16" customFormat="false" ht="12.8" hidden="false" customHeight="false" outlineLevel="0" collapsed="false">
      <c r="B16" s="14"/>
      <c r="D16" s="15"/>
    </row>
    <row r="17" customFormat="false" ht="12.8" hidden="false" customHeight="false" outlineLevel="0" collapsed="false">
      <c r="D17" s="15"/>
    </row>
    <row r="18" customFormat="false" ht="12.8" hidden="false" customHeight="false" outlineLevel="0" collapsed="false">
      <c r="D18" s="15"/>
    </row>
    <row r="19" customFormat="false" ht="12.8" hidden="false" customHeight="false" outlineLevel="0" collapsed="false">
      <c r="D19" s="15"/>
    </row>
    <row r="20" customFormat="false" ht="12.8" hidden="false" customHeight="false" outlineLevel="0" collapsed="false">
      <c r="D20" s="1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91"/>
  <sheetViews>
    <sheetView showFormulas="false" showGridLines="true" showRowColHeaders="true" showZeros="true" rightToLeft="false" tabSelected="false" showOutlineSymbols="true" defaultGridColor="true" view="normal" topLeftCell="A154" colorId="64" zoomScale="100" zoomScaleNormal="100" zoomScalePageLayoutView="100" workbookViewId="0">
      <selection pane="topLeft" activeCell="I21" activeCellId="0" sqref="I21"/>
    </sheetView>
  </sheetViews>
  <sheetFormatPr defaultColWidth="11.23046875" defaultRowHeight="14.35" customHeight="false" zeroHeight="false" outlineLevelRow="0" outlineLevelCol="0"/>
  <cols>
    <col collapsed="false" customWidth="true" hidden="false" outlineLevel="0" max="1" min="1" style="0" width="18.39"/>
    <col collapsed="false" customWidth="true" hidden="false" outlineLevel="0" max="2" min="2" style="0" width="10.38"/>
    <col collapsed="false" customWidth="true" hidden="false" outlineLevel="0" max="4" min="3" style="0" width="13.14"/>
    <col collapsed="false" customWidth="true" hidden="false" outlineLevel="0" max="5" min="5" style="0" width="11.46"/>
    <col collapsed="false" customWidth="true" hidden="false" outlineLevel="0" max="6" min="6" style="0" width="18.39"/>
    <col collapsed="false" customWidth="true" hidden="false" outlineLevel="0" max="7" min="7" style="0" width="13.41"/>
    <col collapsed="false" customWidth="true" hidden="false" outlineLevel="0" max="8" min="8" style="0" width="13.55"/>
    <col collapsed="false" customWidth="true" hidden="false" outlineLevel="0" max="9" min="9" style="0" width="13.14"/>
    <col collapsed="false" customWidth="true" hidden="false" outlineLevel="0" max="10" min="10" style="0" width="13.96"/>
    <col collapsed="false" customWidth="true" hidden="false" outlineLevel="0" max="11" min="11" style="0" width="7.59"/>
    <col collapsed="false" customWidth="true" hidden="false" outlineLevel="0" max="12" min="12" style="0" width="18.39"/>
    <col collapsed="false" customWidth="true" hidden="false" outlineLevel="0" max="13" min="13" style="0" width="7.9"/>
    <col collapsed="false" customWidth="true" hidden="false" outlineLevel="0" max="15" min="14" style="0" width="13.14"/>
    <col collapsed="false" customWidth="true" hidden="false" outlineLevel="0" max="16" min="16" style="0" width="13.96"/>
    <col collapsed="false" customWidth="true" hidden="true" outlineLevel="0" max="17" min="17" style="0" width="10.11"/>
    <col collapsed="false" customWidth="true" hidden="false" outlineLevel="0" max="18" min="18" style="0" width="7.73"/>
    <col collapsed="false" customWidth="true" hidden="false" outlineLevel="0" max="19" min="19" style="0" width="18.39"/>
    <col collapsed="false" customWidth="true" hidden="false" outlineLevel="0" max="20" min="20" style="0" width="7.9"/>
    <col collapsed="false" customWidth="true" hidden="false" outlineLevel="0" max="22" min="21" style="0" width="13.14"/>
    <col collapsed="false" customWidth="true" hidden="false" outlineLevel="0" max="24" min="23" style="0" width="12.73"/>
    <col collapsed="false" customWidth="true" hidden="false" outlineLevel="0" max="26" min="25" style="0" width="13.41"/>
    <col collapsed="false" customWidth="true" hidden="false" outlineLevel="0" max="27" min="27" style="0" width="19.63"/>
    <col collapsed="false" customWidth="true" hidden="false" outlineLevel="0" max="28" min="28" style="0" width="13.14"/>
    <col collapsed="false" customWidth="false" hidden="false" outlineLevel="0" max="30" min="30" style="17" width="11.23"/>
    <col collapsed="false" customWidth="true" hidden="false" outlineLevel="0" max="32" min="32" style="0" width="15.07"/>
  </cols>
  <sheetData>
    <row r="1" customFormat="false" ht="12.8" hidden="false" customHeight="false" outlineLevel="0" collapsed="false">
      <c r="A1" s="18" t="s">
        <v>17</v>
      </c>
      <c r="B1" s="18"/>
      <c r="C1" s="18"/>
      <c r="D1" s="18"/>
      <c r="F1" s="19" t="s">
        <v>18</v>
      </c>
      <c r="G1" s="19"/>
      <c r="H1" s="19"/>
      <c r="I1" s="19"/>
      <c r="L1" s="19" t="s">
        <v>19</v>
      </c>
      <c r="M1" s="19"/>
      <c r="N1" s="19"/>
      <c r="O1" s="19"/>
      <c r="S1" s="19" t="s">
        <v>20</v>
      </c>
      <c r="T1" s="19"/>
      <c r="U1" s="19"/>
      <c r="V1" s="19"/>
      <c r="W1" s="19"/>
      <c r="X1" s="19"/>
    </row>
    <row r="2" customFormat="false" ht="28.35" hidden="false" customHeight="false" outlineLevel="0" collapsed="false">
      <c r="A2" s="19" t="s">
        <v>21</v>
      </c>
      <c r="B2" s="19" t="s">
        <v>22</v>
      </c>
      <c r="C2" s="20" t="s">
        <v>23</v>
      </c>
      <c r="D2" s="20" t="s">
        <v>24</v>
      </c>
      <c r="F2" s="19" t="s">
        <v>21</v>
      </c>
      <c r="G2" s="19" t="s">
        <v>22</v>
      </c>
      <c r="H2" s="20" t="s">
        <v>25</v>
      </c>
      <c r="I2" s="20" t="s">
        <v>24</v>
      </c>
      <c r="J2" s="20" t="s">
        <v>26</v>
      </c>
      <c r="K2" s="19"/>
      <c r="L2" s="19" t="s">
        <v>21</v>
      </c>
      <c r="M2" s="19" t="s">
        <v>27</v>
      </c>
      <c r="N2" s="20" t="s">
        <v>23</v>
      </c>
      <c r="O2" s="20" t="s">
        <v>24</v>
      </c>
      <c r="P2" s="20" t="s">
        <v>26</v>
      </c>
      <c r="Q2" s="20" t="s">
        <v>28</v>
      </c>
      <c r="R2" s="21"/>
      <c r="S2" s="19" t="s">
        <v>21</v>
      </c>
      <c r="T2" s="19" t="s">
        <v>27</v>
      </c>
      <c r="U2" s="20" t="s">
        <v>23</v>
      </c>
      <c r="V2" s="20" t="s">
        <v>24</v>
      </c>
      <c r="W2" s="20" t="s">
        <v>29</v>
      </c>
      <c r="X2" s="22" t="s">
        <v>30</v>
      </c>
      <c r="AC2" s="23"/>
      <c r="AD2" s="24"/>
    </row>
    <row r="3" customFormat="false" ht="12.8" hidden="false" customHeight="false" outlineLevel="0" collapsed="false">
      <c r="A3" s="0" t="s">
        <v>31</v>
      </c>
      <c r="B3" s="0" t="n">
        <v>5</v>
      </c>
      <c r="D3" s="25" t="str">
        <f aca="false">IF(NOT(ISBLANK(C3)), ROUND(C3/60,0), "")</f>
        <v/>
      </c>
      <c r="F3" s="0" t="s">
        <v>31</v>
      </c>
      <c r="G3" s="0" t="n">
        <v>5</v>
      </c>
      <c r="H3" s="0" t="n">
        <v>137815</v>
      </c>
      <c r="I3" s="0" t="n">
        <f aca="false">IF(NOT(ISBLANK(H3)), ROUND(H3/60,0), "")</f>
        <v>2297</v>
      </c>
      <c r="J3" s="26" t="str">
        <f aca="false">IF(I3="", IF(D3="", "Neither", "Parallelobox"), IF(D3="","Symmetry", I3-D3))</f>
        <v>Symmetry</v>
      </c>
      <c r="K3" s="26"/>
      <c r="L3" s="0" t="s">
        <v>31</v>
      </c>
      <c r="M3" s="0" t="n">
        <v>5</v>
      </c>
      <c r="N3" s="0" t="n">
        <v>117941</v>
      </c>
      <c r="O3" s="0" t="n">
        <f aca="false">IF(NOT(ISBLANK(N3)), ROUND(N3/60,0), "")</f>
        <v>1966</v>
      </c>
      <c r="P3" s="26" t="str">
        <f aca="false">IF(O3="", IF(D3="", "Neither", "Parallelobox"), IF(D3="","Harpe", O3-D3))</f>
        <v>Harpe</v>
      </c>
      <c r="Q3" s="26" t="n">
        <f aca="false">IF(O3="", IF(I3="", "Neither", "Symmetry"), IF(I3="","Harpe", O3-I3))</f>
        <v>-331</v>
      </c>
      <c r="S3" s="0" t="s">
        <v>31</v>
      </c>
      <c r="T3" s="0" t="n">
        <v>28</v>
      </c>
      <c r="U3" s="0" t="n">
        <v>99761</v>
      </c>
      <c r="V3" s="0" t="n">
        <f aca="false">IF(NOT(ISBLANK(U3)), ROUND(U3/60,0), "")</f>
        <v>1663</v>
      </c>
      <c r="W3" s="0" t="n">
        <f aca="false">V3-D6</f>
        <v>809</v>
      </c>
      <c r="X3" s="0" t="n">
        <f aca="false">V3-D7</f>
        <v>896</v>
      </c>
    </row>
    <row r="4" customFormat="false" ht="12.8" hidden="false" customHeight="false" outlineLevel="0" collapsed="false">
      <c r="A4" s="0" t="s">
        <v>31</v>
      </c>
      <c r="B4" s="0" t="n">
        <v>10</v>
      </c>
      <c r="C4" s="0" t="n">
        <v>116930</v>
      </c>
      <c r="D4" s="25" t="n">
        <f aca="false">IF(NOT(ISBLANK(C4)), ROUND(C4/60,0), "")</f>
        <v>1949</v>
      </c>
      <c r="F4" s="0" t="s">
        <v>31</v>
      </c>
      <c r="G4" s="0" t="n">
        <v>10</v>
      </c>
      <c r="H4" s="0" t="n">
        <v>84524</v>
      </c>
      <c r="I4" s="0" t="n">
        <f aca="false">IF(NOT(ISBLANK(H4)), ROUND(H4/60,0), "")</f>
        <v>1409</v>
      </c>
      <c r="J4" s="26" t="n">
        <f aca="false">IF(I4="", IF(D4="", "Neither", "Parallelobox"), IF(D4="","Symmetry", I4-D4))</f>
        <v>-540</v>
      </c>
      <c r="K4" s="26"/>
      <c r="L4" s="0" t="s">
        <v>31</v>
      </c>
      <c r="M4" s="0" t="n">
        <v>10</v>
      </c>
      <c r="N4" s="0" t="n">
        <v>101626</v>
      </c>
      <c r="O4" s="0" t="n">
        <f aca="false">IF(NOT(ISBLANK(N4)), ROUND(N4/60,0), "")</f>
        <v>1694</v>
      </c>
      <c r="P4" s="26" t="n">
        <f aca="false">IF(O4="", IF(D4="", "Neither", "Parallelobox"), IF(D4="","Harpe", O4-D4))</f>
        <v>-255</v>
      </c>
      <c r="Q4" s="26" t="n">
        <f aca="false">IF(O4="", IF(I4="", "Neither", "Symmetry"), IF(I4="","Harpe", O4-I4))</f>
        <v>285</v>
      </c>
      <c r="S4" s="0" t="s">
        <v>32</v>
      </c>
      <c r="T4" s="0" t="n">
        <v>31</v>
      </c>
      <c r="U4" s="0" t="n">
        <v>72499</v>
      </c>
      <c r="V4" s="0" t="n">
        <f aca="false">IF(NOT(ISBLANK(U4)), ROUND(U4/60,0), "")</f>
        <v>1208</v>
      </c>
      <c r="W4" s="0" t="n">
        <f aca="false">V4-D17</f>
        <v>561</v>
      </c>
      <c r="X4" s="0" t="n">
        <f aca="false">V4-D18</f>
        <v>789</v>
      </c>
    </row>
    <row r="5" customFormat="false" ht="12.8" hidden="false" customHeight="false" outlineLevel="0" collapsed="false">
      <c r="A5" s="0" t="s">
        <v>31</v>
      </c>
      <c r="B5" s="0" t="n">
        <v>15</v>
      </c>
      <c r="C5" s="0" t="n">
        <v>58579</v>
      </c>
      <c r="D5" s="25" t="n">
        <f aca="false">IF(NOT(ISBLANK(C5)), ROUND(C5/60,0), "")</f>
        <v>976</v>
      </c>
      <c r="F5" s="0" t="s">
        <v>31</v>
      </c>
      <c r="G5" s="0" t="n">
        <v>15</v>
      </c>
      <c r="H5" s="0" t="n">
        <v>86725</v>
      </c>
      <c r="I5" s="0" t="n">
        <f aca="false">IF(NOT(ISBLANK(H5)), ROUND(H5/60,0), "")</f>
        <v>1445</v>
      </c>
      <c r="J5" s="26" t="n">
        <f aca="false">IF(I5="", IF(D5="", "Neither", "Parallelobox"), IF(D5="","Symmetry", I5-D5))</f>
        <v>469</v>
      </c>
      <c r="K5" s="26"/>
      <c r="L5" s="0" t="s">
        <v>31</v>
      </c>
      <c r="M5" s="0" t="n">
        <v>15</v>
      </c>
      <c r="N5" s="0" t="n">
        <v>69083</v>
      </c>
      <c r="O5" s="0" t="n">
        <f aca="false">IF(NOT(ISBLANK(N5)), ROUND(N5/60,0), "")</f>
        <v>1151</v>
      </c>
      <c r="P5" s="26" t="n">
        <f aca="false">IF(O5="", IF(D5="", "Neither", "Parallelobox"), IF(D5="","Harpe", O5-D5))</f>
        <v>175</v>
      </c>
      <c r="Q5" s="26" t="n">
        <f aca="false">IF(O5="", IF(I5="", "Neither", "Symmetry"), IF(I5="","Harpe", O5-I5))</f>
        <v>-294</v>
      </c>
      <c r="S5" s="0" t="s">
        <v>33</v>
      </c>
      <c r="T5" s="0" t="n">
        <v>90</v>
      </c>
      <c r="U5" s="0" t="n">
        <v>109800</v>
      </c>
      <c r="V5" s="0" t="n">
        <f aca="false">IF(NOT(ISBLANK(U5)), ROUND(U5/60,0), "")</f>
        <v>1830</v>
      </c>
      <c r="W5" s="0" t="n">
        <f aca="false">V5-D31</f>
        <v>1362</v>
      </c>
      <c r="X5" s="0" t="n">
        <f aca="false">V5-D32</f>
        <v>1494</v>
      </c>
    </row>
    <row r="6" customFormat="false" ht="12.8" hidden="false" customHeight="false" outlineLevel="0" collapsed="false">
      <c r="A6" s="0" t="s">
        <v>31</v>
      </c>
      <c r="B6" s="0" t="n">
        <v>20</v>
      </c>
      <c r="C6" s="0" t="n">
        <v>51261</v>
      </c>
      <c r="D6" s="25" t="n">
        <f aca="false">IF(NOT(ISBLANK(C6)), ROUND(C6/60,0), "")</f>
        <v>854</v>
      </c>
      <c r="F6" s="0" t="s">
        <v>31</v>
      </c>
      <c r="G6" s="0" t="n">
        <v>20</v>
      </c>
      <c r="H6" s="0" t="n">
        <v>48776</v>
      </c>
      <c r="I6" s="0" t="n">
        <f aca="false">IF(NOT(ISBLANK(H6)), ROUND(H6/60,0), "")</f>
        <v>813</v>
      </c>
      <c r="J6" s="26" t="n">
        <f aca="false">IF(I6="", IF(D6="", "Neither", "Parallelobox"), IF(D6="","Symmetry", I6-D6))</f>
        <v>-41</v>
      </c>
      <c r="K6" s="26"/>
      <c r="L6" s="0" t="s">
        <v>31</v>
      </c>
      <c r="M6" s="0" t="n">
        <v>20</v>
      </c>
      <c r="N6" s="0" t="n">
        <v>53683</v>
      </c>
      <c r="O6" s="0" t="n">
        <f aca="false">IF(NOT(ISBLANK(N6)), ROUND(N6/60,0), "")</f>
        <v>895</v>
      </c>
      <c r="P6" s="26" t="n">
        <f aca="false">IF(O6="", IF(D6="", "Neither", "Parallelobox"), IF(D6="","Harpe", O6-D6))</f>
        <v>41</v>
      </c>
      <c r="Q6" s="26" t="n">
        <f aca="false">IF(O6="", IF(I6="", "Neither", "Symmetry"), IF(I6="","Harpe", O6-I6))</f>
        <v>82</v>
      </c>
      <c r="S6" s="0" t="s">
        <v>34</v>
      </c>
      <c r="T6" s="0" t="n">
        <v>19</v>
      </c>
      <c r="U6" s="0" t="n">
        <v>59571</v>
      </c>
      <c r="V6" s="0" t="n">
        <f aca="false">IF(NOT(ISBLANK(U6)), ROUND(U6/60,0), "")</f>
        <v>993</v>
      </c>
      <c r="W6" s="0" t="s">
        <v>35</v>
      </c>
      <c r="X6" s="0" t="n">
        <f aca="false">V6-D36</f>
        <v>307</v>
      </c>
    </row>
    <row r="7" customFormat="false" ht="12.8" hidden="false" customHeight="false" outlineLevel="0" collapsed="false">
      <c r="A7" s="0" t="s">
        <v>31</v>
      </c>
      <c r="B7" s="0" t="n">
        <v>30</v>
      </c>
      <c r="C7" s="0" t="n">
        <v>46007</v>
      </c>
      <c r="D7" s="25" t="n">
        <f aca="false">IF(NOT(ISBLANK(C7)), ROUND(C7/60,0), "")</f>
        <v>767</v>
      </c>
      <c r="F7" s="0" t="s">
        <v>31</v>
      </c>
      <c r="G7" s="0" t="n">
        <v>30</v>
      </c>
      <c r="H7" s="0" t="n">
        <v>46599</v>
      </c>
      <c r="I7" s="0" t="n">
        <f aca="false">IF(NOT(ISBLANK(H7)), ROUND(H7/60,0), "")</f>
        <v>777</v>
      </c>
      <c r="J7" s="26" t="n">
        <f aca="false">IF(I7="", IF(D7="", "Neither", "Parallelobox"), IF(D7="","Symmetry", I7-D7))</f>
        <v>10</v>
      </c>
      <c r="K7" s="26"/>
      <c r="L7" s="0" t="s">
        <v>31</v>
      </c>
      <c r="M7" s="0" t="n">
        <v>30</v>
      </c>
      <c r="N7" s="0" t="n">
        <v>51066</v>
      </c>
      <c r="O7" s="0" t="n">
        <f aca="false">IF(NOT(ISBLANK(N7)), ROUND(N7/60,0), "")</f>
        <v>851</v>
      </c>
      <c r="P7" s="26" t="n">
        <f aca="false">IF(O7="", IF(D7="", "Neither", "Parallelobox"), IF(D7="","Harpe", O7-D7))</f>
        <v>84</v>
      </c>
      <c r="Q7" s="26" t="n">
        <f aca="false">IF(O7="", IF(I7="", "Neither", "Symmetry"), IF(I7="","Harpe", O7-I7))</f>
        <v>74</v>
      </c>
      <c r="S7" s="0" t="s">
        <v>36</v>
      </c>
      <c r="T7" s="0" t="n">
        <v>27</v>
      </c>
      <c r="U7" s="0" t="n">
        <v>121959</v>
      </c>
      <c r="V7" s="0" t="n">
        <f aca="false">IF(NOT(ISBLANK(U7)), ROUND(U7/60,0), "")</f>
        <v>2033</v>
      </c>
      <c r="W7" s="0" t="s">
        <v>35</v>
      </c>
      <c r="X7" s="0" t="s">
        <v>35</v>
      </c>
    </row>
    <row r="8" customFormat="false" ht="12.8" hidden="false" customHeight="false" outlineLevel="0" collapsed="false">
      <c r="A8" s="0" t="s">
        <v>31</v>
      </c>
      <c r="B8" s="0" t="n">
        <v>40</v>
      </c>
      <c r="C8" s="0" t="n">
        <v>28869</v>
      </c>
      <c r="D8" s="25" t="n">
        <f aca="false">IF(NOT(ISBLANK(C8)), ROUND(C8/60,0), "")</f>
        <v>481</v>
      </c>
      <c r="F8" s="0" t="s">
        <v>31</v>
      </c>
      <c r="G8" s="0" t="n">
        <v>40</v>
      </c>
      <c r="H8" s="0" t="n">
        <v>44404</v>
      </c>
      <c r="I8" s="0" t="n">
        <f aca="false">IF(NOT(ISBLANK(H8)), ROUND(H8/60,0), "")</f>
        <v>740</v>
      </c>
      <c r="J8" s="26" t="n">
        <f aca="false">IF(I8="", IF(D8="", "Neither", "Parallelobox"), IF(D8="","Symmetry", I8-D8))</f>
        <v>259</v>
      </c>
      <c r="K8" s="26"/>
      <c r="L8" s="0" t="s">
        <v>31</v>
      </c>
      <c r="M8" s="0" t="n">
        <v>40</v>
      </c>
      <c r="N8" s="0" t="n">
        <v>30762</v>
      </c>
      <c r="O8" s="0" t="n">
        <f aca="false">IF(NOT(ISBLANK(N8)), ROUND(N8/60,0), "")</f>
        <v>513</v>
      </c>
      <c r="P8" s="26" t="n">
        <f aca="false">IF(O8="", IF(D8="", "Neither", "Parallelobox"), IF(D8="","Harpe", O8-D8))</f>
        <v>32</v>
      </c>
      <c r="Q8" s="26" t="n">
        <f aca="false">IF(O8="", IF(I8="", "Neither", "Symmetry"), IF(I8="","Harpe", O8-I8))</f>
        <v>-227</v>
      </c>
      <c r="S8" s="0" t="s">
        <v>37</v>
      </c>
      <c r="T8" s="0" t="n">
        <v>21</v>
      </c>
      <c r="U8" s="0" t="n">
        <v>70767</v>
      </c>
      <c r="V8" s="0" t="n">
        <f aca="false">IF(NOT(ISBLANK(U8)), ROUND(U8/60,0), "")</f>
        <v>1179</v>
      </c>
      <c r="W8" s="0" t="n">
        <f aca="false">V8-D56</f>
        <v>839</v>
      </c>
      <c r="X8" s="0" t="n">
        <f aca="false">V8-D57</f>
        <v>897</v>
      </c>
    </row>
    <row r="9" customFormat="false" ht="12.8" hidden="false" customHeight="false" outlineLevel="0" collapsed="false">
      <c r="A9" s="0" t="s">
        <v>31</v>
      </c>
      <c r="B9" s="0" t="n">
        <v>50</v>
      </c>
      <c r="C9" s="0" t="n">
        <v>25368</v>
      </c>
      <c r="D9" s="25" t="n">
        <f aca="false">IF(NOT(ISBLANK(C9)), ROUND(C9/60,0), "")</f>
        <v>423</v>
      </c>
      <c r="F9" s="0" t="s">
        <v>31</v>
      </c>
      <c r="G9" s="0" t="n">
        <v>50</v>
      </c>
      <c r="H9" s="0" t="n">
        <v>34637</v>
      </c>
      <c r="I9" s="0" t="n">
        <f aca="false">IF(NOT(ISBLANK(H9)), ROUND(H9/60,0), "")</f>
        <v>577</v>
      </c>
      <c r="J9" s="26" t="n">
        <f aca="false">IF(I9="", IF(D9="", "Neither", "Parallelobox"), IF(D9="","Symmetry", I9-D9))</f>
        <v>154</v>
      </c>
      <c r="K9" s="26"/>
      <c r="L9" s="0" t="s">
        <v>31</v>
      </c>
      <c r="M9" s="0" t="n">
        <v>50</v>
      </c>
      <c r="N9" s="0" t="n">
        <v>40935</v>
      </c>
      <c r="O9" s="0" t="n">
        <f aca="false">IF(NOT(ISBLANK(N9)), ROUND(N9/60,0), "")</f>
        <v>682</v>
      </c>
      <c r="P9" s="26" t="n">
        <f aca="false">IF(O9="", IF(D9="", "Neither", "Parallelobox"), IF(D9="","Harpe", O9-D9))</f>
        <v>259</v>
      </c>
      <c r="Q9" s="26" t="n">
        <f aca="false">IF(O9="", IF(I9="", "Neither", "Symmetry"), IF(I9="","Harpe", O9-I9))</f>
        <v>105</v>
      </c>
      <c r="S9" s="0" t="s">
        <v>38</v>
      </c>
      <c r="T9" s="0" t="n">
        <v>21</v>
      </c>
      <c r="U9" s="0" t="n">
        <v>19383</v>
      </c>
      <c r="V9" s="0" t="n">
        <f aca="false">IF(NOT(ISBLANK(U9)), ROUND(U9/60,0), "")</f>
        <v>323</v>
      </c>
      <c r="W9" s="0" t="n">
        <f aca="false">V9-D66</f>
        <v>183</v>
      </c>
      <c r="X9" s="0" t="n">
        <f aca="false">V9-D67</f>
        <v>222</v>
      </c>
    </row>
    <row r="10" customFormat="false" ht="12.8" hidden="false" customHeight="false" outlineLevel="0" collapsed="false">
      <c r="A10" s="0" t="s">
        <v>31</v>
      </c>
      <c r="B10" s="0" t="n">
        <v>64</v>
      </c>
      <c r="C10" s="0" t="n">
        <v>23556</v>
      </c>
      <c r="D10" s="25" t="n">
        <f aca="false">IF(NOT(ISBLANK(C10)), ROUND(C10/60,0), "")</f>
        <v>393</v>
      </c>
      <c r="F10" s="0" t="s">
        <v>31</v>
      </c>
      <c r="G10" s="0" t="n">
        <v>64</v>
      </c>
      <c r="H10" s="0" t="n">
        <v>38032</v>
      </c>
      <c r="I10" s="0" t="n">
        <f aca="false">IF(NOT(ISBLANK(H10)), ROUND(H10/60,0), "")</f>
        <v>634</v>
      </c>
      <c r="J10" s="26" t="n">
        <f aca="false">IF(I10="", IF(D10="", "Neither", "Parallelobox"), IF(D10="","Symmetry", I10-D10))</f>
        <v>241</v>
      </c>
      <c r="K10" s="26"/>
      <c r="L10" s="0" t="s">
        <v>31</v>
      </c>
      <c r="M10" s="0" t="n">
        <v>64</v>
      </c>
      <c r="N10" s="0" t="n">
        <v>27675</v>
      </c>
      <c r="O10" s="0" t="n">
        <f aca="false">IF(NOT(ISBLANK(N10)), ROUND(N10/60,0), "")</f>
        <v>461</v>
      </c>
      <c r="P10" s="26" t="n">
        <f aca="false">IF(O10="", IF(D10="", "Neither", "Parallelobox"), IF(D10="","Harpe", O10-D10))</f>
        <v>68</v>
      </c>
      <c r="Q10" s="26" t="n">
        <f aca="false">IF(O10="", IF(I10="", "Neither", "Symmetry"), IF(I10="","Harpe", O10-I10))</f>
        <v>-173</v>
      </c>
      <c r="S10" s="0" t="s">
        <v>39</v>
      </c>
      <c r="T10" s="0" t="n">
        <v>20</v>
      </c>
      <c r="U10" s="0" t="n">
        <v>67141</v>
      </c>
      <c r="V10" s="0" t="n">
        <f aca="false">IF(NOT(ISBLANK(U10)), ROUND(U10/60,0), "")</f>
        <v>1119</v>
      </c>
      <c r="W10" s="0" t="n">
        <f aca="false">V10-D76</f>
        <v>324</v>
      </c>
      <c r="X10" s="0" t="s">
        <v>40</v>
      </c>
    </row>
    <row r="11" customFormat="false" ht="12.8" hidden="false" customHeight="false" outlineLevel="0" collapsed="false">
      <c r="A11" s="0" t="s">
        <v>31</v>
      </c>
      <c r="B11" s="0" t="n">
        <v>82</v>
      </c>
      <c r="C11" s="0" t="n">
        <v>20806</v>
      </c>
      <c r="D11" s="25" t="n">
        <f aca="false">IF(NOT(ISBLANK(C11)), ROUND(C11/60,0), "")</f>
        <v>347</v>
      </c>
      <c r="F11" s="0" t="s">
        <v>31</v>
      </c>
      <c r="G11" s="0" t="n">
        <v>82</v>
      </c>
      <c r="H11" s="0" t="n">
        <v>26544</v>
      </c>
      <c r="I11" s="0" t="n">
        <f aca="false">IF(NOT(ISBLANK(H11)), ROUND(H11/60,0), "")</f>
        <v>442</v>
      </c>
      <c r="J11" s="26" t="n">
        <f aca="false">IF(I11="", IF(D11="", "Neither", "Parallelobox"), IF(D11="","Symmetry", I11-D11))</f>
        <v>95</v>
      </c>
      <c r="K11" s="26"/>
      <c r="L11" s="0" t="s">
        <v>31</v>
      </c>
      <c r="M11" s="0" t="n">
        <v>82</v>
      </c>
      <c r="N11" s="0" t="n">
        <v>31010</v>
      </c>
      <c r="O11" s="0" t="n">
        <f aca="false">IF(NOT(ISBLANK(N11)), ROUND(N11/60,0), "")</f>
        <v>517</v>
      </c>
      <c r="P11" s="26" t="n">
        <f aca="false">IF(O11="", IF(D11="", "Neither", "Parallelobox"), IF(D11="","Harpe", O11-D11))</f>
        <v>170</v>
      </c>
      <c r="Q11" s="26" t="n">
        <f aca="false">IF(O11="", IF(I11="", "Neither", "Symmetry"), IF(I11="","Harpe", O11-I11))</f>
        <v>75</v>
      </c>
      <c r="S11" s="0" t="s">
        <v>41</v>
      </c>
      <c r="T11" s="0" t="n">
        <v>33</v>
      </c>
      <c r="U11" s="0" t="n">
        <v>2053155</v>
      </c>
      <c r="V11" s="0" t="n">
        <f aca="false">IF(NOT(ISBLANK(U11)), ROUND(U11/60,0), "")</f>
        <v>34219</v>
      </c>
      <c r="W11" s="0" t="n">
        <f aca="false">V11-D87</f>
        <v>34170</v>
      </c>
      <c r="X11" s="0" t="n">
        <f aca="false">V11-D88</f>
        <v>34164</v>
      </c>
    </row>
    <row r="12" customFormat="false" ht="12.8" hidden="false" customHeight="false" outlineLevel="0" collapsed="false">
      <c r="A12" s="0" t="s">
        <v>31</v>
      </c>
      <c r="B12" s="0" t="n">
        <v>100</v>
      </c>
      <c r="C12" s="0" t="n">
        <v>15955</v>
      </c>
      <c r="D12" s="25" t="n">
        <f aca="false">IF(NOT(ISBLANK(C12)), ROUND(C12/60,0), "")</f>
        <v>266</v>
      </c>
      <c r="F12" s="0" t="s">
        <v>31</v>
      </c>
      <c r="G12" s="0" t="n">
        <v>100</v>
      </c>
      <c r="H12" s="0" t="n">
        <v>22349</v>
      </c>
      <c r="I12" s="0" t="n">
        <f aca="false">IF(NOT(ISBLANK(H12)), ROUND(H12/60,0), "")</f>
        <v>372</v>
      </c>
      <c r="J12" s="26" t="n">
        <f aca="false">IF(I12="", IF(D12="", "Neither", "Parallelobox"), IF(D12="","Symmetry", I12-D12))</f>
        <v>106</v>
      </c>
      <c r="K12" s="26"/>
      <c r="L12" s="0" t="s">
        <v>31</v>
      </c>
      <c r="M12" s="0" t="n">
        <v>100</v>
      </c>
      <c r="N12" s="0" t="n">
        <v>28677</v>
      </c>
      <c r="O12" s="0" t="n">
        <f aca="false">IF(NOT(ISBLANK(N12)), ROUND(N12/60,0), "")</f>
        <v>478</v>
      </c>
      <c r="P12" s="26" t="n">
        <f aca="false">IF(O12="", IF(D12="", "Neither", "Parallelobox"), IF(D12="","Harpe", O12-D12))</f>
        <v>212</v>
      </c>
      <c r="Q12" s="26" t="n">
        <f aca="false">IF(O12="", IF(I12="", "Neither", "Symmetry"), IF(I12="","Harpe", O12-I12))</f>
        <v>106</v>
      </c>
      <c r="S12" s="0" t="s">
        <v>42</v>
      </c>
      <c r="T12" s="0" t="n">
        <v>33</v>
      </c>
      <c r="U12" s="0" t="n">
        <v>15178792</v>
      </c>
      <c r="V12" s="0" t="n">
        <f aca="false">IF(NOT(ISBLANK(U12)), ROUND(U12/60,0), "")</f>
        <v>252980</v>
      </c>
      <c r="W12" s="0" t="n">
        <f aca="false">V12-D97</f>
        <v>252733</v>
      </c>
      <c r="X12" s="0" t="n">
        <f aca="false">V12-D98</f>
        <v>252793</v>
      </c>
    </row>
    <row r="13" customFormat="false" ht="12.8" hidden="false" customHeight="false" outlineLevel="0" collapsed="false">
      <c r="A13" s="0" t="s">
        <v>32</v>
      </c>
      <c r="B13" s="0" t="n">
        <v>5</v>
      </c>
      <c r="D13" s="25" t="str">
        <f aca="false">IF(NOT(ISBLANK(C13)), ROUND(C13/60,0), "")</f>
        <v/>
      </c>
      <c r="F13" s="0" t="s">
        <v>32</v>
      </c>
      <c r="G13" s="0" t="n">
        <v>5</v>
      </c>
      <c r="H13" s="0" t="n">
        <v>109252</v>
      </c>
      <c r="I13" s="0" t="n">
        <f aca="false">IF(NOT(ISBLANK(H13)), ROUND(H13/60,0), "")</f>
        <v>1821</v>
      </c>
      <c r="J13" s="26" t="str">
        <f aca="false">IF(I13="", IF(D13="", "Neither", "Parallelobox"), IF(D13="","Symmetry", I13-D13))</f>
        <v>Symmetry</v>
      </c>
      <c r="K13" s="26"/>
      <c r="L13" s="0" t="s">
        <v>32</v>
      </c>
      <c r="M13" s="0" t="n">
        <v>5</v>
      </c>
      <c r="N13" s="0" t="n">
        <v>160626</v>
      </c>
      <c r="O13" s="0" t="n">
        <f aca="false">IF(NOT(ISBLANK(N13)), ROUND(N13/60,0), "")</f>
        <v>2677</v>
      </c>
      <c r="P13" s="26" t="str">
        <f aca="false">IF(O13="", IF(D13="", "Neither", "Parallelobox"), IF(D13="","Harpe", O13-D13))</f>
        <v>Harpe</v>
      </c>
      <c r="Q13" s="26" t="n">
        <f aca="false">IF(O13="", IF(I13="", "Neither", "Symmetry"), IF(I13="","Harpe", O13-I13))</f>
        <v>856</v>
      </c>
      <c r="S13" s="0" t="s">
        <v>43</v>
      </c>
      <c r="T13" s="0" t="n">
        <v>31</v>
      </c>
      <c r="U13" s="0" t="n">
        <v>136650</v>
      </c>
      <c r="V13" s="0" t="n">
        <f aca="false">IF(NOT(ISBLANK(U13)), ROUND(U13/60,0), "")</f>
        <v>2278</v>
      </c>
      <c r="W13" s="0" t="n">
        <f aca="false">V13-D107</f>
        <v>1504</v>
      </c>
      <c r="X13" s="0" t="n">
        <f aca="false">V13-D108</f>
        <v>1598</v>
      </c>
    </row>
    <row r="14" customFormat="false" ht="12.8" hidden="false" customHeight="false" outlineLevel="0" collapsed="false">
      <c r="A14" s="0" t="s">
        <v>32</v>
      </c>
      <c r="B14" s="0" t="n">
        <v>10</v>
      </c>
      <c r="C14" s="0" t="n">
        <v>98809</v>
      </c>
      <c r="D14" s="25" t="n">
        <f aca="false">IF(NOT(ISBLANK(C14)), ROUND(C14/60,0), "")</f>
        <v>1647</v>
      </c>
      <c r="F14" s="0" t="s">
        <v>32</v>
      </c>
      <c r="G14" s="0" t="n">
        <v>10</v>
      </c>
      <c r="H14" s="0" t="n">
        <v>79179</v>
      </c>
      <c r="I14" s="0" t="n">
        <f aca="false">IF(NOT(ISBLANK(H14)), ROUND(H14/60,0), "")</f>
        <v>1320</v>
      </c>
      <c r="J14" s="26" t="n">
        <f aca="false">IF(I14="", IF(D14="", "Neither", "Parallelobox"), IF(D14="","Symmetry", I14-D14))</f>
        <v>-327</v>
      </c>
      <c r="K14" s="26"/>
      <c r="L14" s="0" t="s">
        <v>32</v>
      </c>
      <c r="M14" s="0" t="n">
        <v>10</v>
      </c>
      <c r="N14" s="0" t="n">
        <v>101867</v>
      </c>
      <c r="O14" s="0" t="n">
        <f aca="false">IF(NOT(ISBLANK(N14)), ROUND(N14/60,0), "")</f>
        <v>1698</v>
      </c>
      <c r="P14" s="26" t="n">
        <f aca="false">IF(O14="", IF(D14="", "Neither", "Parallelobox"), IF(D14="","Harpe", O14-D14))</f>
        <v>51</v>
      </c>
      <c r="Q14" s="26" t="n">
        <f aca="false">IF(O14="", IF(I14="", "Neither", "Symmetry"), IF(I14="","Harpe", O14-I14))</f>
        <v>378</v>
      </c>
      <c r="S14" s="0" t="s">
        <v>44</v>
      </c>
      <c r="T14" s="0" t="n">
        <v>36</v>
      </c>
      <c r="U14" s="0" t="n">
        <v>442873</v>
      </c>
      <c r="V14" s="0" t="n">
        <f aca="false">IF(NOT(ISBLANK(U14)), ROUND(U14/60,0), "")</f>
        <v>7381</v>
      </c>
      <c r="W14" s="0" t="s">
        <v>35</v>
      </c>
      <c r="X14" s="0" t="n">
        <f aca="false">V14-D120</f>
        <v>5595</v>
      </c>
      <c r="AD14" s="0"/>
      <c r="AE14" s="17"/>
    </row>
    <row r="15" customFormat="false" ht="12.8" hidden="false" customHeight="false" outlineLevel="0" collapsed="false">
      <c r="A15" s="0" t="s">
        <v>32</v>
      </c>
      <c r="B15" s="0" t="n">
        <v>15</v>
      </c>
      <c r="C15" s="0" t="n">
        <v>59586</v>
      </c>
      <c r="D15" s="25" t="n">
        <f aca="false">IF(NOT(ISBLANK(C15)), ROUND(C15/60,0), "")</f>
        <v>993</v>
      </c>
      <c r="F15" s="0" t="s">
        <v>32</v>
      </c>
      <c r="G15" s="0" t="n">
        <v>15</v>
      </c>
      <c r="H15" s="0" t="n">
        <v>60570</v>
      </c>
      <c r="I15" s="0" t="n">
        <f aca="false">IF(NOT(ISBLANK(H15)), ROUND(H15/60,0), "")</f>
        <v>1010</v>
      </c>
      <c r="J15" s="26" t="n">
        <f aca="false">IF(I15="", IF(D15="", "Neither", "Parallelobox"), IF(D15="","Symmetry", I15-D15))</f>
        <v>17</v>
      </c>
      <c r="K15" s="26"/>
      <c r="L15" s="0" t="s">
        <v>32</v>
      </c>
      <c r="M15" s="0" t="n">
        <v>15</v>
      </c>
      <c r="N15" s="0" t="n">
        <v>88112</v>
      </c>
      <c r="O15" s="0" t="n">
        <f aca="false">IF(NOT(ISBLANK(N15)), ROUND(N15/60,0), "")</f>
        <v>1469</v>
      </c>
      <c r="P15" s="26" t="n">
        <f aca="false">IF(O15="", IF(D15="", "Neither", "Parallelobox"), IF(D15="","Harpe", O15-D15))</f>
        <v>476</v>
      </c>
      <c r="Q15" s="26" t="n">
        <f aca="false">IF(O15="", IF(I15="", "Neither", "Symmetry"), IF(I15="","Harpe", O15-I15))</f>
        <v>459</v>
      </c>
      <c r="S15" s="0" t="s">
        <v>45</v>
      </c>
      <c r="T15" s="0" t="n">
        <v>52</v>
      </c>
      <c r="U15" s="0" t="n">
        <v>218729</v>
      </c>
      <c r="V15" s="0" t="n">
        <f aca="false">IF(NOT(ISBLANK(U15)), ROUND(U15/60,0), "")</f>
        <v>3645</v>
      </c>
      <c r="W15" s="0" t="n">
        <v>1136</v>
      </c>
      <c r="X15" s="0" t="n">
        <v>831</v>
      </c>
      <c r="AD15" s="0"/>
      <c r="AE15" s="17"/>
    </row>
    <row r="16" customFormat="false" ht="12.8" hidden="false" customHeight="false" outlineLevel="0" collapsed="false">
      <c r="A16" s="0" t="s">
        <v>32</v>
      </c>
      <c r="B16" s="0" t="n">
        <v>20</v>
      </c>
      <c r="C16" s="0" t="n">
        <v>45696</v>
      </c>
      <c r="D16" s="25" t="n">
        <f aca="false">IF(NOT(ISBLANK(C16)), ROUND(C16/60,0), "")</f>
        <v>762</v>
      </c>
      <c r="F16" s="0" t="s">
        <v>32</v>
      </c>
      <c r="G16" s="0" t="n">
        <v>20</v>
      </c>
      <c r="H16" s="0" t="n">
        <v>52772</v>
      </c>
      <c r="I16" s="0" t="n">
        <f aca="false">IF(NOT(ISBLANK(H16)), ROUND(H16/60,0), "")</f>
        <v>880</v>
      </c>
      <c r="J16" s="26" t="n">
        <f aca="false">IF(I16="", IF(D16="", "Neither", "Parallelobox"), IF(D16="","Symmetry", I16-D16))</f>
        <v>118</v>
      </c>
      <c r="K16" s="26"/>
      <c r="L16" s="0" t="s">
        <v>32</v>
      </c>
      <c r="M16" s="0" t="n">
        <v>20</v>
      </c>
      <c r="N16" s="0" t="n">
        <v>81285</v>
      </c>
      <c r="O16" s="0" t="n">
        <f aca="false">IF(NOT(ISBLANK(N16)), ROUND(N16/60,0), "")</f>
        <v>1355</v>
      </c>
      <c r="P16" s="26" t="n">
        <f aca="false">IF(O16="", IF(D16="", "Neither", "Parallelobox"), IF(D16="","Harpe", O16-D16))</f>
        <v>593</v>
      </c>
      <c r="Q16" s="26" t="n">
        <f aca="false">IF(O16="", IF(I16="", "Neither", "Symmetry"), IF(I16="","Harpe", O16-I16))</f>
        <v>475</v>
      </c>
      <c r="S16" s="0" t="s">
        <v>46</v>
      </c>
      <c r="T16" s="0" t="n">
        <v>14</v>
      </c>
      <c r="U16" s="0" t="n">
        <v>19756</v>
      </c>
      <c r="V16" s="0" t="n">
        <f aca="false">IF(NOT(ISBLANK(U16)), ROUND(U16/60,0), "")</f>
        <v>329</v>
      </c>
      <c r="W16" s="0" t="n">
        <f aca="false">V16-D124</f>
        <v>-43</v>
      </c>
      <c r="X16" s="0" t="n">
        <f aca="false">V16-D125</f>
        <v>70</v>
      </c>
    </row>
    <row r="17" customFormat="false" ht="12.8" hidden="false" customHeight="false" outlineLevel="0" collapsed="false">
      <c r="A17" s="0" t="s">
        <v>32</v>
      </c>
      <c r="B17" s="0" t="n">
        <v>30</v>
      </c>
      <c r="C17" s="0" t="n">
        <v>38843</v>
      </c>
      <c r="D17" s="25" t="n">
        <f aca="false">IF(NOT(ISBLANK(C17)), ROUND(C17/60,0), "")</f>
        <v>647</v>
      </c>
      <c r="F17" s="0" t="s">
        <v>32</v>
      </c>
      <c r="G17" s="0" t="n">
        <v>30</v>
      </c>
      <c r="H17" s="0" t="n">
        <v>50410</v>
      </c>
      <c r="I17" s="0" t="n">
        <f aca="false">IF(NOT(ISBLANK(H17)), ROUND(H17/60,0), "")</f>
        <v>840</v>
      </c>
      <c r="J17" s="26" t="n">
        <f aca="false">IF(I17="", IF(D17="", "Neither", "Parallelobox"), IF(D17="","Symmetry", I17-D17))</f>
        <v>193</v>
      </c>
      <c r="K17" s="26"/>
      <c r="L17" s="0" t="s">
        <v>32</v>
      </c>
      <c r="M17" s="0" t="n">
        <v>30</v>
      </c>
      <c r="N17" s="0" t="n">
        <v>74128</v>
      </c>
      <c r="O17" s="0" t="n">
        <f aca="false">IF(NOT(ISBLANK(N17)), ROUND(N17/60,0), "")</f>
        <v>1235</v>
      </c>
      <c r="P17" s="26" t="n">
        <f aca="false">IF(O17="", IF(D17="", "Neither", "Parallelobox"), IF(D17="","Harpe", O17-D17))</f>
        <v>588</v>
      </c>
      <c r="Q17" s="26" t="n">
        <f aca="false">IF(O17="", IF(I17="", "Neither", "Symmetry"), IF(I17="","Harpe", O17-I17))</f>
        <v>395</v>
      </c>
      <c r="S17" s="0" t="s">
        <v>47</v>
      </c>
      <c r="T17" s="0" t="n">
        <v>15</v>
      </c>
      <c r="U17" s="0" t="n">
        <v>114368</v>
      </c>
      <c r="V17" s="0" t="n">
        <f aca="false">IF(NOT(ISBLANK(U17)), ROUND(U17/60,0), "")</f>
        <v>1906</v>
      </c>
      <c r="W17" s="0" t="n">
        <f aca="false">V17-D135</f>
        <v>140</v>
      </c>
      <c r="X17" s="0" t="s">
        <v>40</v>
      </c>
    </row>
    <row r="18" customFormat="false" ht="12.8" hidden="false" customHeight="false" outlineLevel="0" collapsed="false">
      <c r="A18" s="0" t="s">
        <v>32</v>
      </c>
      <c r="B18" s="0" t="n">
        <v>40</v>
      </c>
      <c r="C18" s="0" t="n">
        <v>25148</v>
      </c>
      <c r="D18" s="25" t="n">
        <f aca="false">IF(NOT(ISBLANK(C18)), ROUND(C18/60,0), "")</f>
        <v>419</v>
      </c>
      <c r="F18" s="0" t="s">
        <v>32</v>
      </c>
      <c r="G18" s="0" t="n">
        <v>40</v>
      </c>
      <c r="H18" s="0" t="n">
        <v>52916</v>
      </c>
      <c r="I18" s="0" t="n">
        <f aca="false">IF(NOT(ISBLANK(H18)), ROUND(H18/60,0), "")</f>
        <v>882</v>
      </c>
      <c r="J18" s="26" t="n">
        <f aca="false">IF(I18="", IF(D18="", "Neither", "Parallelobox"), IF(D18="","Symmetry", I18-D18))</f>
        <v>463</v>
      </c>
      <c r="K18" s="26"/>
      <c r="L18" s="0" t="s">
        <v>32</v>
      </c>
      <c r="M18" s="0" t="n">
        <v>40</v>
      </c>
      <c r="P18" s="26" t="str">
        <f aca="false">IF(O18="", IF(D18="", "Neither", "Parallelobox"), IF(D18="","Harpe", O18-D18))</f>
        <v>Parallelobox</v>
      </c>
      <c r="Q18" s="26" t="str">
        <f aca="false">IF(O18="", IF(I18="", "Neither", "Symmetry"), IF(I18="","Harpe", O18-I18))</f>
        <v>Symmetry</v>
      </c>
      <c r="S18" s="0" t="s">
        <v>48</v>
      </c>
      <c r="T18" s="0" t="n">
        <v>25</v>
      </c>
      <c r="U18" s="0" t="n">
        <v>61028</v>
      </c>
      <c r="V18" s="0" t="n">
        <f aca="false">IF(NOT(ISBLANK(U18)), ROUND(U18/60,0), "")</f>
        <v>1017</v>
      </c>
      <c r="W18" s="0" t="n">
        <f aca="false">V18-D156</f>
        <v>178</v>
      </c>
      <c r="X18" s="0" t="n">
        <f aca="false">V18-D157</f>
        <v>492</v>
      </c>
    </row>
    <row r="19" customFormat="false" ht="12.8" hidden="false" customHeight="false" outlineLevel="0" collapsed="false">
      <c r="A19" s="0" t="s">
        <v>32</v>
      </c>
      <c r="B19" s="0" t="n">
        <v>50</v>
      </c>
      <c r="C19" s="0" t="n">
        <v>22999</v>
      </c>
      <c r="D19" s="25" t="n">
        <f aca="false">IF(NOT(ISBLANK(C19)), ROUND(C19/60,0), "")</f>
        <v>383</v>
      </c>
      <c r="F19" s="0" t="s">
        <v>32</v>
      </c>
      <c r="G19" s="0" t="n">
        <v>50</v>
      </c>
      <c r="H19" s="0" t="n">
        <v>35376</v>
      </c>
      <c r="I19" s="0" t="n">
        <f aca="false">IF(NOT(ISBLANK(H19)), ROUND(H19/60,0), "")</f>
        <v>590</v>
      </c>
      <c r="J19" s="26" t="n">
        <f aca="false">IF(I19="", IF(D19="", "Neither", "Parallelobox"), IF(D19="","Symmetry", I19-D19))</f>
        <v>207</v>
      </c>
      <c r="K19" s="26"/>
      <c r="L19" s="0" t="s">
        <v>32</v>
      </c>
      <c r="M19" s="0" t="n">
        <v>50</v>
      </c>
      <c r="N19" s="0" t="n">
        <v>67182</v>
      </c>
      <c r="O19" s="0" t="n">
        <f aca="false">IF(NOT(ISBLANK(N19)), ROUND(N19/60,0), "")</f>
        <v>1120</v>
      </c>
      <c r="P19" s="26" t="n">
        <f aca="false">IF(O19="", IF(D19="", "Neither", "Parallelobox"), IF(D19="","Harpe", O19-D19))</f>
        <v>737</v>
      </c>
      <c r="Q19" s="26" t="n">
        <f aca="false">IF(O19="", IF(I19="", "Neither", "Symmetry"), IF(I19="","Harpe", O19-I19))</f>
        <v>530</v>
      </c>
      <c r="S19" s="0" t="s">
        <v>49</v>
      </c>
      <c r="T19" s="0" t="n">
        <v>24</v>
      </c>
      <c r="U19" s="0" t="n">
        <v>68406</v>
      </c>
      <c r="V19" s="0" t="n">
        <f aca="false">IF(NOT(ISBLANK(U19)), ROUND(U19/60,0), "")</f>
        <v>1140</v>
      </c>
      <c r="W19" s="0" t="n">
        <f aca="false">V19-D166</f>
        <v>691</v>
      </c>
      <c r="X19" s="0" t="n">
        <f aca="false">V19-D167</f>
        <v>784</v>
      </c>
    </row>
    <row r="20" customFormat="false" ht="12.8" hidden="false" customHeight="false" outlineLevel="0" collapsed="false">
      <c r="A20" s="0" t="s">
        <v>32</v>
      </c>
      <c r="B20" s="0" t="n">
        <v>64</v>
      </c>
      <c r="C20" s="0" t="n">
        <v>20521</v>
      </c>
      <c r="D20" s="25" t="n">
        <f aca="false">IF(NOT(ISBLANK(C20)), ROUND(C20/60,0), "")</f>
        <v>342</v>
      </c>
      <c r="F20" s="0" t="s">
        <v>32</v>
      </c>
      <c r="G20" s="0" t="n">
        <v>64</v>
      </c>
      <c r="H20" s="0" t="n">
        <v>34394</v>
      </c>
      <c r="I20" s="0" t="n">
        <f aca="false">IF(NOT(ISBLANK(H20)), ROUND(H20/60,0), "")</f>
        <v>573</v>
      </c>
      <c r="J20" s="26" t="n">
        <f aca="false">IF(I20="", IF(D20="", "Neither", "Parallelobox"), IF(D20="","Symmetry", I20-D20))</f>
        <v>231</v>
      </c>
      <c r="K20" s="26"/>
      <c r="L20" s="0" t="s">
        <v>32</v>
      </c>
      <c r="M20" s="0" t="n">
        <v>64</v>
      </c>
      <c r="N20" s="0" t="n">
        <v>56670</v>
      </c>
      <c r="O20" s="0" t="n">
        <f aca="false">IF(NOT(ISBLANK(N20)), ROUND(N20/60,0), "")</f>
        <v>945</v>
      </c>
      <c r="P20" s="26" t="n">
        <f aca="false">IF(O20="", IF(D20="", "Neither", "Parallelobox"), IF(D20="","Harpe", O20-D20))</f>
        <v>603</v>
      </c>
      <c r="Q20" s="26" t="n">
        <f aca="false">IF(O20="", IF(I20="", "Neither", "Symmetry"), IF(I20="","Harpe", O20-I20))</f>
        <v>372</v>
      </c>
      <c r="S20" s="0" t="s">
        <v>50</v>
      </c>
      <c r="T20" s="0" t="n">
        <v>34</v>
      </c>
      <c r="U20" s="0" t="n">
        <v>5120752</v>
      </c>
      <c r="V20" s="0" t="n">
        <f aca="false">IF(NOT(ISBLANK(U20)), ROUND(U20/60,0), "")</f>
        <v>85346</v>
      </c>
      <c r="W20" s="0" t="n">
        <f aca="false">V20-D177</f>
        <v>84680</v>
      </c>
      <c r="X20" s="0" t="n">
        <f aca="false">V20-D178</f>
        <v>84804</v>
      </c>
    </row>
    <row r="21" customFormat="false" ht="12.8" hidden="false" customHeight="false" outlineLevel="0" collapsed="false">
      <c r="A21" s="0" t="s">
        <v>32</v>
      </c>
      <c r="B21" s="0" t="n">
        <v>82</v>
      </c>
      <c r="C21" s="0" t="n">
        <v>19557</v>
      </c>
      <c r="D21" s="25" t="n">
        <f aca="false">IF(NOT(ISBLANK(C21)), ROUND(C21/60,0), "")</f>
        <v>326</v>
      </c>
      <c r="F21" s="0" t="s">
        <v>32</v>
      </c>
      <c r="G21" s="0" t="n">
        <v>82</v>
      </c>
      <c r="H21" s="0" t="n">
        <v>35319</v>
      </c>
      <c r="I21" s="0" t="n">
        <f aca="false">IF(NOT(ISBLANK(H21)), ROUND(H21/60,0), "")</f>
        <v>589</v>
      </c>
      <c r="J21" s="26" t="n">
        <f aca="false">IF(I21="", IF(D21="", "Neither", "Parallelobox"), IF(D21="","Symmetry", I21-D21))</f>
        <v>263</v>
      </c>
      <c r="K21" s="26"/>
      <c r="L21" s="0" t="s">
        <v>32</v>
      </c>
      <c r="M21" s="0" t="n">
        <v>82</v>
      </c>
      <c r="N21" s="0" t="n">
        <v>61231</v>
      </c>
      <c r="O21" s="0" t="n">
        <f aca="false">IF(NOT(ISBLANK(N21)), ROUND(N21/60,0), "")</f>
        <v>1021</v>
      </c>
      <c r="P21" s="26" t="n">
        <f aca="false">IF(O21="", IF(D21="", "Neither", "Parallelobox"), IF(D21="","Harpe", O21-D21))</f>
        <v>695</v>
      </c>
      <c r="Q21" s="26" t="n">
        <f aca="false">IF(O21="", IF(I21="", "Neither", "Symmetry"), IF(I21="","Harpe", O21-I21))</f>
        <v>432</v>
      </c>
    </row>
    <row r="22" customFormat="false" ht="12.8" hidden="false" customHeight="false" outlineLevel="0" collapsed="false">
      <c r="A22" s="0" t="s">
        <v>32</v>
      </c>
      <c r="B22" s="0" t="n">
        <v>100</v>
      </c>
      <c r="C22" s="0" t="n">
        <v>14139</v>
      </c>
      <c r="D22" s="25" t="n">
        <f aca="false">IF(NOT(ISBLANK(C22)), ROUND(C22/60,0), "")</f>
        <v>236</v>
      </c>
      <c r="F22" s="0" t="s">
        <v>32</v>
      </c>
      <c r="G22" s="0" t="n">
        <v>100</v>
      </c>
      <c r="H22" s="0" t="n">
        <v>24317</v>
      </c>
      <c r="I22" s="0" t="n">
        <f aca="false">IF(NOT(ISBLANK(H22)), ROUND(H22/60,0), "")</f>
        <v>405</v>
      </c>
      <c r="J22" s="26" t="n">
        <f aca="false">IF(I22="", IF(D22="", "Neither", "Parallelobox"), IF(D22="","Symmetry", I22-D22))</f>
        <v>169</v>
      </c>
      <c r="K22" s="26"/>
      <c r="L22" s="0" t="s">
        <v>32</v>
      </c>
      <c r="M22" s="0" t="n">
        <v>100</v>
      </c>
      <c r="P22" s="26" t="str">
        <f aca="false">IF(O22="", IF(D22="", "Neither", "Parallelobox"), IF(D22="","Harpe", O22-D22))</f>
        <v>Parallelobox</v>
      </c>
      <c r="Q22" s="26" t="str">
        <f aca="false">IF(O22="", IF(I22="", "Neither", "Symmetry"), IF(I22="","Harpe", O22-I22))</f>
        <v>Symmetry</v>
      </c>
    </row>
    <row r="23" customFormat="false" ht="12.8" hidden="false" customHeight="false" outlineLevel="0" collapsed="false">
      <c r="A23" s="0" t="s">
        <v>33</v>
      </c>
      <c r="B23" s="0" t="n">
        <v>5</v>
      </c>
      <c r="D23" s="25" t="str">
        <f aca="false">IF(NOT(ISBLANK(C23)), ROUND(C23/60,0), "")</f>
        <v/>
      </c>
      <c r="F23" s="0" t="s">
        <v>33</v>
      </c>
      <c r="G23" s="0" t="n">
        <v>5</v>
      </c>
      <c r="H23" s="0" t="n">
        <v>212635</v>
      </c>
      <c r="I23" s="0" t="n">
        <f aca="false">IF(NOT(ISBLANK(H23)), ROUND(H23/60,0), "")</f>
        <v>3544</v>
      </c>
      <c r="J23" s="26" t="str">
        <f aca="false">IF(I23="", IF(D23="", "Neither", "Parallelobox"), IF(D23="","Symmetry", I23-D23))</f>
        <v>Symmetry</v>
      </c>
      <c r="K23" s="26"/>
      <c r="L23" s="0" t="s">
        <v>33</v>
      </c>
      <c r="M23" s="0" t="n">
        <v>5</v>
      </c>
      <c r="N23" s="0" t="n">
        <v>248227</v>
      </c>
      <c r="O23" s="0" t="n">
        <f aca="false">IF(NOT(ISBLANK(N23)), ROUND(N23/60,0), "")</f>
        <v>4137</v>
      </c>
      <c r="P23" s="26" t="str">
        <f aca="false">IF(O23="", IF(D23="", "Neither", "Parallelobox"), IF(D23="","Harpe", O23-D23))</f>
        <v>Harpe</v>
      </c>
      <c r="Q23" s="26" t="n">
        <f aca="false">IF(O23="", IF(I23="", "Neither", "Symmetry"), IF(I23="","Harpe", O23-I23))</f>
        <v>593</v>
      </c>
    </row>
    <row r="24" customFormat="false" ht="12.8" hidden="false" customHeight="false" outlineLevel="0" collapsed="false">
      <c r="A24" s="0" t="s">
        <v>33</v>
      </c>
      <c r="B24" s="0" t="n">
        <v>10</v>
      </c>
      <c r="D24" s="25" t="str">
        <f aca="false">IF(NOT(ISBLANK(C24)), ROUND(C24/60,0), "")</f>
        <v/>
      </c>
      <c r="F24" s="0" t="s">
        <v>33</v>
      </c>
      <c r="G24" s="0" t="n">
        <v>10</v>
      </c>
      <c r="H24" s="0" t="n">
        <v>179372</v>
      </c>
      <c r="I24" s="0" t="n">
        <f aca="false">IF(NOT(ISBLANK(H24)), ROUND(H24/60,0), "")</f>
        <v>2990</v>
      </c>
      <c r="J24" s="26" t="str">
        <f aca="false">IF(I24="", IF(D24="", "Neither", "Parallelobox"), IF(D24="","Symmetry", I24-D24))</f>
        <v>Symmetry</v>
      </c>
      <c r="K24" s="26"/>
      <c r="L24" s="0" t="s">
        <v>33</v>
      </c>
      <c r="M24" s="0" t="n">
        <v>10</v>
      </c>
      <c r="N24" s="0" t="n">
        <v>188753</v>
      </c>
      <c r="O24" s="0" t="n">
        <f aca="false">IF(NOT(ISBLANK(N24)), ROUND(N24/60,0), "")</f>
        <v>3146</v>
      </c>
      <c r="P24" s="26" t="str">
        <f aca="false">IF(O24="", IF(D24="", "Neither", "Parallelobox"), IF(D24="","Harpe", O24-D24))</f>
        <v>Harpe</v>
      </c>
      <c r="Q24" s="26" t="n">
        <f aca="false">IF(O24="", IF(I24="", "Neither", "Symmetry"), IF(I24="","Harpe", O24-I24))</f>
        <v>156</v>
      </c>
    </row>
    <row r="25" customFormat="false" ht="12.8" hidden="false" customHeight="false" outlineLevel="0" collapsed="false">
      <c r="A25" s="0" t="s">
        <v>33</v>
      </c>
      <c r="B25" s="0" t="n">
        <v>15</v>
      </c>
      <c r="C25" s="0" t="n">
        <v>96129</v>
      </c>
      <c r="D25" s="25" t="n">
        <f aca="false">IF(NOT(ISBLANK(C25)), ROUND(C25/60,0), "")</f>
        <v>1602</v>
      </c>
      <c r="F25" s="0" t="s">
        <v>33</v>
      </c>
      <c r="G25" s="0" t="n">
        <v>15</v>
      </c>
      <c r="H25" s="0" t="n">
        <v>127536</v>
      </c>
      <c r="I25" s="0" t="n">
        <f aca="false">IF(NOT(ISBLANK(H25)), ROUND(H25/60,0), "")</f>
        <v>2126</v>
      </c>
      <c r="J25" s="26" t="n">
        <f aca="false">IF(I25="", IF(D25="", "Neither", "Parallelobox"), IF(D25="","Symmetry", I25-D25))</f>
        <v>524</v>
      </c>
      <c r="K25" s="26"/>
      <c r="L25" s="0" t="s">
        <v>33</v>
      </c>
      <c r="M25" s="0" t="n">
        <v>15</v>
      </c>
      <c r="N25" s="0" t="n">
        <v>102606</v>
      </c>
      <c r="O25" s="0" t="n">
        <f aca="false">IF(NOT(ISBLANK(N25)), ROUND(N25/60,0), "")</f>
        <v>1710</v>
      </c>
      <c r="P25" s="26" t="n">
        <f aca="false">IF(O25="", IF(D25="", "Neither", "Parallelobox"), IF(D25="","Harpe", O25-D25))</f>
        <v>108</v>
      </c>
      <c r="Q25" s="26" t="n">
        <f aca="false">IF(O25="", IF(I25="", "Neither", "Symmetry"), IF(I25="","Harpe", O25-I25))</f>
        <v>-416</v>
      </c>
    </row>
    <row r="26" customFormat="false" ht="12.8" hidden="false" customHeight="false" outlineLevel="0" collapsed="false">
      <c r="A26" s="0" t="s">
        <v>33</v>
      </c>
      <c r="B26" s="0" t="n">
        <v>20</v>
      </c>
      <c r="C26" s="0" t="n">
        <v>78484</v>
      </c>
      <c r="D26" s="25" t="n">
        <f aca="false">IF(NOT(ISBLANK(C26)), ROUND(C26/60,0), "")</f>
        <v>1308</v>
      </c>
      <c r="F26" s="0" t="s">
        <v>33</v>
      </c>
      <c r="G26" s="0" t="n">
        <v>20</v>
      </c>
      <c r="H26" s="0" t="n">
        <v>88743</v>
      </c>
      <c r="I26" s="0" t="n">
        <f aca="false">IF(NOT(ISBLANK(H26)), ROUND(H26/60,0), "")</f>
        <v>1479</v>
      </c>
      <c r="J26" s="26" t="n">
        <f aca="false">IF(I26="", IF(D26="", "Neither", "Parallelobox"), IF(D26="","Symmetry", I26-D26))</f>
        <v>171</v>
      </c>
      <c r="K26" s="26"/>
      <c r="L26" s="0" t="s">
        <v>33</v>
      </c>
      <c r="M26" s="0" t="n">
        <v>20</v>
      </c>
      <c r="N26" s="0" t="n">
        <v>93123</v>
      </c>
      <c r="O26" s="0" t="n">
        <f aca="false">IF(NOT(ISBLANK(N26)), ROUND(N26/60,0), "")</f>
        <v>1552</v>
      </c>
      <c r="P26" s="26" t="n">
        <f aca="false">IF(O26="", IF(D26="", "Neither", "Parallelobox"), IF(D26="","Harpe", O26-D26))</f>
        <v>244</v>
      </c>
      <c r="Q26" s="26" t="n">
        <f aca="false">IF(O26="", IF(I26="", "Neither", "Symmetry"), IF(I26="","Harpe", O26-I26))</f>
        <v>73</v>
      </c>
    </row>
    <row r="27" customFormat="false" ht="12.8" hidden="false" customHeight="false" outlineLevel="0" collapsed="false">
      <c r="A27" s="0" t="s">
        <v>33</v>
      </c>
      <c r="B27" s="0" t="n">
        <v>30</v>
      </c>
      <c r="C27" s="0" t="n">
        <v>72884</v>
      </c>
      <c r="D27" s="25" t="n">
        <f aca="false">IF(NOT(ISBLANK(C27)), ROUND(C27/60,0), "")</f>
        <v>1215</v>
      </c>
      <c r="F27" s="0" t="s">
        <v>33</v>
      </c>
      <c r="G27" s="0" t="n">
        <v>30</v>
      </c>
      <c r="H27" s="0" t="n">
        <v>61254</v>
      </c>
      <c r="I27" s="0" t="n">
        <f aca="false">IF(NOT(ISBLANK(H27)), ROUND(H27/60,0), "")</f>
        <v>1021</v>
      </c>
      <c r="J27" s="26" t="n">
        <f aca="false">IF(I27="", IF(D27="", "Neither", "Parallelobox"), IF(D27="","Symmetry", I27-D27))</f>
        <v>-194</v>
      </c>
      <c r="K27" s="26"/>
      <c r="L27" s="0" t="s">
        <v>33</v>
      </c>
      <c r="M27" s="0" t="n">
        <v>30</v>
      </c>
      <c r="N27" s="0" t="n">
        <v>80031</v>
      </c>
      <c r="O27" s="0" t="n">
        <f aca="false">IF(NOT(ISBLANK(N27)), ROUND(N27/60,0), "")</f>
        <v>1334</v>
      </c>
      <c r="P27" s="26" t="n">
        <f aca="false">IF(O27="", IF(D27="", "Neither", "Parallelobox"), IF(D27="","Harpe", O27-D27))</f>
        <v>119</v>
      </c>
      <c r="Q27" s="26" t="n">
        <f aca="false">IF(O27="", IF(I27="", "Neither", "Symmetry"), IF(I27="","Harpe", O27-I27))</f>
        <v>313</v>
      </c>
    </row>
    <row r="28" customFormat="false" ht="12.8" hidden="false" customHeight="false" outlineLevel="0" collapsed="false">
      <c r="A28" s="0" t="s">
        <v>33</v>
      </c>
      <c r="B28" s="0" t="n">
        <v>40</v>
      </c>
      <c r="C28" s="0" t="n">
        <v>63753</v>
      </c>
      <c r="D28" s="25" t="n">
        <f aca="false">IF(NOT(ISBLANK(C28)), ROUND(C28/60,0), "")</f>
        <v>1063</v>
      </c>
      <c r="F28" s="0" t="s">
        <v>33</v>
      </c>
      <c r="G28" s="0" t="n">
        <v>40</v>
      </c>
      <c r="H28" s="0" t="n">
        <v>56006</v>
      </c>
      <c r="I28" s="0" t="n">
        <f aca="false">IF(NOT(ISBLANK(H28)), ROUND(H28/60,0), "")</f>
        <v>933</v>
      </c>
      <c r="J28" s="26" t="n">
        <f aca="false">IF(I28="", IF(D28="", "Neither", "Parallelobox"), IF(D28="","Symmetry", I28-D28))</f>
        <v>-130</v>
      </c>
      <c r="K28" s="26"/>
      <c r="L28" s="0" t="s">
        <v>33</v>
      </c>
      <c r="M28" s="0" t="n">
        <v>40</v>
      </c>
      <c r="P28" s="26" t="str">
        <f aca="false">IF(O28="", IF(D28="", "Neither", "Parallelobox"), IF(D28="","Harpe", O28-D28))</f>
        <v>Parallelobox</v>
      </c>
      <c r="Q28" s="26" t="str">
        <f aca="false">IF(O28="", IF(I28="", "Neither", "Symmetry"), IF(I28="","Harpe", O28-I28))</f>
        <v>Symmetry</v>
      </c>
    </row>
    <row r="29" customFormat="false" ht="12.8" hidden="false" customHeight="false" outlineLevel="0" collapsed="false">
      <c r="A29" s="0" t="s">
        <v>33</v>
      </c>
      <c r="B29" s="0" t="n">
        <v>50</v>
      </c>
      <c r="C29" s="0" t="n">
        <v>38641</v>
      </c>
      <c r="D29" s="25" t="n">
        <f aca="false">IF(NOT(ISBLANK(C29)), ROUND(C29/60,0), "")</f>
        <v>644</v>
      </c>
      <c r="F29" s="0" t="s">
        <v>33</v>
      </c>
      <c r="G29" s="0" t="n">
        <v>50</v>
      </c>
      <c r="H29" s="0" t="n">
        <v>44119</v>
      </c>
      <c r="I29" s="0" t="n">
        <f aca="false">IF(NOT(ISBLANK(H29)), ROUND(H29/60,0), "")</f>
        <v>735</v>
      </c>
      <c r="J29" s="26" t="n">
        <f aca="false">IF(I29="", IF(D29="", "Neither", "Parallelobox"), IF(D29="","Symmetry", I29-D29))</f>
        <v>91</v>
      </c>
      <c r="K29" s="26"/>
      <c r="L29" s="0" t="s">
        <v>33</v>
      </c>
      <c r="M29" s="0" t="n">
        <v>50</v>
      </c>
      <c r="P29" s="26" t="str">
        <f aca="false">IF(O29="", IF(D29="", "Neither", "Parallelobox"), IF(D29="","Harpe", O29-D29))</f>
        <v>Parallelobox</v>
      </c>
      <c r="Q29" s="26" t="str">
        <f aca="false">IF(O29="", IF(I29="", "Neither", "Symmetry"), IF(I29="","Harpe", O29-I29))</f>
        <v>Symmetry</v>
      </c>
    </row>
    <row r="30" customFormat="false" ht="12.8" hidden="false" customHeight="false" outlineLevel="0" collapsed="false">
      <c r="A30" s="0" t="s">
        <v>33</v>
      </c>
      <c r="B30" s="0" t="n">
        <v>64</v>
      </c>
      <c r="C30" s="0" t="n">
        <v>28973</v>
      </c>
      <c r="D30" s="25" t="n">
        <f aca="false">IF(NOT(ISBLANK(C30)), ROUND(C30/60,0), "")</f>
        <v>483</v>
      </c>
      <c r="F30" s="0" t="s">
        <v>33</v>
      </c>
      <c r="G30" s="0" t="n">
        <v>64</v>
      </c>
      <c r="H30" s="0" t="n">
        <v>37179</v>
      </c>
      <c r="I30" s="0" t="n">
        <f aca="false">IF(NOT(ISBLANK(H30)), ROUND(H30/60,0), "")</f>
        <v>620</v>
      </c>
      <c r="J30" s="26" t="n">
        <f aca="false">IF(I30="", IF(D30="", "Neither", "Parallelobox"), IF(D30="","Symmetry", I30-D30))</f>
        <v>137</v>
      </c>
      <c r="K30" s="26"/>
      <c r="L30" s="0" t="s">
        <v>33</v>
      </c>
      <c r="M30" s="0" t="n">
        <v>64</v>
      </c>
      <c r="N30" s="0" t="n">
        <v>54819</v>
      </c>
      <c r="O30" s="0" t="n">
        <f aca="false">IF(NOT(ISBLANK(N30)), ROUND(N30/60,0), "")</f>
        <v>914</v>
      </c>
      <c r="P30" s="26" t="n">
        <f aca="false">IF(O30="", IF(D30="", "Neither", "Parallelobox"), IF(D30="","Harpe", O30-D30))</f>
        <v>431</v>
      </c>
      <c r="Q30" s="26" t="n">
        <f aca="false">IF(O30="", IF(I30="", "Neither", "Symmetry"), IF(I30="","Harpe", O30-I30))</f>
        <v>294</v>
      </c>
    </row>
    <row r="31" customFormat="false" ht="12.8" hidden="false" customHeight="false" outlineLevel="0" collapsed="false">
      <c r="A31" s="0" t="s">
        <v>33</v>
      </c>
      <c r="B31" s="0" t="n">
        <v>82</v>
      </c>
      <c r="C31" s="0" t="n">
        <v>28103</v>
      </c>
      <c r="D31" s="25" t="n">
        <f aca="false">IF(NOT(ISBLANK(C31)), ROUND(C31/60,0), "")</f>
        <v>468</v>
      </c>
      <c r="F31" s="0" t="s">
        <v>33</v>
      </c>
      <c r="G31" s="0" t="n">
        <v>82</v>
      </c>
      <c r="H31" s="0" t="n">
        <v>38491</v>
      </c>
      <c r="I31" s="0" t="n">
        <f aca="false">IF(NOT(ISBLANK(H31)), ROUND(H31/60,0), "")</f>
        <v>642</v>
      </c>
      <c r="J31" s="26" t="n">
        <f aca="false">IF(I31="", IF(D31="", "Neither", "Parallelobox"), IF(D31="","Symmetry", I31-D31))</f>
        <v>174</v>
      </c>
      <c r="K31" s="26"/>
      <c r="L31" s="0" t="s">
        <v>33</v>
      </c>
      <c r="M31" s="0" t="n">
        <v>82</v>
      </c>
      <c r="N31" s="0" t="n">
        <v>54380</v>
      </c>
      <c r="O31" s="0" t="n">
        <f aca="false">IF(NOT(ISBLANK(N31)), ROUND(N31/60,0), "")</f>
        <v>906</v>
      </c>
      <c r="P31" s="26" t="n">
        <f aca="false">IF(O31="", IF(D31="", "Neither", "Parallelobox"), IF(D31="","Harpe", O31-D31))</f>
        <v>438</v>
      </c>
      <c r="Q31" s="26" t="n">
        <f aca="false">IF(O31="", IF(I31="", "Neither", "Symmetry"), IF(I31="","Harpe", O31-I31))</f>
        <v>264</v>
      </c>
    </row>
    <row r="32" customFormat="false" ht="12.8" hidden="false" customHeight="false" outlineLevel="0" collapsed="false">
      <c r="A32" s="0" t="s">
        <v>33</v>
      </c>
      <c r="B32" s="0" t="n">
        <v>100</v>
      </c>
      <c r="C32" s="0" t="n">
        <v>20135</v>
      </c>
      <c r="D32" s="25" t="n">
        <f aca="false">IF(NOT(ISBLANK(C32)), ROUND(C32/60,0), "")</f>
        <v>336</v>
      </c>
      <c r="F32" s="0" t="s">
        <v>33</v>
      </c>
      <c r="G32" s="0" t="n">
        <v>100</v>
      </c>
      <c r="H32" s="0" t="n">
        <v>45547</v>
      </c>
      <c r="I32" s="0" t="n">
        <f aca="false">IF(NOT(ISBLANK(H32)), ROUND(H32/60,0), "")</f>
        <v>759</v>
      </c>
      <c r="J32" s="26" t="n">
        <f aca="false">IF(I32="", IF(D32="", "Neither", "Parallelobox"), IF(D32="","Symmetry", I32-D32))</f>
        <v>423</v>
      </c>
      <c r="K32" s="26"/>
      <c r="L32" s="0" t="s">
        <v>33</v>
      </c>
      <c r="M32" s="0" t="n">
        <v>100</v>
      </c>
      <c r="P32" s="26" t="str">
        <f aca="false">IF(O32="", IF(D32="", "Neither", "Parallelobox"), IF(D32="","Harpe", O32-D32))</f>
        <v>Parallelobox</v>
      </c>
      <c r="Q32" s="26" t="str">
        <f aca="false">IF(O32="", IF(I32="", "Neither", "Symmetry"), IF(I32="","Harpe", O32-I32))</f>
        <v>Symmetry</v>
      </c>
    </row>
    <row r="33" customFormat="false" ht="12.8" hidden="false" customHeight="false" outlineLevel="0" collapsed="false">
      <c r="A33" s="0" t="s">
        <v>34</v>
      </c>
      <c r="B33" s="0" t="n">
        <v>5</v>
      </c>
      <c r="D33" s="25" t="str">
        <f aca="false">IF(NOT(ISBLANK(C33)), ROUND(C33/60,0), "")</f>
        <v/>
      </c>
      <c r="F33" s="0" t="s">
        <v>34</v>
      </c>
      <c r="G33" s="0" t="n">
        <v>5</v>
      </c>
      <c r="H33" s="0" t="n">
        <v>112932</v>
      </c>
      <c r="I33" s="0" t="n">
        <f aca="false">IF(NOT(ISBLANK(H33)), ROUND(H33/60,0), "")</f>
        <v>1882</v>
      </c>
      <c r="J33" s="26" t="str">
        <f aca="false">IF(I33="", IF(D33="", "Neither", "Parallelobox"), IF(D33="","Symmetry", I33-D33))</f>
        <v>Symmetry</v>
      </c>
      <c r="K33" s="26"/>
      <c r="L33" s="0" t="s">
        <v>34</v>
      </c>
      <c r="M33" s="0" t="n">
        <v>5</v>
      </c>
      <c r="N33" s="0" t="n">
        <v>112098</v>
      </c>
      <c r="O33" s="0" t="n">
        <f aca="false">IF(NOT(ISBLANK(N33)), ROUND(N33/60,0), "")</f>
        <v>1868</v>
      </c>
      <c r="P33" s="26" t="str">
        <f aca="false">IF(O33="", IF(D33="", "Neither", "Parallelobox"), IF(D33="","Harpe", O33-D33))</f>
        <v>Harpe</v>
      </c>
      <c r="Q33" s="26" t="n">
        <f aca="false">IF(O33="", IF(I33="", "Neither", "Symmetry"), IF(I33="","Harpe", O33-I33))</f>
        <v>-14</v>
      </c>
    </row>
    <row r="34" customFormat="false" ht="12.8" hidden="false" customHeight="false" outlineLevel="0" collapsed="false">
      <c r="A34" s="0" t="s">
        <v>34</v>
      </c>
      <c r="B34" s="0" t="n">
        <v>10</v>
      </c>
      <c r="C34" s="0" t="n">
        <v>69029</v>
      </c>
      <c r="D34" s="25" t="n">
        <f aca="false">IF(NOT(ISBLANK(C34)), ROUND(C34/60,0), "")</f>
        <v>1150</v>
      </c>
      <c r="F34" s="0" t="s">
        <v>34</v>
      </c>
      <c r="G34" s="0" t="n">
        <v>10</v>
      </c>
      <c r="H34" s="0" t="n">
        <v>78057</v>
      </c>
      <c r="I34" s="0" t="n">
        <f aca="false">IF(NOT(ISBLANK(H34)), ROUND(H34/60,0), "")</f>
        <v>1301</v>
      </c>
      <c r="J34" s="26" t="n">
        <f aca="false">IF(I34="", IF(D34="", "Neither", "Parallelobox"), IF(D34="","Symmetry", I34-D34))</f>
        <v>151</v>
      </c>
      <c r="K34" s="26"/>
      <c r="L34" s="0" t="s">
        <v>34</v>
      </c>
      <c r="M34" s="0" t="n">
        <v>10</v>
      </c>
      <c r="N34" s="0" t="n">
        <v>69506</v>
      </c>
      <c r="O34" s="0" t="n">
        <f aca="false">IF(NOT(ISBLANK(N34)), ROUND(N34/60,0), "")</f>
        <v>1158</v>
      </c>
      <c r="P34" s="26" t="n">
        <f aca="false">IF(O34="", IF(D34="", "Neither", "Parallelobox"), IF(D34="","Harpe", O34-D34))</f>
        <v>8</v>
      </c>
      <c r="Q34" s="26" t="n">
        <f aca="false">IF(O34="", IF(I34="", "Neither", "Symmetry"), IF(I34="","Harpe", O34-I34))</f>
        <v>-143</v>
      </c>
    </row>
    <row r="35" customFormat="false" ht="12.8" hidden="false" customHeight="false" outlineLevel="0" collapsed="false">
      <c r="A35" s="0" t="s">
        <v>34</v>
      </c>
      <c r="B35" s="0" t="n">
        <v>15</v>
      </c>
      <c r="D35" s="25" t="str">
        <f aca="false">IF(NOT(ISBLANK(C35)), ROUND(C35/60,0), "")</f>
        <v/>
      </c>
      <c r="F35" s="0" t="s">
        <v>34</v>
      </c>
      <c r="G35" s="0" t="n">
        <v>15</v>
      </c>
      <c r="H35" s="0" t="n">
        <v>49976</v>
      </c>
      <c r="I35" s="0" t="n">
        <f aca="false">IF(NOT(ISBLANK(H35)), ROUND(H35/60,0), "")</f>
        <v>833</v>
      </c>
      <c r="J35" s="26" t="str">
        <f aca="false">IF(I35="", IF(D35="", "Neither", "Parallelobox"), IF(D35="","Symmetry", I35-D35))</f>
        <v>Symmetry</v>
      </c>
      <c r="K35" s="26"/>
      <c r="L35" s="0" t="s">
        <v>34</v>
      </c>
      <c r="M35" s="0" t="n">
        <v>15</v>
      </c>
      <c r="N35" s="0" t="n">
        <v>60970</v>
      </c>
      <c r="O35" s="0" t="n">
        <f aca="false">IF(NOT(ISBLANK(N35)), ROUND(N35/60,0), "")</f>
        <v>1016</v>
      </c>
      <c r="P35" s="26" t="str">
        <f aca="false">IF(O35="", IF(D35="", "Neither", "Parallelobox"), IF(D35="","Harpe", O35-D35))</f>
        <v>Harpe</v>
      </c>
      <c r="Q35" s="26" t="n">
        <f aca="false">IF(O35="", IF(I35="", "Neither", "Symmetry"), IF(I35="","Harpe", O35-I35))</f>
        <v>183</v>
      </c>
    </row>
    <row r="36" customFormat="false" ht="12.8" hidden="false" customHeight="false" outlineLevel="0" collapsed="false">
      <c r="A36" s="0" t="s">
        <v>34</v>
      </c>
      <c r="B36" s="0" t="n">
        <v>20</v>
      </c>
      <c r="C36" s="0" t="n">
        <v>41130</v>
      </c>
      <c r="D36" s="25" t="n">
        <f aca="false">IF(NOT(ISBLANK(C36)), ROUND(C36/60,0), "")</f>
        <v>686</v>
      </c>
      <c r="F36" s="0" t="s">
        <v>34</v>
      </c>
      <c r="G36" s="0" t="n">
        <v>20</v>
      </c>
      <c r="H36" s="0" t="n">
        <v>46351</v>
      </c>
      <c r="I36" s="0" t="n">
        <f aca="false">IF(NOT(ISBLANK(H36)), ROUND(H36/60,0), "")</f>
        <v>773</v>
      </c>
      <c r="J36" s="26" t="n">
        <f aca="false">IF(I36="", IF(D36="", "Neither", "Parallelobox"), IF(D36="","Symmetry", I36-D36))</f>
        <v>87</v>
      </c>
      <c r="K36" s="26"/>
      <c r="L36" s="0" t="s">
        <v>34</v>
      </c>
      <c r="M36" s="0" t="n">
        <v>20</v>
      </c>
      <c r="N36" s="0" t="n">
        <v>48068</v>
      </c>
      <c r="O36" s="0" t="n">
        <f aca="false">IF(NOT(ISBLANK(N36)), ROUND(N36/60,0), "")</f>
        <v>801</v>
      </c>
      <c r="P36" s="26" t="n">
        <f aca="false">IF(O36="", IF(D36="", "Neither", "Parallelobox"), IF(D36="","Harpe", O36-D36))</f>
        <v>115</v>
      </c>
      <c r="Q36" s="26" t="n">
        <f aca="false">IF(O36="", IF(I36="", "Neither", "Symmetry"), IF(I36="","Harpe", O36-I36))</f>
        <v>28</v>
      </c>
    </row>
    <row r="37" customFormat="false" ht="12.8" hidden="false" customHeight="false" outlineLevel="0" collapsed="false">
      <c r="A37" s="0" t="s">
        <v>34</v>
      </c>
      <c r="B37" s="0" t="n">
        <v>30</v>
      </c>
      <c r="C37" s="0" t="n">
        <v>33168</v>
      </c>
      <c r="D37" s="25" t="n">
        <f aca="false">IF(NOT(ISBLANK(C37)), ROUND(C37/60,0), "")</f>
        <v>553</v>
      </c>
      <c r="F37" s="0" t="s">
        <v>34</v>
      </c>
      <c r="G37" s="0" t="n">
        <v>30</v>
      </c>
      <c r="H37" s="0" t="n">
        <v>35138</v>
      </c>
      <c r="I37" s="0" t="n">
        <f aca="false">IF(NOT(ISBLANK(H37)), ROUND(H37/60,0), "")</f>
        <v>586</v>
      </c>
      <c r="J37" s="26" t="n">
        <f aca="false">IF(I37="", IF(D37="", "Neither", "Parallelobox"), IF(D37="","Symmetry", I37-D37))</f>
        <v>33</v>
      </c>
      <c r="K37" s="26"/>
      <c r="L37" s="0" t="s">
        <v>34</v>
      </c>
      <c r="M37" s="0" t="n">
        <v>30</v>
      </c>
      <c r="N37" s="0" t="n">
        <v>43599</v>
      </c>
      <c r="O37" s="0" t="n">
        <f aca="false">IF(NOT(ISBLANK(N37)), ROUND(N37/60,0), "")</f>
        <v>727</v>
      </c>
      <c r="P37" s="26" t="n">
        <f aca="false">IF(O37="", IF(D37="", "Neither", "Parallelobox"), IF(D37="","Harpe", O37-D37))</f>
        <v>174</v>
      </c>
      <c r="Q37" s="26" t="n">
        <f aca="false">IF(O37="", IF(I37="", "Neither", "Symmetry"), IF(I37="","Harpe", O37-I37))</f>
        <v>141</v>
      </c>
    </row>
    <row r="38" customFormat="false" ht="12.8" hidden="false" customHeight="false" outlineLevel="0" collapsed="false">
      <c r="A38" s="0" t="s">
        <v>34</v>
      </c>
      <c r="B38" s="0" t="n">
        <v>40</v>
      </c>
      <c r="C38" s="0" t="n">
        <v>26222</v>
      </c>
      <c r="D38" s="25" t="n">
        <f aca="false">IF(NOT(ISBLANK(C38)), ROUND(C38/60,0), "")</f>
        <v>437</v>
      </c>
      <c r="F38" s="0" t="s">
        <v>34</v>
      </c>
      <c r="G38" s="0" t="n">
        <v>40</v>
      </c>
      <c r="H38" s="0" t="n">
        <v>34672</v>
      </c>
      <c r="I38" s="0" t="n">
        <f aca="false">IF(NOT(ISBLANK(H38)), ROUND(H38/60,0), "")</f>
        <v>578</v>
      </c>
      <c r="J38" s="26" t="n">
        <f aca="false">IF(I38="", IF(D38="", "Neither", "Parallelobox"), IF(D38="","Symmetry", I38-D38))</f>
        <v>141</v>
      </c>
      <c r="K38" s="26"/>
      <c r="L38" s="0" t="s">
        <v>34</v>
      </c>
      <c r="M38" s="0" t="n">
        <v>40</v>
      </c>
      <c r="N38" s="0" t="n">
        <v>30652</v>
      </c>
      <c r="O38" s="0" t="n">
        <f aca="false">IF(NOT(ISBLANK(N38)), ROUND(N38/60,0), "")</f>
        <v>511</v>
      </c>
      <c r="P38" s="26" t="n">
        <f aca="false">IF(O38="", IF(D38="", "Neither", "Parallelobox"), IF(D38="","Harpe", O38-D38))</f>
        <v>74</v>
      </c>
      <c r="Q38" s="26" t="n">
        <f aca="false">IF(O38="", IF(I38="", "Neither", "Symmetry"), IF(I38="","Harpe", O38-I38))</f>
        <v>-67</v>
      </c>
    </row>
    <row r="39" customFormat="false" ht="12.8" hidden="false" customHeight="false" outlineLevel="0" collapsed="false">
      <c r="A39" s="0" t="s">
        <v>34</v>
      </c>
      <c r="B39" s="0" t="n">
        <v>50</v>
      </c>
      <c r="C39" s="0" t="n">
        <v>19630</v>
      </c>
      <c r="D39" s="25" t="n">
        <f aca="false">IF(NOT(ISBLANK(C39)), ROUND(C39/60,0), "")</f>
        <v>327</v>
      </c>
      <c r="F39" s="0" t="s">
        <v>34</v>
      </c>
      <c r="G39" s="0" t="n">
        <v>50</v>
      </c>
      <c r="H39" s="0" t="n">
        <v>27739</v>
      </c>
      <c r="I39" s="0" t="n">
        <f aca="false">IF(NOT(ISBLANK(H39)), ROUND(H39/60,0), "")</f>
        <v>462</v>
      </c>
      <c r="J39" s="26" t="n">
        <f aca="false">IF(I39="", IF(D39="", "Neither", "Parallelobox"), IF(D39="","Symmetry", I39-D39))</f>
        <v>135</v>
      </c>
      <c r="K39" s="26"/>
      <c r="L39" s="0" t="s">
        <v>34</v>
      </c>
      <c r="M39" s="0" t="n">
        <v>50</v>
      </c>
      <c r="N39" s="0" t="n">
        <v>41421</v>
      </c>
      <c r="O39" s="0" t="n">
        <f aca="false">IF(NOT(ISBLANK(N39)), ROUND(N39/60,0), "")</f>
        <v>690</v>
      </c>
      <c r="P39" s="26" t="n">
        <f aca="false">IF(O39="", IF(D39="", "Neither", "Parallelobox"), IF(D39="","Harpe", O39-D39))</f>
        <v>363</v>
      </c>
      <c r="Q39" s="26" t="n">
        <f aca="false">IF(O39="", IF(I39="", "Neither", "Symmetry"), IF(I39="","Harpe", O39-I39))</f>
        <v>228</v>
      </c>
    </row>
    <row r="40" customFormat="false" ht="12.8" hidden="false" customHeight="false" outlineLevel="0" collapsed="false">
      <c r="A40" s="0" t="s">
        <v>34</v>
      </c>
      <c r="B40" s="0" t="n">
        <v>64</v>
      </c>
      <c r="C40" s="0" t="n">
        <v>16549</v>
      </c>
      <c r="D40" s="25" t="n">
        <f aca="false">IF(NOT(ISBLANK(C40)), ROUND(C40/60,0), "")</f>
        <v>276</v>
      </c>
      <c r="F40" s="0" t="s">
        <v>34</v>
      </c>
      <c r="G40" s="0" t="n">
        <v>64</v>
      </c>
      <c r="H40" s="0" t="n">
        <v>25002</v>
      </c>
      <c r="I40" s="0" t="n">
        <f aca="false">IF(NOT(ISBLANK(H40)), ROUND(H40/60,0), "")</f>
        <v>417</v>
      </c>
      <c r="J40" s="26" t="n">
        <f aca="false">IF(I40="", IF(D40="", "Neither", "Parallelobox"), IF(D40="","Symmetry", I40-D40))</f>
        <v>141</v>
      </c>
      <c r="K40" s="26"/>
      <c r="L40" s="0" t="s">
        <v>34</v>
      </c>
      <c r="M40" s="0" t="n">
        <v>64</v>
      </c>
      <c r="N40" s="0" t="n">
        <v>30401</v>
      </c>
      <c r="O40" s="0" t="n">
        <f aca="false">IF(NOT(ISBLANK(N40)), ROUND(N40/60,0), "")</f>
        <v>507</v>
      </c>
      <c r="P40" s="26" t="n">
        <f aca="false">IF(O40="", IF(D40="", "Neither", "Parallelobox"), IF(D40="","Harpe", O40-D40))</f>
        <v>231</v>
      </c>
      <c r="Q40" s="26" t="n">
        <f aca="false">IF(O40="", IF(I40="", "Neither", "Symmetry"), IF(I40="","Harpe", O40-I40))</f>
        <v>90</v>
      </c>
    </row>
    <row r="41" customFormat="false" ht="12.8" hidden="false" customHeight="false" outlineLevel="0" collapsed="false">
      <c r="A41" s="0" t="s">
        <v>34</v>
      </c>
      <c r="B41" s="0" t="n">
        <v>82</v>
      </c>
      <c r="C41" s="0" t="n">
        <v>13428</v>
      </c>
      <c r="D41" s="25" t="n">
        <f aca="false">IF(NOT(ISBLANK(C41)), ROUND(C41/60,0), "")</f>
        <v>224</v>
      </c>
      <c r="F41" s="0" t="s">
        <v>34</v>
      </c>
      <c r="G41" s="0" t="n">
        <v>82</v>
      </c>
      <c r="H41" s="0" t="n">
        <v>25526</v>
      </c>
      <c r="I41" s="0" t="n">
        <f aca="false">IF(NOT(ISBLANK(H41)), ROUND(H41/60,0), "")</f>
        <v>425</v>
      </c>
      <c r="J41" s="26" t="n">
        <f aca="false">IF(I41="", IF(D41="", "Neither", "Parallelobox"), IF(D41="","Symmetry", I41-D41))</f>
        <v>201</v>
      </c>
      <c r="K41" s="26"/>
      <c r="L41" s="0" t="s">
        <v>34</v>
      </c>
      <c r="M41" s="0" t="n">
        <v>82</v>
      </c>
      <c r="N41" s="0" t="n">
        <v>30342</v>
      </c>
      <c r="O41" s="0" t="n">
        <f aca="false">IF(NOT(ISBLANK(N41)), ROUND(N41/60,0), "")</f>
        <v>506</v>
      </c>
      <c r="P41" s="26" t="n">
        <f aca="false">IF(O41="", IF(D41="", "Neither", "Parallelobox"), IF(D41="","Harpe", O41-D41))</f>
        <v>282</v>
      </c>
      <c r="Q41" s="26" t="n">
        <f aca="false">IF(O41="", IF(I41="", "Neither", "Symmetry"), IF(I41="","Harpe", O41-I41))</f>
        <v>81</v>
      </c>
    </row>
    <row r="42" customFormat="false" ht="12.8" hidden="false" customHeight="false" outlineLevel="0" collapsed="false">
      <c r="A42" s="0" t="s">
        <v>34</v>
      </c>
      <c r="B42" s="0" t="n">
        <v>100</v>
      </c>
      <c r="C42" s="0" t="n">
        <v>12439</v>
      </c>
      <c r="D42" s="25" t="n">
        <f aca="false">IF(NOT(ISBLANK(C42)), ROUND(C42/60,0), "")</f>
        <v>207</v>
      </c>
      <c r="F42" s="0" t="s">
        <v>34</v>
      </c>
      <c r="G42" s="0" t="n">
        <v>100</v>
      </c>
      <c r="H42" s="0" t="n">
        <v>21717</v>
      </c>
      <c r="I42" s="0" t="n">
        <f aca="false">IF(NOT(ISBLANK(H42)), ROUND(H42/60,0), "")</f>
        <v>362</v>
      </c>
      <c r="J42" s="26" t="n">
        <f aca="false">IF(I42="", IF(D42="", "Neither", "Parallelobox"), IF(D42="","Symmetry", I42-D42))</f>
        <v>155</v>
      </c>
      <c r="K42" s="26"/>
      <c r="L42" s="0" t="s">
        <v>34</v>
      </c>
      <c r="M42" s="0" t="n">
        <v>100</v>
      </c>
      <c r="N42" s="0" t="n">
        <v>25531</v>
      </c>
      <c r="O42" s="0" t="n">
        <f aca="false">IF(NOT(ISBLANK(N42)), ROUND(N42/60,0), "")</f>
        <v>426</v>
      </c>
      <c r="P42" s="26" t="n">
        <f aca="false">IF(O42="", IF(D42="", "Neither", "Parallelobox"), IF(D42="","Harpe", O42-D42))</f>
        <v>219</v>
      </c>
      <c r="Q42" s="26" t="n">
        <f aca="false">IF(O42="", IF(I42="", "Neither", "Symmetry"), IF(I42="","Harpe", O42-I42))</f>
        <v>64</v>
      </c>
    </row>
    <row r="43" customFormat="false" ht="12.8" hidden="false" customHeight="false" outlineLevel="0" collapsed="false">
      <c r="A43" s="0" t="s">
        <v>36</v>
      </c>
      <c r="B43" s="0" t="n">
        <v>5</v>
      </c>
      <c r="D43" s="25" t="str">
        <f aca="false">IF(NOT(ISBLANK(C43)), ROUND(C43/60,0), "")</f>
        <v/>
      </c>
      <c r="F43" s="0" t="s">
        <v>36</v>
      </c>
      <c r="G43" s="0" t="n">
        <v>5</v>
      </c>
      <c r="H43" s="0" t="n">
        <v>414662</v>
      </c>
      <c r="I43" s="0" t="n">
        <f aca="false">IF(NOT(ISBLANK(H43)), ROUND(H43/60,0), "")</f>
        <v>6911</v>
      </c>
      <c r="J43" s="26" t="str">
        <f aca="false">IF(I43="", IF(D43="", "Neither", "Parallelobox"), IF(D43="","Symmetry", I43-D43))</f>
        <v>Symmetry</v>
      </c>
      <c r="K43" s="26"/>
      <c r="L43" s="0" t="s">
        <v>36</v>
      </c>
      <c r="M43" s="0" t="n">
        <v>5</v>
      </c>
      <c r="P43" s="26" t="str">
        <f aca="false">IF(O43="", IF(D43="", "Neither", "Parallelobox"), IF(D43="","Harpe", O43-D43))</f>
        <v>Neither</v>
      </c>
      <c r="Q43" s="26" t="str">
        <f aca="false">IF(O43="", IF(I43="", "Neither", "Symmetry"), IF(I43="","Harpe", O43-I43))</f>
        <v>Symmetry</v>
      </c>
    </row>
    <row r="44" customFormat="false" ht="12.8" hidden="false" customHeight="false" outlineLevel="0" collapsed="false">
      <c r="A44" s="0" t="s">
        <v>36</v>
      </c>
      <c r="B44" s="0" t="n">
        <v>10</v>
      </c>
      <c r="D44" s="25" t="str">
        <f aca="false">IF(NOT(ISBLANK(C44)), ROUND(C44/60,0), "")</f>
        <v/>
      </c>
      <c r="F44" s="0" t="s">
        <v>36</v>
      </c>
      <c r="G44" s="0" t="n">
        <v>10</v>
      </c>
      <c r="H44" s="0" t="n">
        <v>232526</v>
      </c>
      <c r="I44" s="0" t="n">
        <f aca="false">IF(NOT(ISBLANK(H44)), ROUND(H44/60,0), "")</f>
        <v>3875</v>
      </c>
      <c r="J44" s="26" t="str">
        <f aca="false">IF(I44="", IF(D44="", "Neither", "Parallelobox"), IF(D44="","Symmetry", I44-D44))</f>
        <v>Symmetry</v>
      </c>
      <c r="K44" s="26"/>
      <c r="L44" s="0" t="s">
        <v>36</v>
      </c>
      <c r="M44" s="0" t="n">
        <v>10</v>
      </c>
      <c r="N44" s="0" t="n">
        <v>244166</v>
      </c>
      <c r="O44" s="0" t="n">
        <f aca="false">IF(NOT(ISBLANK(N44)), ROUND(N44/60,0), "")</f>
        <v>4069</v>
      </c>
      <c r="P44" s="26" t="str">
        <f aca="false">IF(O44="", IF(D44="", "Neither", "Parallelobox"), IF(D44="","Harpe", O44-D44))</f>
        <v>Harpe</v>
      </c>
      <c r="Q44" s="26" t="n">
        <f aca="false">IF(O44="", IF(I44="", "Neither", "Symmetry"), IF(I44="","Harpe", O44-I44))</f>
        <v>194</v>
      </c>
    </row>
    <row r="45" customFormat="false" ht="12.8" hidden="false" customHeight="false" outlineLevel="0" collapsed="false">
      <c r="A45" s="0" t="s">
        <v>36</v>
      </c>
      <c r="B45" s="0" t="n">
        <v>15</v>
      </c>
      <c r="D45" s="25" t="str">
        <f aca="false">IF(NOT(ISBLANK(C45)), ROUND(C45/60,0), "")</f>
        <v/>
      </c>
      <c r="F45" s="0" t="s">
        <v>36</v>
      </c>
      <c r="G45" s="0" t="n">
        <v>15</v>
      </c>
      <c r="H45" s="0" t="n">
        <v>151374</v>
      </c>
      <c r="I45" s="0" t="n">
        <f aca="false">IF(NOT(ISBLANK(H45)), ROUND(H45/60,0), "")</f>
        <v>2523</v>
      </c>
      <c r="J45" s="26" t="str">
        <f aca="false">IF(I45="", IF(D45="", "Neither", "Parallelobox"), IF(D45="","Symmetry", I45-D45))</f>
        <v>Symmetry</v>
      </c>
      <c r="K45" s="26"/>
      <c r="L45" s="0" t="s">
        <v>36</v>
      </c>
      <c r="M45" s="0" t="n">
        <v>15</v>
      </c>
      <c r="P45" s="26" t="str">
        <f aca="false">IF(O45="", IF(D45="", "Neither", "Parallelobox"), IF(D45="","Harpe", O45-D45))</f>
        <v>Neither</v>
      </c>
      <c r="Q45" s="26" t="str">
        <f aca="false">IF(O45="", IF(I45="", "Neither", "Symmetry"), IF(I45="","Harpe", O45-I45))</f>
        <v>Symmetry</v>
      </c>
    </row>
    <row r="46" customFormat="false" ht="12.8" hidden="false" customHeight="false" outlineLevel="0" collapsed="false">
      <c r="A46" s="0" t="s">
        <v>36</v>
      </c>
      <c r="B46" s="0" t="n">
        <v>20</v>
      </c>
      <c r="D46" s="25" t="str">
        <f aca="false">IF(NOT(ISBLANK(C46)), ROUND(C46/60,0), "")</f>
        <v/>
      </c>
      <c r="F46" s="0" t="s">
        <v>36</v>
      </c>
      <c r="G46" s="0" t="n">
        <v>20</v>
      </c>
      <c r="H46" s="0" t="n">
        <v>143678</v>
      </c>
      <c r="I46" s="0" t="n">
        <f aca="false">IF(NOT(ISBLANK(H46)), ROUND(H46/60,0), "")</f>
        <v>2395</v>
      </c>
      <c r="J46" s="26" t="str">
        <f aca="false">IF(I46="", IF(D46="", "Neither", "Parallelobox"), IF(D46="","Symmetry", I46-D46))</f>
        <v>Symmetry</v>
      </c>
      <c r="K46" s="26"/>
      <c r="L46" s="0" t="s">
        <v>36</v>
      </c>
      <c r="M46" s="0" t="n">
        <v>20</v>
      </c>
      <c r="N46" s="0" t="n">
        <v>167729</v>
      </c>
      <c r="O46" s="0" t="n">
        <f aca="false">IF(NOT(ISBLANK(N46)), ROUND(N46/60,0), "")</f>
        <v>2795</v>
      </c>
      <c r="P46" s="26" t="str">
        <f aca="false">IF(O46="", IF(D46="", "Neither", "Parallelobox"), IF(D46="","Harpe", O46-D46))</f>
        <v>Harpe</v>
      </c>
      <c r="Q46" s="26" t="n">
        <f aca="false">IF(O46="", IF(I46="", "Neither", "Symmetry"), IF(I46="","Harpe", O46-I46))</f>
        <v>400</v>
      </c>
    </row>
    <row r="47" customFormat="false" ht="12.8" hidden="false" customHeight="false" outlineLevel="0" collapsed="false">
      <c r="A47" s="0" t="s">
        <v>36</v>
      </c>
      <c r="B47" s="0" t="n">
        <v>30</v>
      </c>
      <c r="D47" s="25" t="str">
        <f aca="false">IF(NOT(ISBLANK(C47)), ROUND(C47/60,0), "")</f>
        <v/>
      </c>
      <c r="F47" s="0" t="s">
        <v>36</v>
      </c>
      <c r="G47" s="0" t="n">
        <v>30</v>
      </c>
      <c r="H47" s="0" t="n">
        <v>101528</v>
      </c>
      <c r="I47" s="0" t="n">
        <f aca="false">IF(NOT(ISBLANK(H47)), ROUND(H47/60,0), "")</f>
        <v>1692</v>
      </c>
      <c r="J47" s="26" t="str">
        <f aca="false">IF(I47="", IF(D47="", "Neither", "Parallelobox"), IF(D47="","Symmetry", I47-D47))</f>
        <v>Symmetry</v>
      </c>
      <c r="K47" s="26"/>
      <c r="L47" s="0" t="s">
        <v>36</v>
      </c>
      <c r="M47" s="0" t="n">
        <v>30</v>
      </c>
      <c r="N47" s="0" t="n">
        <v>143866</v>
      </c>
      <c r="O47" s="0" t="n">
        <f aca="false">IF(NOT(ISBLANK(N47)), ROUND(N47/60,0), "")</f>
        <v>2398</v>
      </c>
      <c r="P47" s="26" t="str">
        <f aca="false">IF(O47="", IF(D47="", "Neither", "Parallelobox"), IF(D47="","Harpe", O47-D47))</f>
        <v>Harpe</v>
      </c>
      <c r="Q47" s="26" t="n">
        <f aca="false">IF(O47="", IF(I47="", "Neither", "Symmetry"), IF(I47="","Harpe", O47-I47))</f>
        <v>706</v>
      </c>
    </row>
    <row r="48" customFormat="false" ht="12.8" hidden="false" customHeight="false" outlineLevel="0" collapsed="false">
      <c r="A48" s="0" t="s">
        <v>36</v>
      </c>
      <c r="B48" s="0" t="n">
        <v>40</v>
      </c>
      <c r="D48" s="25" t="str">
        <f aca="false">IF(NOT(ISBLANK(C48)), ROUND(C48/60,0), "")</f>
        <v/>
      </c>
      <c r="F48" s="0" t="s">
        <v>36</v>
      </c>
      <c r="G48" s="0" t="n">
        <v>40</v>
      </c>
      <c r="H48" s="0" t="n">
        <v>98231</v>
      </c>
      <c r="I48" s="0" t="n">
        <f aca="false">IF(NOT(ISBLANK(H48)), ROUND(H48/60,0), "")</f>
        <v>1637</v>
      </c>
      <c r="J48" s="26" t="str">
        <f aca="false">IF(I48="", IF(D48="", "Neither", "Parallelobox"), IF(D48="","Symmetry", I48-D48))</f>
        <v>Symmetry</v>
      </c>
      <c r="K48" s="26"/>
      <c r="L48" s="0" t="s">
        <v>36</v>
      </c>
      <c r="M48" s="0" t="n">
        <v>40</v>
      </c>
      <c r="N48" s="0" t="n">
        <v>131806</v>
      </c>
      <c r="O48" s="0" t="n">
        <f aca="false">IF(NOT(ISBLANK(N48)), ROUND(N48/60,0), "")</f>
        <v>2197</v>
      </c>
      <c r="P48" s="26" t="str">
        <f aca="false">IF(O48="", IF(D48="", "Neither", "Parallelobox"), IF(D48="","Harpe", O48-D48))</f>
        <v>Harpe</v>
      </c>
      <c r="Q48" s="26" t="n">
        <f aca="false">IF(O48="", IF(I48="", "Neither", "Symmetry"), IF(I48="","Harpe", O48-I48))</f>
        <v>560</v>
      </c>
    </row>
    <row r="49" customFormat="false" ht="12.8" hidden="false" customHeight="false" outlineLevel="0" collapsed="false">
      <c r="A49" s="0" t="s">
        <v>36</v>
      </c>
      <c r="B49" s="0" t="n">
        <v>50</v>
      </c>
      <c r="C49" s="0" t="n">
        <v>90432</v>
      </c>
      <c r="D49" s="25" t="n">
        <f aca="false">IF(NOT(ISBLANK(C49)), ROUND(C49/60,0), "")</f>
        <v>1507</v>
      </c>
      <c r="F49" s="0" t="s">
        <v>36</v>
      </c>
      <c r="G49" s="0" t="n">
        <v>50</v>
      </c>
      <c r="H49" s="0" t="n">
        <v>108548</v>
      </c>
      <c r="I49" s="0" t="n">
        <f aca="false">IF(NOT(ISBLANK(H49)), ROUND(H49/60,0), "")</f>
        <v>1809</v>
      </c>
      <c r="J49" s="26" t="n">
        <f aca="false">IF(I49="", IF(D49="", "Neither", "Parallelobox"), IF(D49="","Symmetry", I49-D49))</f>
        <v>302</v>
      </c>
      <c r="K49" s="26"/>
      <c r="L49" s="0" t="s">
        <v>36</v>
      </c>
      <c r="M49" s="0" t="n">
        <v>50</v>
      </c>
      <c r="N49" s="0" t="n">
        <v>127037</v>
      </c>
      <c r="O49" s="0" t="n">
        <f aca="false">IF(NOT(ISBLANK(N49)), ROUND(N49/60,0), "")</f>
        <v>2117</v>
      </c>
      <c r="P49" s="26" t="n">
        <f aca="false">IF(O49="", IF(D49="", "Neither", "Parallelobox"), IF(D49="","Harpe", O49-D49))</f>
        <v>610</v>
      </c>
      <c r="Q49" s="26" t="n">
        <f aca="false">IF(O49="", IF(I49="", "Neither", "Symmetry"), IF(I49="","Harpe", O49-I49))</f>
        <v>308</v>
      </c>
    </row>
    <row r="50" customFormat="false" ht="12.8" hidden="false" customHeight="false" outlineLevel="0" collapsed="false">
      <c r="A50" s="0" t="s">
        <v>36</v>
      </c>
      <c r="B50" s="0" t="n">
        <v>64</v>
      </c>
      <c r="C50" s="0" t="n">
        <v>61545</v>
      </c>
      <c r="D50" s="25" t="n">
        <f aca="false">IF(NOT(ISBLANK(C50)), ROUND(C50/60,0), "")</f>
        <v>1026</v>
      </c>
      <c r="F50" s="0" t="s">
        <v>36</v>
      </c>
      <c r="G50" s="0" t="n">
        <v>64</v>
      </c>
      <c r="H50" s="0" t="n">
        <v>87457</v>
      </c>
      <c r="I50" s="0" t="n">
        <f aca="false">IF(NOT(ISBLANK(H50)), ROUND(H50/60,0), "")</f>
        <v>1458</v>
      </c>
      <c r="J50" s="26" t="n">
        <f aca="false">IF(I50="", IF(D50="", "Neither", "Parallelobox"), IF(D50="","Symmetry", I50-D50))</f>
        <v>432</v>
      </c>
      <c r="K50" s="26"/>
      <c r="L50" s="0" t="s">
        <v>36</v>
      </c>
      <c r="M50" s="0" t="n">
        <v>64</v>
      </c>
      <c r="P50" s="26" t="str">
        <f aca="false">IF(O50="", IF(D50="", "Neither", "Parallelobox"), IF(D50="","Harpe", O50-D50))</f>
        <v>Parallelobox</v>
      </c>
      <c r="Q50" s="26" t="str">
        <f aca="false">IF(O50="", IF(I50="", "Neither", "Symmetry"), IF(I50="","Harpe", O50-I50))</f>
        <v>Symmetry</v>
      </c>
    </row>
    <row r="51" customFormat="false" ht="12.8" hidden="false" customHeight="false" outlineLevel="0" collapsed="false">
      <c r="A51" s="0" t="s">
        <v>36</v>
      </c>
      <c r="B51" s="0" t="n">
        <v>82</v>
      </c>
      <c r="C51" s="0" t="n">
        <v>67654</v>
      </c>
      <c r="D51" s="25" t="n">
        <f aca="false">IF(NOT(ISBLANK(C51)), ROUND(C51/60,0), "")</f>
        <v>1128</v>
      </c>
      <c r="F51" s="0" t="s">
        <v>36</v>
      </c>
      <c r="G51" s="0" t="n">
        <v>82</v>
      </c>
      <c r="H51" s="0" t="n">
        <v>78986</v>
      </c>
      <c r="I51" s="0" t="n">
        <f aca="false">IF(NOT(ISBLANK(H51)), ROUND(H51/60,0), "")</f>
        <v>1316</v>
      </c>
      <c r="J51" s="26" t="n">
        <f aca="false">IF(I51="", IF(D51="", "Neither", "Parallelobox"), IF(D51="","Symmetry", I51-D51))</f>
        <v>188</v>
      </c>
      <c r="K51" s="26"/>
      <c r="L51" s="0" t="s">
        <v>36</v>
      </c>
      <c r="M51" s="0" t="n">
        <v>82</v>
      </c>
      <c r="N51" s="0" t="n">
        <v>119044</v>
      </c>
      <c r="O51" s="0" t="n">
        <f aca="false">IF(NOT(ISBLANK(N51)), ROUND(N51/60,0), "")</f>
        <v>1984</v>
      </c>
      <c r="P51" s="26" t="n">
        <f aca="false">IF(O51="", IF(D51="", "Neither", "Parallelobox"), IF(D51="","Harpe", O51-D51))</f>
        <v>856</v>
      </c>
      <c r="Q51" s="26" t="n">
        <f aca="false">IF(O51="", IF(I51="", "Neither", "Symmetry"), IF(I51="","Harpe", O51-I51))</f>
        <v>668</v>
      </c>
    </row>
    <row r="52" customFormat="false" ht="12.8" hidden="false" customHeight="false" outlineLevel="0" collapsed="false">
      <c r="A52" s="0" t="s">
        <v>36</v>
      </c>
      <c r="B52" s="0" t="n">
        <v>100</v>
      </c>
      <c r="C52" s="0" t="n">
        <v>40525</v>
      </c>
      <c r="D52" s="25" t="n">
        <f aca="false">IF(NOT(ISBLANK(C52)), ROUND(C52/60,0), "")</f>
        <v>675</v>
      </c>
      <c r="F52" s="0" t="s">
        <v>36</v>
      </c>
      <c r="G52" s="0" t="n">
        <v>100</v>
      </c>
      <c r="H52" s="0" t="n">
        <v>70958</v>
      </c>
      <c r="I52" s="0" t="n">
        <f aca="false">IF(NOT(ISBLANK(H52)), ROUND(H52/60,0), "")</f>
        <v>1183</v>
      </c>
      <c r="J52" s="26" t="n">
        <f aca="false">IF(I52="", IF(D52="", "Neither", "Parallelobox"), IF(D52="","Symmetry", I52-D52))</f>
        <v>508</v>
      </c>
      <c r="K52" s="26"/>
      <c r="L52" s="0" t="s">
        <v>36</v>
      </c>
      <c r="M52" s="0" t="n">
        <v>100</v>
      </c>
      <c r="P52" s="26" t="str">
        <f aca="false">IF(O52="", IF(D52="", "Neither", "Parallelobox"), IF(D52="","Harpe", O52-D52))</f>
        <v>Parallelobox</v>
      </c>
      <c r="Q52" s="26" t="str">
        <f aca="false">IF(O52="", IF(I52="", "Neither", "Symmetry"), IF(I52="","Harpe", O52-I52))</f>
        <v>Symmetry</v>
      </c>
    </row>
    <row r="53" customFormat="false" ht="12.8" hidden="false" customHeight="false" outlineLevel="0" collapsed="false">
      <c r="A53" s="0" t="s">
        <v>37</v>
      </c>
      <c r="B53" s="0" t="n">
        <v>5</v>
      </c>
      <c r="C53" s="0" t="n">
        <v>36510</v>
      </c>
      <c r="D53" s="25" t="n">
        <f aca="false">IF(NOT(ISBLANK(C53)), ROUND(C53/60,0), "")</f>
        <v>609</v>
      </c>
      <c r="F53" s="0" t="s">
        <v>37</v>
      </c>
      <c r="G53" s="0" t="n">
        <v>5</v>
      </c>
      <c r="H53" s="0" t="n">
        <v>72712</v>
      </c>
      <c r="I53" s="0" t="n">
        <f aca="false">IF(NOT(ISBLANK(H53)), ROUND(H53/60,0), "")</f>
        <v>1212</v>
      </c>
      <c r="J53" s="26" t="n">
        <f aca="false">IF(I53="", IF(D53="", "Neither", "Parallelobox"), IF(D53="","Symmetry", I53-D53))</f>
        <v>603</v>
      </c>
      <c r="K53" s="26"/>
      <c r="L53" s="0" t="s">
        <v>37</v>
      </c>
      <c r="M53" s="0" t="n">
        <v>5</v>
      </c>
      <c r="N53" s="0" t="n">
        <v>115443</v>
      </c>
      <c r="O53" s="0" t="n">
        <f aca="false">IF(NOT(ISBLANK(N53)), ROUND(N53/60,0), "")</f>
        <v>1924</v>
      </c>
      <c r="P53" s="26" t="n">
        <f aca="false">IF(O53="", IF(D53="", "Neither", "Parallelobox"), IF(D53="","Harpe", O53-D53))</f>
        <v>1315</v>
      </c>
      <c r="Q53" s="26" t="n">
        <f aca="false">IF(O53="", IF(I53="", "Neither", "Symmetry"), IF(I53="","Harpe", O53-I53))</f>
        <v>712</v>
      </c>
    </row>
    <row r="54" customFormat="false" ht="12.8" hidden="false" customHeight="false" outlineLevel="0" collapsed="false">
      <c r="A54" s="0" t="s">
        <v>37</v>
      </c>
      <c r="B54" s="0" t="n">
        <v>10</v>
      </c>
      <c r="C54" s="0" t="n">
        <v>34197</v>
      </c>
      <c r="D54" s="25" t="n">
        <f aca="false">IF(NOT(ISBLANK(C54)), ROUND(C54/60,0), "")</f>
        <v>570</v>
      </c>
      <c r="F54" s="0" t="s">
        <v>37</v>
      </c>
      <c r="G54" s="0" t="n">
        <v>10</v>
      </c>
      <c r="H54" s="0" t="n">
        <v>69312</v>
      </c>
      <c r="I54" s="0" t="n">
        <f aca="false">IF(NOT(ISBLANK(H54)), ROUND(H54/60,0), "")</f>
        <v>1155</v>
      </c>
      <c r="J54" s="26" t="n">
        <f aca="false">IF(I54="", IF(D54="", "Neither", "Parallelobox"), IF(D54="","Symmetry", I54-D54))</f>
        <v>585</v>
      </c>
      <c r="K54" s="26"/>
      <c r="L54" s="0" t="s">
        <v>37</v>
      </c>
      <c r="M54" s="0" t="n">
        <v>10</v>
      </c>
      <c r="N54" s="0" t="n">
        <v>91728</v>
      </c>
      <c r="O54" s="0" t="n">
        <f aca="false">IF(NOT(ISBLANK(N54)), ROUND(N54/60,0), "")</f>
        <v>1529</v>
      </c>
      <c r="P54" s="26" t="n">
        <f aca="false">IF(O54="", IF(D54="", "Neither", "Parallelobox"), IF(D54="","Harpe", O54-D54))</f>
        <v>959</v>
      </c>
      <c r="Q54" s="26" t="n">
        <f aca="false">IF(O54="", IF(I54="", "Neither", "Symmetry"), IF(I54="","Harpe", O54-I54))</f>
        <v>374</v>
      </c>
    </row>
    <row r="55" customFormat="false" ht="12.8" hidden="false" customHeight="false" outlineLevel="0" collapsed="false">
      <c r="A55" s="0" t="s">
        <v>37</v>
      </c>
      <c r="B55" s="0" t="n">
        <v>15</v>
      </c>
      <c r="C55" s="0" t="n">
        <v>23148</v>
      </c>
      <c r="D55" s="25" t="n">
        <f aca="false">IF(NOT(ISBLANK(C55)), ROUND(C55/60,0), "")</f>
        <v>386</v>
      </c>
      <c r="F55" s="0" t="s">
        <v>37</v>
      </c>
      <c r="G55" s="0" t="n">
        <v>15</v>
      </c>
      <c r="H55" s="0" t="n">
        <v>37927</v>
      </c>
      <c r="I55" s="0" t="n">
        <f aca="false">IF(NOT(ISBLANK(H55)), ROUND(H55/60,0), "")</f>
        <v>632</v>
      </c>
      <c r="J55" s="26" t="n">
        <f aca="false">IF(I55="", IF(D55="", "Neither", "Parallelobox"), IF(D55="","Symmetry", I55-D55))</f>
        <v>246</v>
      </c>
      <c r="K55" s="26"/>
      <c r="L55" s="0" t="s">
        <v>37</v>
      </c>
      <c r="M55" s="0" t="n">
        <v>15</v>
      </c>
      <c r="N55" s="0" t="n">
        <v>49849</v>
      </c>
      <c r="O55" s="0" t="n">
        <f aca="false">IF(NOT(ISBLANK(N55)), ROUND(N55/60,0), "")</f>
        <v>831</v>
      </c>
      <c r="P55" s="26" t="n">
        <f aca="false">IF(O55="", IF(D55="", "Neither", "Parallelobox"), IF(D55="","Harpe", O55-D55))</f>
        <v>445</v>
      </c>
      <c r="Q55" s="26" t="n">
        <f aca="false">IF(O55="", IF(I55="", "Neither", "Symmetry"), IF(I55="","Harpe", O55-I55))</f>
        <v>199</v>
      </c>
    </row>
    <row r="56" customFormat="false" ht="12.8" hidden="false" customHeight="false" outlineLevel="0" collapsed="false">
      <c r="A56" s="0" t="s">
        <v>37</v>
      </c>
      <c r="B56" s="0" t="n">
        <v>20</v>
      </c>
      <c r="C56" s="0" t="n">
        <v>20379</v>
      </c>
      <c r="D56" s="25" t="n">
        <f aca="false">IF(NOT(ISBLANK(C56)), ROUND(C56/60,0), "")</f>
        <v>340</v>
      </c>
      <c r="F56" s="0" t="s">
        <v>37</v>
      </c>
      <c r="G56" s="0" t="n">
        <v>20</v>
      </c>
      <c r="H56" s="0" t="n">
        <v>30401</v>
      </c>
      <c r="I56" s="0" t="n">
        <f aca="false">IF(NOT(ISBLANK(H56)), ROUND(H56/60,0), "")</f>
        <v>507</v>
      </c>
      <c r="J56" s="26" t="n">
        <f aca="false">IF(I56="", IF(D56="", "Neither", "Parallelobox"), IF(D56="","Symmetry", I56-D56))</f>
        <v>167</v>
      </c>
      <c r="K56" s="26"/>
      <c r="L56" s="0" t="s">
        <v>37</v>
      </c>
      <c r="M56" s="0" t="n">
        <v>20</v>
      </c>
      <c r="P56" s="26" t="str">
        <f aca="false">IF(O56="", IF(D56="", "Neither", "Parallelobox"), IF(D56="","Harpe", O56-D56))</f>
        <v>Parallelobox</v>
      </c>
      <c r="Q56" s="26" t="str">
        <f aca="false">IF(O56="", IF(I56="", "Neither", "Symmetry"), IF(I56="","Harpe", O56-I56))</f>
        <v>Symmetry</v>
      </c>
    </row>
    <row r="57" customFormat="false" ht="12.8" hidden="false" customHeight="false" outlineLevel="0" collapsed="false">
      <c r="A57" s="0" t="s">
        <v>37</v>
      </c>
      <c r="B57" s="0" t="n">
        <v>30</v>
      </c>
      <c r="C57" s="0" t="n">
        <v>16901</v>
      </c>
      <c r="D57" s="25" t="n">
        <f aca="false">IF(NOT(ISBLANK(C57)), ROUND(C57/60,0), "")</f>
        <v>282</v>
      </c>
      <c r="F57" s="0" t="s">
        <v>37</v>
      </c>
      <c r="G57" s="0" t="n">
        <v>30</v>
      </c>
      <c r="H57" s="0" t="n">
        <v>25571</v>
      </c>
      <c r="I57" s="0" t="n">
        <f aca="false">IF(NOT(ISBLANK(H57)), ROUND(H57/60,0), "")</f>
        <v>426</v>
      </c>
      <c r="J57" s="26" t="n">
        <f aca="false">IF(I57="", IF(D57="", "Neither", "Parallelobox"), IF(D57="","Symmetry", I57-D57))</f>
        <v>144</v>
      </c>
      <c r="K57" s="26"/>
      <c r="L57" s="0" t="s">
        <v>37</v>
      </c>
      <c r="M57" s="0" t="n">
        <v>30</v>
      </c>
      <c r="P57" s="26" t="str">
        <f aca="false">IF(O57="", IF(D57="", "Neither", "Parallelobox"), IF(D57="","Harpe", O57-D57))</f>
        <v>Parallelobox</v>
      </c>
      <c r="Q57" s="26" t="str">
        <f aca="false">IF(O57="", IF(I57="", "Neither", "Symmetry"), IF(I57="","Harpe", O57-I57))</f>
        <v>Symmetry</v>
      </c>
    </row>
    <row r="58" customFormat="false" ht="12.8" hidden="false" customHeight="false" outlineLevel="0" collapsed="false">
      <c r="A58" s="0" t="s">
        <v>37</v>
      </c>
      <c r="B58" s="0" t="n">
        <v>40</v>
      </c>
      <c r="C58" s="0" t="n">
        <v>13540</v>
      </c>
      <c r="D58" s="25" t="n">
        <f aca="false">IF(NOT(ISBLANK(C58)), ROUND(C58/60,0), "")</f>
        <v>226</v>
      </c>
      <c r="F58" s="0" t="s">
        <v>37</v>
      </c>
      <c r="G58" s="0" t="n">
        <v>40</v>
      </c>
      <c r="H58" s="0" t="n">
        <v>38806</v>
      </c>
      <c r="I58" s="0" t="n">
        <f aca="false">IF(NOT(ISBLANK(H58)), ROUND(H58/60,0), "")</f>
        <v>647</v>
      </c>
      <c r="J58" s="26" t="n">
        <f aca="false">IF(I58="", IF(D58="", "Neither", "Parallelobox"), IF(D58="","Symmetry", I58-D58))</f>
        <v>421</v>
      </c>
      <c r="K58" s="26"/>
      <c r="L58" s="0" t="s">
        <v>37</v>
      </c>
      <c r="M58" s="0" t="n">
        <v>40</v>
      </c>
      <c r="P58" s="26" t="str">
        <f aca="false">IF(O58="", IF(D58="", "Neither", "Parallelobox"), IF(D58="","Harpe", O58-D58))</f>
        <v>Parallelobox</v>
      </c>
      <c r="Q58" s="26" t="str">
        <f aca="false">IF(O58="", IF(I58="", "Neither", "Symmetry"), IF(I58="","Harpe", O58-I58))</f>
        <v>Symmetry</v>
      </c>
    </row>
    <row r="59" customFormat="false" ht="12.8" hidden="false" customHeight="false" outlineLevel="0" collapsed="false">
      <c r="A59" s="0" t="s">
        <v>37</v>
      </c>
      <c r="B59" s="0" t="n">
        <v>50</v>
      </c>
      <c r="C59" s="0" t="n">
        <v>11696</v>
      </c>
      <c r="D59" s="25" t="n">
        <f aca="false">IF(NOT(ISBLANK(C59)), ROUND(C59/60,0), "")</f>
        <v>195</v>
      </c>
      <c r="F59" s="0" t="s">
        <v>37</v>
      </c>
      <c r="G59" s="0" t="n">
        <v>50</v>
      </c>
      <c r="H59" s="0" t="n">
        <v>21241</v>
      </c>
      <c r="I59" s="0" t="n">
        <f aca="false">IF(NOT(ISBLANK(H59)), ROUND(H59/60,0), "")</f>
        <v>354</v>
      </c>
      <c r="J59" s="26" t="n">
        <f aca="false">IF(I59="", IF(D59="", "Neither", "Parallelobox"), IF(D59="","Symmetry", I59-D59))</f>
        <v>159</v>
      </c>
      <c r="K59" s="26"/>
      <c r="L59" s="0" t="s">
        <v>37</v>
      </c>
      <c r="M59" s="0" t="n">
        <v>50</v>
      </c>
      <c r="P59" s="26" t="str">
        <f aca="false">IF(O59="", IF(D59="", "Neither", "Parallelobox"), IF(D59="","Harpe", O59-D59))</f>
        <v>Parallelobox</v>
      </c>
      <c r="Q59" s="26" t="str">
        <f aca="false">IF(O59="", IF(I59="", "Neither", "Symmetry"), IF(I59="","Harpe", O59-I59))</f>
        <v>Symmetry</v>
      </c>
    </row>
    <row r="60" customFormat="false" ht="12.8" hidden="false" customHeight="false" outlineLevel="0" collapsed="false">
      <c r="A60" s="0" t="s">
        <v>37</v>
      </c>
      <c r="B60" s="0" t="n">
        <v>64</v>
      </c>
      <c r="C60" s="0" t="n">
        <v>36510</v>
      </c>
      <c r="D60" s="25" t="n">
        <f aca="false">IF(NOT(ISBLANK(C60)), ROUND(C60/60,0), "")</f>
        <v>609</v>
      </c>
      <c r="F60" s="0" t="s">
        <v>37</v>
      </c>
      <c r="G60" s="0" t="n">
        <v>64</v>
      </c>
      <c r="H60" s="0" t="n">
        <v>21847</v>
      </c>
      <c r="I60" s="0" t="n">
        <f aca="false">IF(NOT(ISBLANK(H60)), ROUND(H60/60,0), "")</f>
        <v>364</v>
      </c>
      <c r="J60" s="26" t="n">
        <f aca="false">IF(I60="", IF(D60="", "Neither", "Parallelobox"), IF(D60="","Symmetry", I60-D60))</f>
        <v>-245</v>
      </c>
      <c r="K60" s="26"/>
      <c r="L60" s="0" t="s">
        <v>37</v>
      </c>
      <c r="M60" s="0" t="n">
        <v>64</v>
      </c>
      <c r="P60" s="26" t="str">
        <f aca="false">IF(O60="", IF(D60="", "Neither", "Parallelobox"), IF(D60="","Harpe", O60-D60))</f>
        <v>Parallelobox</v>
      </c>
      <c r="Q60" s="26" t="str">
        <f aca="false">IF(O60="", IF(I60="", "Neither", "Symmetry"), IF(I60="","Harpe", O60-I60))</f>
        <v>Symmetry</v>
      </c>
    </row>
    <row r="61" customFormat="false" ht="12.8" hidden="false" customHeight="false" outlineLevel="0" collapsed="false">
      <c r="A61" s="0" t="s">
        <v>37</v>
      </c>
      <c r="B61" s="0" t="n">
        <v>82</v>
      </c>
      <c r="C61" s="0" t="n">
        <v>34197</v>
      </c>
      <c r="D61" s="25" t="n">
        <f aca="false">IF(NOT(ISBLANK(C61)), ROUND(C61/60,0), "")</f>
        <v>570</v>
      </c>
      <c r="F61" s="0" t="s">
        <v>37</v>
      </c>
      <c r="G61" s="0" t="n">
        <v>82</v>
      </c>
      <c r="H61" s="0" t="n">
        <v>21441</v>
      </c>
      <c r="I61" s="0" t="n">
        <f aca="false">IF(NOT(ISBLANK(H61)), ROUND(H61/60,0), "")</f>
        <v>357</v>
      </c>
      <c r="J61" s="26" t="n">
        <f aca="false">IF(I61="", IF(D61="", "Neither", "Parallelobox"), IF(D61="","Symmetry", I61-D61))</f>
        <v>-213</v>
      </c>
      <c r="K61" s="26"/>
      <c r="L61" s="0" t="s">
        <v>37</v>
      </c>
      <c r="M61" s="0" t="n">
        <v>82</v>
      </c>
      <c r="P61" s="26" t="str">
        <f aca="false">IF(O61="", IF(D61="", "Neither", "Parallelobox"), IF(D61="","Harpe", O61-D61))</f>
        <v>Parallelobox</v>
      </c>
      <c r="Q61" s="26" t="str">
        <f aca="false">IF(O61="", IF(I61="", "Neither", "Symmetry"), IF(I61="","Harpe", O61-I61))</f>
        <v>Symmetry</v>
      </c>
    </row>
    <row r="62" customFormat="false" ht="12.8" hidden="false" customHeight="false" outlineLevel="0" collapsed="false">
      <c r="A62" s="0" t="s">
        <v>37</v>
      </c>
      <c r="B62" s="0" t="n">
        <v>100</v>
      </c>
      <c r="C62" s="0" t="n">
        <v>23148</v>
      </c>
      <c r="D62" s="25" t="n">
        <f aca="false">IF(NOT(ISBLANK(C62)), ROUND(C62/60,0), "")</f>
        <v>386</v>
      </c>
      <c r="F62" s="0" t="s">
        <v>37</v>
      </c>
      <c r="G62" s="0" t="n">
        <v>100</v>
      </c>
      <c r="H62" s="0" t="n">
        <v>21626</v>
      </c>
      <c r="I62" s="0" t="n">
        <f aca="false">IF(NOT(ISBLANK(H62)), ROUND(H62/60,0), "")</f>
        <v>360</v>
      </c>
      <c r="J62" s="26" t="n">
        <f aca="false">IF(I62="", IF(D62="", "Neither", "Parallelobox"), IF(D62="","Symmetry", I62-D62))</f>
        <v>-26</v>
      </c>
      <c r="K62" s="26"/>
      <c r="L62" s="0" t="s">
        <v>37</v>
      </c>
      <c r="M62" s="0" t="n">
        <v>100</v>
      </c>
      <c r="P62" s="26" t="str">
        <f aca="false">IF(O62="", IF(D62="", "Neither", "Parallelobox"), IF(D62="","Harpe", O62-D62))</f>
        <v>Parallelobox</v>
      </c>
      <c r="Q62" s="26" t="str">
        <f aca="false">IF(O62="", IF(I62="", "Neither", "Symmetry"), IF(I62="","Harpe", O62-I62))</f>
        <v>Symmetry</v>
      </c>
    </row>
    <row r="63" customFormat="false" ht="12.8" hidden="false" customHeight="false" outlineLevel="0" collapsed="false">
      <c r="A63" s="0" t="s">
        <v>38</v>
      </c>
      <c r="B63" s="0" t="n">
        <v>5</v>
      </c>
      <c r="C63" s="0" t="n">
        <v>25685</v>
      </c>
      <c r="D63" s="25" t="n">
        <f aca="false">IF(NOT(ISBLANK(C63)), ROUND(C63/60,0), "")</f>
        <v>428</v>
      </c>
      <c r="F63" s="0" t="s">
        <v>38</v>
      </c>
      <c r="G63" s="0" t="n">
        <v>5</v>
      </c>
      <c r="H63" s="0" t="n">
        <v>40470</v>
      </c>
      <c r="I63" s="0" t="n">
        <f aca="false">IF(NOT(ISBLANK(H63)), ROUND(H63/60,0), "")</f>
        <v>675</v>
      </c>
      <c r="J63" s="26" t="n">
        <f aca="false">IF(I63="", IF(D63="", "Neither", "Parallelobox"), IF(D63="","Symmetry", I63-D63))</f>
        <v>247</v>
      </c>
      <c r="K63" s="26"/>
      <c r="L63" s="0" t="s">
        <v>38</v>
      </c>
      <c r="M63" s="0" t="n">
        <v>5</v>
      </c>
      <c r="N63" s="0" t="n">
        <v>45020</v>
      </c>
      <c r="O63" s="0" t="n">
        <f aca="false">IF(NOT(ISBLANK(N63)), ROUND(N63/60,0), "")</f>
        <v>750</v>
      </c>
      <c r="P63" s="26" t="n">
        <f aca="false">IF(O63="", IF(D63="", "Neither", "Parallelobox"), IF(D63="","Harpe", O63-D63))</f>
        <v>322</v>
      </c>
      <c r="Q63" s="26" t="n">
        <f aca="false">IF(O63="", IF(I63="", "Neither", "Symmetry"), IF(I63="","Harpe", O63-I63))</f>
        <v>75</v>
      </c>
    </row>
    <row r="64" customFormat="false" ht="12.8" hidden="false" customHeight="false" outlineLevel="0" collapsed="false">
      <c r="A64" s="0" t="s">
        <v>38</v>
      </c>
      <c r="B64" s="0" t="n">
        <v>10</v>
      </c>
      <c r="C64" s="0" t="n">
        <v>19132</v>
      </c>
      <c r="D64" s="25" t="n">
        <f aca="false">IF(NOT(ISBLANK(C64)), ROUND(C64/60,0), "")</f>
        <v>319</v>
      </c>
      <c r="F64" s="0" t="s">
        <v>38</v>
      </c>
      <c r="G64" s="0" t="n">
        <v>10</v>
      </c>
      <c r="H64" s="0" t="n">
        <v>22444</v>
      </c>
      <c r="I64" s="0" t="n">
        <f aca="false">IF(NOT(ISBLANK(H64)), ROUND(H64/60,0), "")</f>
        <v>374</v>
      </c>
      <c r="J64" s="26" t="n">
        <f aca="false">IF(I64="", IF(D64="", "Neither", "Parallelobox"), IF(D64="","Symmetry", I64-D64))</f>
        <v>55</v>
      </c>
      <c r="K64" s="26"/>
      <c r="L64" s="0" t="s">
        <v>38</v>
      </c>
      <c r="M64" s="0" t="n">
        <v>10</v>
      </c>
      <c r="N64" s="0" t="n">
        <v>32938</v>
      </c>
      <c r="O64" s="0" t="n">
        <f aca="false">IF(NOT(ISBLANK(N64)), ROUND(N64/60,0), "")</f>
        <v>549</v>
      </c>
      <c r="P64" s="26" t="n">
        <f aca="false">IF(O64="", IF(D64="", "Neither", "Parallelobox"), IF(D64="","Harpe", O64-D64))</f>
        <v>230</v>
      </c>
      <c r="Q64" s="26" t="n">
        <f aca="false">IF(O64="", IF(I64="", "Neither", "Symmetry"), IF(I64="","Harpe", O64-I64))</f>
        <v>175</v>
      </c>
    </row>
    <row r="65" customFormat="false" ht="12.8" hidden="false" customHeight="false" outlineLevel="0" collapsed="false">
      <c r="A65" s="0" t="s">
        <v>38</v>
      </c>
      <c r="B65" s="0" t="n">
        <v>15</v>
      </c>
      <c r="C65" s="0" t="n">
        <v>15677</v>
      </c>
      <c r="D65" s="25" t="n">
        <f aca="false">IF(NOT(ISBLANK(C65)), ROUND(C65/60,0), "")</f>
        <v>261</v>
      </c>
      <c r="F65" s="0" t="s">
        <v>38</v>
      </c>
      <c r="G65" s="0" t="n">
        <v>15</v>
      </c>
      <c r="H65" s="0" t="n">
        <v>25905</v>
      </c>
      <c r="I65" s="0" t="n">
        <f aca="false">IF(NOT(ISBLANK(H65)), ROUND(H65/60,0), "")</f>
        <v>432</v>
      </c>
      <c r="J65" s="26" t="n">
        <f aca="false">IF(I65="", IF(D65="", "Neither", "Parallelobox"), IF(D65="","Symmetry", I65-D65))</f>
        <v>171</v>
      </c>
      <c r="K65" s="26"/>
      <c r="L65" s="0" t="s">
        <v>38</v>
      </c>
      <c r="M65" s="0" t="n">
        <v>15</v>
      </c>
      <c r="N65" s="0" t="n">
        <v>21248</v>
      </c>
      <c r="O65" s="0" t="n">
        <f aca="false">IF(NOT(ISBLANK(N65)), ROUND(N65/60,0), "")</f>
        <v>354</v>
      </c>
      <c r="P65" s="26" t="n">
        <f aca="false">IF(O65="", IF(D65="", "Neither", "Parallelobox"), IF(D65="","Harpe", O65-D65))</f>
        <v>93</v>
      </c>
      <c r="Q65" s="26" t="n">
        <f aca="false">IF(O65="", IF(I65="", "Neither", "Symmetry"), IF(I65="","Harpe", O65-I65))</f>
        <v>-78</v>
      </c>
    </row>
    <row r="66" customFormat="false" ht="12.8" hidden="false" customHeight="false" outlineLevel="0" collapsed="false">
      <c r="A66" s="0" t="s">
        <v>38</v>
      </c>
      <c r="B66" s="0" t="n">
        <v>20</v>
      </c>
      <c r="C66" s="0" t="n">
        <v>8406</v>
      </c>
      <c r="D66" s="25" t="n">
        <f aca="false">IF(NOT(ISBLANK(C66)), ROUND(C66/60,0), "")</f>
        <v>140</v>
      </c>
      <c r="F66" s="0" t="s">
        <v>38</v>
      </c>
      <c r="G66" s="0" t="n">
        <v>20</v>
      </c>
      <c r="H66" s="0" t="n">
        <v>20130</v>
      </c>
      <c r="I66" s="0" t="n">
        <f aca="false">IF(NOT(ISBLANK(H66)), ROUND(H66/60,0), "")</f>
        <v>336</v>
      </c>
      <c r="J66" s="26" t="n">
        <f aca="false">IF(I66="", IF(D66="", "Neither", "Parallelobox"), IF(D66="","Symmetry", I66-D66))</f>
        <v>196</v>
      </c>
      <c r="K66" s="26"/>
      <c r="L66" s="0" t="s">
        <v>38</v>
      </c>
      <c r="M66" s="0" t="n">
        <v>20</v>
      </c>
      <c r="N66" s="0" t="n">
        <v>16164</v>
      </c>
      <c r="O66" s="0" t="n">
        <f aca="false">IF(NOT(ISBLANK(N66)), ROUND(N66/60,0), "")</f>
        <v>269</v>
      </c>
      <c r="P66" s="26" t="n">
        <f aca="false">IF(O66="", IF(D66="", "Neither", "Parallelobox"), IF(D66="","Harpe", O66-D66))</f>
        <v>129</v>
      </c>
      <c r="Q66" s="26" t="n">
        <f aca="false">IF(O66="", IF(I66="", "Neither", "Symmetry"), IF(I66="","Harpe", O66-I66))</f>
        <v>-67</v>
      </c>
    </row>
    <row r="67" customFormat="false" ht="12.8" hidden="false" customHeight="false" outlineLevel="0" collapsed="false">
      <c r="A67" s="0" t="s">
        <v>38</v>
      </c>
      <c r="B67" s="0" t="n">
        <v>30</v>
      </c>
      <c r="C67" s="0" t="n">
        <v>6087</v>
      </c>
      <c r="D67" s="25" t="n">
        <f aca="false">IF(NOT(ISBLANK(C67)), ROUND(C67/60,0), "")</f>
        <v>101</v>
      </c>
      <c r="F67" s="0" t="s">
        <v>38</v>
      </c>
      <c r="G67" s="0" t="n">
        <v>30</v>
      </c>
      <c r="H67" s="0" t="n">
        <v>23243</v>
      </c>
      <c r="I67" s="0" t="n">
        <f aca="false">IF(NOT(ISBLANK(H67)), ROUND(H67/60,0), "")</f>
        <v>387</v>
      </c>
      <c r="J67" s="26" t="n">
        <f aca="false">IF(I67="", IF(D67="", "Neither", "Parallelobox"), IF(D67="","Symmetry", I67-D67))</f>
        <v>286</v>
      </c>
      <c r="K67" s="26"/>
      <c r="L67" s="0" t="s">
        <v>38</v>
      </c>
      <c r="M67" s="0" t="n">
        <v>30</v>
      </c>
      <c r="N67" s="0" t="n">
        <v>10315</v>
      </c>
      <c r="O67" s="0" t="n">
        <f aca="false">IF(NOT(ISBLANK(N67)), ROUND(N67/60,0), "")</f>
        <v>172</v>
      </c>
      <c r="P67" s="26" t="n">
        <f aca="false">IF(O67="", IF(D67="", "Neither", "Parallelobox"), IF(D67="","Harpe", O67-D67))</f>
        <v>71</v>
      </c>
      <c r="Q67" s="26" t="n">
        <f aca="false">IF(O67="", IF(I67="", "Neither", "Symmetry"), IF(I67="","Harpe", O67-I67))</f>
        <v>-215</v>
      </c>
    </row>
    <row r="68" customFormat="false" ht="12.8" hidden="false" customHeight="false" outlineLevel="0" collapsed="false">
      <c r="A68" s="0" t="s">
        <v>38</v>
      </c>
      <c r="B68" s="0" t="n">
        <v>40</v>
      </c>
      <c r="C68" s="0" t="n">
        <v>5134</v>
      </c>
      <c r="D68" s="25" t="n">
        <f aca="false">IF(NOT(ISBLANK(C68)), ROUND(C68/60,0), "")</f>
        <v>86</v>
      </c>
      <c r="F68" s="0" t="s">
        <v>38</v>
      </c>
      <c r="G68" s="0" t="n">
        <v>40</v>
      </c>
      <c r="H68" s="0" t="n">
        <v>13072</v>
      </c>
      <c r="I68" s="0" t="n">
        <f aca="false">IF(NOT(ISBLANK(H68)), ROUND(H68/60,0), "")</f>
        <v>218</v>
      </c>
      <c r="J68" s="26" t="n">
        <f aca="false">IF(I68="", IF(D68="", "Neither", "Parallelobox"), IF(D68="","Symmetry", I68-D68))</f>
        <v>132</v>
      </c>
      <c r="K68" s="26"/>
      <c r="L68" s="0" t="s">
        <v>38</v>
      </c>
      <c r="M68" s="0" t="n">
        <v>40</v>
      </c>
      <c r="N68" s="0" t="n">
        <v>14309</v>
      </c>
      <c r="O68" s="0" t="n">
        <f aca="false">IF(NOT(ISBLANK(N68)), ROUND(N68/60,0), "")</f>
        <v>238</v>
      </c>
      <c r="P68" s="26" t="n">
        <f aca="false">IF(O68="", IF(D68="", "Neither", "Parallelobox"), IF(D68="","Harpe", O68-D68))</f>
        <v>152</v>
      </c>
      <c r="Q68" s="26" t="n">
        <f aca="false">IF(O68="", IF(I68="", "Neither", "Symmetry"), IF(I68="","Harpe", O68-I68))</f>
        <v>20</v>
      </c>
    </row>
    <row r="69" customFormat="false" ht="12.8" hidden="false" customHeight="false" outlineLevel="0" collapsed="false">
      <c r="A69" s="0" t="s">
        <v>38</v>
      </c>
      <c r="B69" s="0" t="n">
        <v>50</v>
      </c>
      <c r="C69" s="0" t="n">
        <v>3963</v>
      </c>
      <c r="D69" s="25" t="n">
        <f aca="false">IF(NOT(ISBLANK(C69)), ROUND(C69/60,0), "")</f>
        <v>66</v>
      </c>
      <c r="F69" s="0" t="s">
        <v>38</v>
      </c>
      <c r="G69" s="0" t="n">
        <v>50</v>
      </c>
      <c r="H69" s="0" t="n">
        <v>15533</v>
      </c>
      <c r="I69" s="0" t="n">
        <f aca="false">IF(NOT(ISBLANK(H69)), ROUND(H69/60,0), "")</f>
        <v>259</v>
      </c>
      <c r="J69" s="26" t="n">
        <f aca="false">IF(I69="", IF(D69="", "Neither", "Parallelobox"), IF(D69="","Symmetry", I69-D69))</f>
        <v>193</v>
      </c>
      <c r="K69" s="26"/>
      <c r="L69" s="0" t="s">
        <v>38</v>
      </c>
      <c r="M69" s="0" t="n">
        <v>50</v>
      </c>
      <c r="N69" s="0" t="n">
        <v>10754</v>
      </c>
      <c r="O69" s="0" t="n">
        <f aca="false">IF(NOT(ISBLANK(N69)), ROUND(N69/60,0), "")</f>
        <v>179</v>
      </c>
      <c r="P69" s="26" t="n">
        <f aca="false">IF(O69="", IF(D69="", "Neither", "Parallelobox"), IF(D69="","Harpe", O69-D69))</f>
        <v>113</v>
      </c>
      <c r="Q69" s="26" t="n">
        <f aca="false">IF(O69="", IF(I69="", "Neither", "Symmetry"), IF(I69="","Harpe", O69-I69))</f>
        <v>-80</v>
      </c>
    </row>
    <row r="70" customFormat="false" ht="12.8" hidden="false" customHeight="false" outlineLevel="0" collapsed="false">
      <c r="A70" s="0" t="s">
        <v>38</v>
      </c>
      <c r="B70" s="0" t="n">
        <v>64</v>
      </c>
      <c r="C70" s="0" t="n">
        <v>3134</v>
      </c>
      <c r="D70" s="25" t="n">
        <f aca="false">IF(NOT(ISBLANK(C70)), ROUND(C70/60,0), "")</f>
        <v>52</v>
      </c>
      <c r="F70" s="0" t="s">
        <v>38</v>
      </c>
      <c r="G70" s="0" t="n">
        <v>64</v>
      </c>
      <c r="H70" s="0" t="n">
        <v>11296</v>
      </c>
      <c r="I70" s="0" t="n">
        <f aca="false">IF(NOT(ISBLANK(H70)), ROUND(H70/60,0), "")</f>
        <v>188</v>
      </c>
      <c r="J70" s="26" t="n">
        <f aca="false">IF(I70="", IF(D70="", "Neither", "Parallelobox"), IF(D70="","Symmetry", I70-D70))</f>
        <v>136</v>
      </c>
      <c r="K70" s="26"/>
      <c r="L70" s="0" t="s">
        <v>38</v>
      </c>
      <c r="M70" s="0" t="n">
        <v>64</v>
      </c>
      <c r="N70" s="0" t="n">
        <v>7481</v>
      </c>
      <c r="O70" s="0" t="n">
        <f aca="false">IF(NOT(ISBLANK(N70)), ROUND(N70/60,0), "")</f>
        <v>125</v>
      </c>
      <c r="P70" s="26" t="n">
        <f aca="false">IF(O70="", IF(D70="", "Neither", "Parallelobox"), IF(D70="","Harpe", O70-D70))</f>
        <v>73</v>
      </c>
      <c r="Q70" s="26" t="n">
        <f aca="false">IF(O70="", IF(I70="", "Neither", "Symmetry"), IF(I70="","Harpe", O70-I70))</f>
        <v>-63</v>
      </c>
    </row>
    <row r="71" customFormat="false" ht="12.8" hidden="false" customHeight="false" outlineLevel="0" collapsed="false">
      <c r="A71" s="0" t="s">
        <v>38</v>
      </c>
      <c r="B71" s="0" t="n">
        <v>82</v>
      </c>
      <c r="C71" s="0" t="n">
        <v>2769</v>
      </c>
      <c r="D71" s="25" t="n">
        <f aca="false">IF(NOT(ISBLANK(C71)), ROUND(C71/60,0), "")</f>
        <v>46</v>
      </c>
      <c r="F71" s="0" t="s">
        <v>38</v>
      </c>
      <c r="G71" s="0" t="n">
        <v>82</v>
      </c>
      <c r="H71" s="0" t="n">
        <v>9768</v>
      </c>
      <c r="I71" s="0" t="n">
        <f aca="false">IF(NOT(ISBLANK(H71)), ROUND(H71/60,0), "")</f>
        <v>163</v>
      </c>
      <c r="J71" s="26" t="n">
        <f aca="false">IF(I71="", IF(D71="", "Neither", "Parallelobox"), IF(D71="","Symmetry", I71-D71))</f>
        <v>117</v>
      </c>
      <c r="K71" s="26"/>
      <c r="L71" s="0" t="s">
        <v>38</v>
      </c>
      <c r="M71" s="0" t="n">
        <v>82</v>
      </c>
      <c r="N71" s="0" t="n">
        <v>7902</v>
      </c>
      <c r="O71" s="0" t="n">
        <f aca="false">IF(NOT(ISBLANK(N71)), ROUND(N71/60,0), "")</f>
        <v>132</v>
      </c>
      <c r="P71" s="26" t="n">
        <f aca="false">IF(O71="", IF(D71="", "Neither", "Parallelobox"), IF(D71="","Harpe", O71-D71))</f>
        <v>86</v>
      </c>
      <c r="Q71" s="26" t="n">
        <f aca="false">IF(O71="", IF(I71="", "Neither", "Symmetry"), IF(I71="","Harpe", O71-I71))</f>
        <v>-31</v>
      </c>
    </row>
    <row r="72" customFormat="false" ht="12.8" hidden="false" customHeight="false" outlineLevel="0" collapsed="false">
      <c r="A72" s="0" t="s">
        <v>38</v>
      </c>
      <c r="B72" s="0" t="n">
        <v>100</v>
      </c>
      <c r="C72" s="0" t="n">
        <v>2594</v>
      </c>
      <c r="D72" s="25" t="n">
        <f aca="false">IF(NOT(ISBLANK(C72)), ROUND(C72/60,0), "")</f>
        <v>43</v>
      </c>
      <c r="F72" s="0" t="s">
        <v>38</v>
      </c>
      <c r="G72" s="0" t="n">
        <v>100</v>
      </c>
      <c r="H72" s="0" t="n">
        <v>8599</v>
      </c>
      <c r="I72" s="0" t="n">
        <f aca="false">IF(NOT(ISBLANK(H72)), ROUND(H72/60,0), "")</f>
        <v>143</v>
      </c>
      <c r="J72" s="26" t="n">
        <f aca="false">IF(I72="", IF(D72="", "Neither", "Parallelobox"), IF(D72="","Symmetry", I72-D72))</f>
        <v>100</v>
      </c>
      <c r="K72" s="26"/>
      <c r="L72" s="0" t="s">
        <v>38</v>
      </c>
      <c r="M72" s="0" t="n">
        <v>100</v>
      </c>
      <c r="N72" s="0" t="n">
        <v>8067</v>
      </c>
      <c r="O72" s="0" t="n">
        <f aca="false">IF(NOT(ISBLANK(N72)), ROUND(N72/60,0), "")</f>
        <v>134</v>
      </c>
      <c r="P72" s="26" t="n">
        <f aca="false">IF(O72="", IF(D72="", "Neither", "Parallelobox"), IF(D72="","Harpe", O72-D72))</f>
        <v>91</v>
      </c>
      <c r="Q72" s="26" t="n">
        <f aca="false">IF(O72="", IF(I72="", "Neither", "Symmetry"), IF(I72="","Harpe", O72-I72))</f>
        <v>-9</v>
      </c>
    </row>
    <row r="73" customFormat="false" ht="12.8" hidden="false" customHeight="false" outlineLevel="0" collapsed="false">
      <c r="A73" s="0" t="s">
        <v>39</v>
      </c>
      <c r="B73" s="0" t="n">
        <v>5</v>
      </c>
      <c r="C73" s="0" t="n">
        <v>105345</v>
      </c>
      <c r="D73" s="25" t="n">
        <f aca="false">IF(NOT(ISBLANK(C73)), ROUND(C73/60,0), "")</f>
        <v>1756</v>
      </c>
      <c r="F73" s="0" t="s">
        <v>39</v>
      </c>
      <c r="G73" s="0" t="n">
        <v>5</v>
      </c>
      <c r="H73" s="0" t="n">
        <v>87243</v>
      </c>
      <c r="I73" s="0" t="n">
        <f aca="false">IF(NOT(ISBLANK(H73)), ROUND(H73/60,0), "")</f>
        <v>1454</v>
      </c>
      <c r="J73" s="26" t="n">
        <f aca="false">IF(I73="", IF(D73="", "Neither", "Parallelobox"), IF(D73="","Symmetry", I73-D73))</f>
        <v>-302</v>
      </c>
      <c r="K73" s="26"/>
      <c r="L73" s="0" t="s">
        <v>39</v>
      </c>
      <c r="M73" s="0" t="n">
        <v>5</v>
      </c>
      <c r="N73" s="0" t="n">
        <v>93288</v>
      </c>
      <c r="O73" s="0" t="n">
        <f aca="false">IF(NOT(ISBLANK(N73)), ROUND(N73/60,0), "")</f>
        <v>1555</v>
      </c>
      <c r="P73" s="26" t="n">
        <f aca="false">IF(O73="", IF(D73="", "Neither", "Parallelobox"), IF(D73="","Harpe", O73-D73))</f>
        <v>-201</v>
      </c>
      <c r="Q73" s="26" t="n">
        <f aca="false">IF(O73="", IF(I73="", "Neither", "Symmetry"), IF(I73="","Harpe", O73-I73))</f>
        <v>101</v>
      </c>
    </row>
    <row r="74" customFormat="false" ht="12.8" hidden="false" customHeight="false" outlineLevel="0" collapsed="false">
      <c r="A74" s="0" t="s">
        <v>39</v>
      </c>
      <c r="B74" s="0" t="n">
        <v>10</v>
      </c>
      <c r="C74" s="0" t="n">
        <v>81111</v>
      </c>
      <c r="D74" s="25" t="n">
        <f aca="false">IF(NOT(ISBLANK(C74)), ROUND(C74/60,0), "")</f>
        <v>1352</v>
      </c>
      <c r="F74" s="0" t="s">
        <v>39</v>
      </c>
      <c r="G74" s="0" t="n">
        <v>10</v>
      </c>
      <c r="H74" s="0" t="n">
        <v>83072</v>
      </c>
      <c r="I74" s="0" t="n">
        <f aca="false">IF(NOT(ISBLANK(H74)), ROUND(H74/60,0), "")</f>
        <v>1385</v>
      </c>
      <c r="J74" s="26" t="n">
        <f aca="false">IF(I74="", IF(D74="", "Neither", "Parallelobox"), IF(D74="","Symmetry", I74-D74))</f>
        <v>33</v>
      </c>
      <c r="K74" s="26"/>
      <c r="L74" s="0" t="s">
        <v>39</v>
      </c>
      <c r="M74" s="0" t="n">
        <v>10</v>
      </c>
      <c r="N74" s="0" t="n">
        <v>68639</v>
      </c>
      <c r="O74" s="0" t="n">
        <f aca="false">IF(NOT(ISBLANK(N74)), ROUND(N74/60,0), "")</f>
        <v>1144</v>
      </c>
      <c r="P74" s="26" t="n">
        <f aca="false">IF(O74="", IF(D74="", "Neither", "Parallelobox"), IF(D74="","Harpe", O74-D74))</f>
        <v>-208</v>
      </c>
      <c r="Q74" s="26" t="n">
        <f aca="false">IF(O74="", IF(I74="", "Neither", "Symmetry"), IF(I74="","Harpe", O74-I74))</f>
        <v>-241</v>
      </c>
    </row>
    <row r="75" customFormat="false" ht="12.8" hidden="false" customHeight="false" outlineLevel="0" collapsed="false">
      <c r="A75" s="0" t="s">
        <v>39</v>
      </c>
      <c r="B75" s="0" t="n">
        <v>15</v>
      </c>
      <c r="C75" s="0" t="n">
        <v>55144</v>
      </c>
      <c r="D75" s="25" t="n">
        <f aca="false">IF(NOT(ISBLANK(C75)), ROUND(C75/60,0), "")</f>
        <v>919</v>
      </c>
      <c r="F75" s="0" t="s">
        <v>39</v>
      </c>
      <c r="G75" s="0" t="n">
        <v>15</v>
      </c>
      <c r="H75" s="0" t="n">
        <v>52685</v>
      </c>
      <c r="I75" s="0" t="n">
        <f aca="false">IF(NOT(ISBLANK(H75)), ROUND(H75/60,0), "")</f>
        <v>878</v>
      </c>
      <c r="J75" s="26" t="n">
        <f aca="false">IF(I75="", IF(D75="", "Neither", "Parallelobox"), IF(D75="","Symmetry", I75-D75))</f>
        <v>-41</v>
      </c>
      <c r="K75" s="26"/>
      <c r="L75" s="0" t="s">
        <v>39</v>
      </c>
      <c r="M75" s="0" t="n">
        <v>15</v>
      </c>
      <c r="N75" s="0" t="n">
        <v>55290</v>
      </c>
      <c r="O75" s="0" t="n">
        <f aca="false">IF(NOT(ISBLANK(N75)), ROUND(N75/60,0), "")</f>
        <v>922</v>
      </c>
      <c r="P75" s="26" t="n">
        <f aca="false">IF(O75="", IF(D75="", "Neither", "Parallelobox"), IF(D75="","Harpe", O75-D75))</f>
        <v>3</v>
      </c>
      <c r="Q75" s="26" t="n">
        <f aca="false">IF(O75="", IF(I75="", "Neither", "Symmetry"), IF(I75="","Harpe", O75-I75))</f>
        <v>44</v>
      </c>
    </row>
    <row r="76" customFormat="false" ht="12.8" hidden="false" customHeight="false" outlineLevel="0" collapsed="false">
      <c r="A76" s="0" t="s">
        <v>39</v>
      </c>
      <c r="B76" s="0" t="n">
        <v>20</v>
      </c>
      <c r="C76" s="0" t="n">
        <v>47718</v>
      </c>
      <c r="D76" s="25" t="n">
        <f aca="false">IF(NOT(ISBLANK(C76)), ROUND(C76/60,0), "")</f>
        <v>795</v>
      </c>
      <c r="F76" s="0" t="s">
        <v>39</v>
      </c>
      <c r="G76" s="0" t="n">
        <v>20</v>
      </c>
      <c r="H76" s="0" t="n">
        <v>29293</v>
      </c>
      <c r="I76" s="0" t="n">
        <f aca="false">IF(NOT(ISBLANK(H76)), ROUND(H76/60,0), "")</f>
        <v>488</v>
      </c>
      <c r="J76" s="26" t="n">
        <f aca="false">IF(I76="", IF(D76="", "Neither", "Parallelobox"), IF(D76="","Symmetry", I76-D76))</f>
        <v>-307</v>
      </c>
      <c r="K76" s="26"/>
      <c r="L76" s="0" t="s">
        <v>39</v>
      </c>
      <c r="M76" s="0" t="n">
        <v>20</v>
      </c>
      <c r="N76" s="0" t="n">
        <v>61306</v>
      </c>
      <c r="O76" s="0" t="n">
        <f aca="false">IF(NOT(ISBLANK(N76)), ROUND(N76/60,0), "")</f>
        <v>1022</v>
      </c>
      <c r="P76" s="26" t="n">
        <f aca="false">IF(O76="", IF(D76="", "Neither", "Parallelobox"), IF(D76="","Harpe", O76-D76))</f>
        <v>227</v>
      </c>
      <c r="Q76" s="26" t="n">
        <f aca="false">IF(O76="", IF(I76="", "Neither", "Symmetry"), IF(I76="","Harpe", O76-I76))</f>
        <v>534</v>
      </c>
    </row>
    <row r="77" customFormat="false" ht="12.8" hidden="false" customHeight="false" outlineLevel="0" collapsed="false">
      <c r="A77" s="0" t="s">
        <v>39</v>
      </c>
      <c r="B77" s="0" t="n">
        <v>30</v>
      </c>
      <c r="C77" s="0" t="n">
        <v>31531</v>
      </c>
      <c r="D77" s="25" t="n">
        <f aca="false">IF(NOT(ISBLANK(C77)), ROUND(C77/60,0), "")</f>
        <v>526</v>
      </c>
      <c r="F77" s="0" t="s">
        <v>39</v>
      </c>
      <c r="G77" s="0" t="n">
        <v>30</v>
      </c>
      <c r="H77" s="0" t="n">
        <v>37654</v>
      </c>
      <c r="I77" s="0" t="n">
        <f aca="false">IF(NOT(ISBLANK(H77)), ROUND(H77/60,0), "")</f>
        <v>628</v>
      </c>
      <c r="J77" s="26" t="n">
        <f aca="false">IF(I77="", IF(D77="", "Neither", "Parallelobox"), IF(D77="","Symmetry", I77-D77))</f>
        <v>102</v>
      </c>
      <c r="K77" s="26"/>
      <c r="L77" s="0" t="s">
        <v>39</v>
      </c>
      <c r="M77" s="0" t="n">
        <v>30</v>
      </c>
      <c r="P77" s="26" t="str">
        <f aca="false">IF(O77="", IF(D77="", "Neither", "Parallelobox"), IF(D77="","Harpe", O77-D77))</f>
        <v>Parallelobox</v>
      </c>
      <c r="Q77" s="26" t="str">
        <f aca="false">IF(O77="", IF(I77="", "Neither", "Symmetry"), IF(I77="","Harpe", O77-I77))</f>
        <v>Symmetry</v>
      </c>
    </row>
    <row r="78" customFormat="false" ht="12.8" hidden="false" customHeight="false" outlineLevel="0" collapsed="false">
      <c r="A78" s="0" t="s">
        <v>39</v>
      </c>
      <c r="B78" s="0" t="n">
        <v>40</v>
      </c>
      <c r="C78" s="0" t="n">
        <v>35755</v>
      </c>
      <c r="D78" s="25" t="n">
        <f aca="false">IF(NOT(ISBLANK(C78)), ROUND(C78/60,0), "")</f>
        <v>596</v>
      </c>
      <c r="F78" s="0" t="s">
        <v>39</v>
      </c>
      <c r="G78" s="0" t="n">
        <v>40</v>
      </c>
      <c r="H78" s="0" t="n">
        <v>40480</v>
      </c>
      <c r="I78" s="0" t="n">
        <f aca="false">IF(NOT(ISBLANK(H78)), ROUND(H78/60,0), "")</f>
        <v>675</v>
      </c>
      <c r="J78" s="26" t="n">
        <f aca="false">IF(I78="", IF(D78="", "Neither", "Parallelobox"), IF(D78="","Symmetry", I78-D78))</f>
        <v>79</v>
      </c>
      <c r="K78" s="26"/>
      <c r="L78" s="0" t="s">
        <v>39</v>
      </c>
      <c r="M78" s="0" t="n">
        <v>40</v>
      </c>
      <c r="P78" s="26" t="str">
        <f aca="false">IF(O78="", IF(D78="", "Neither", "Parallelobox"), IF(D78="","Harpe", O78-D78))</f>
        <v>Parallelobox</v>
      </c>
      <c r="Q78" s="26" t="str">
        <f aca="false">IF(O78="", IF(I78="", "Neither", "Symmetry"), IF(I78="","Harpe", O78-I78))</f>
        <v>Symmetry</v>
      </c>
    </row>
    <row r="79" customFormat="false" ht="12.8" hidden="false" customHeight="false" outlineLevel="0" collapsed="false">
      <c r="A79" s="0" t="s">
        <v>39</v>
      </c>
      <c r="B79" s="0" t="n">
        <v>50</v>
      </c>
      <c r="C79" s="0" t="n">
        <v>21405</v>
      </c>
      <c r="D79" s="25" t="n">
        <f aca="false">IF(NOT(ISBLANK(C79)), ROUND(C79/60,0), "")</f>
        <v>357</v>
      </c>
      <c r="F79" s="0" t="s">
        <v>39</v>
      </c>
      <c r="G79" s="0" t="n">
        <v>50</v>
      </c>
      <c r="H79" s="0" t="n">
        <v>36172</v>
      </c>
      <c r="I79" s="0" t="n">
        <f aca="false">IF(NOT(ISBLANK(H79)), ROUND(H79/60,0), "")</f>
        <v>603</v>
      </c>
      <c r="J79" s="26" t="n">
        <f aca="false">IF(I79="", IF(D79="", "Neither", "Parallelobox"), IF(D79="","Symmetry", I79-D79))</f>
        <v>246</v>
      </c>
      <c r="K79" s="26"/>
      <c r="L79" s="0" t="s">
        <v>39</v>
      </c>
      <c r="M79" s="0" t="n">
        <v>50</v>
      </c>
      <c r="N79" s="0" t="n">
        <v>30622</v>
      </c>
      <c r="O79" s="0" t="n">
        <f aca="false">IF(NOT(ISBLANK(N79)), ROUND(N79/60,0), "")</f>
        <v>510</v>
      </c>
      <c r="P79" s="26" t="n">
        <f aca="false">IF(O79="", IF(D79="", "Neither", "Parallelobox"), IF(D79="","Harpe", O79-D79))</f>
        <v>153</v>
      </c>
      <c r="Q79" s="26" t="n">
        <f aca="false">IF(O79="", IF(I79="", "Neither", "Symmetry"), IF(I79="","Harpe", O79-I79))</f>
        <v>-93</v>
      </c>
    </row>
    <row r="80" customFormat="false" ht="12.8" hidden="false" customHeight="false" outlineLevel="0" collapsed="false">
      <c r="A80" s="0" t="s">
        <v>39</v>
      </c>
      <c r="B80" s="0" t="n">
        <v>64</v>
      </c>
      <c r="C80" s="0" t="n">
        <v>15315</v>
      </c>
      <c r="D80" s="25" t="n">
        <f aca="false">IF(NOT(ISBLANK(C80)), ROUND(C80/60,0), "")</f>
        <v>255</v>
      </c>
      <c r="F80" s="0" t="s">
        <v>39</v>
      </c>
      <c r="G80" s="0" t="n">
        <v>64</v>
      </c>
      <c r="H80" s="0" t="n">
        <v>24593</v>
      </c>
      <c r="I80" s="0" t="n">
        <f aca="false">IF(NOT(ISBLANK(H80)), ROUND(H80/60,0), "")</f>
        <v>410</v>
      </c>
      <c r="J80" s="26" t="n">
        <f aca="false">IF(I80="", IF(D80="", "Neither", "Parallelobox"), IF(D80="","Symmetry", I80-D80))</f>
        <v>155</v>
      </c>
      <c r="K80" s="26"/>
      <c r="L80" s="0" t="s">
        <v>39</v>
      </c>
      <c r="M80" s="0" t="n">
        <v>64</v>
      </c>
      <c r="P80" s="26" t="str">
        <f aca="false">IF(O80="", IF(D80="", "Neither", "Parallelobox"), IF(D80="","Harpe", O80-D80))</f>
        <v>Parallelobox</v>
      </c>
      <c r="Q80" s="26" t="str">
        <f aca="false">IF(O80="", IF(I80="", "Neither", "Symmetry"), IF(I80="","Harpe", O80-I80))</f>
        <v>Symmetry</v>
      </c>
    </row>
    <row r="81" customFormat="false" ht="12.8" hidden="false" customHeight="false" outlineLevel="0" collapsed="false">
      <c r="A81" s="0" t="s">
        <v>39</v>
      </c>
      <c r="B81" s="0" t="n">
        <v>82</v>
      </c>
      <c r="C81" s="0" t="n">
        <v>10649</v>
      </c>
      <c r="D81" s="25" t="n">
        <f aca="false">IF(NOT(ISBLANK(C81)), ROUND(C81/60,0), "")</f>
        <v>177</v>
      </c>
      <c r="F81" s="0" t="s">
        <v>39</v>
      </c>
      <c r="G81" s="0" t="n">
        <v>82</v>
      </c>
      <c r="H81" s="0" t="n">
        <v>20931</v>
      </c>
      <c r="I81" s="0" t="n">
        <f aca="false">IF(NOT(ISBLANK(H81)), ROUND(H81/60,0), "")</f>
        <v>349</v>
      </c>
      <c r="J81" s="26" t="n">
        <f aca="false">IF(I81="", IF(D81="", "Neither", "Parallelobox"), IF(D81="","Symmetry", I81-D81))</f>
        <v>172</v>
      </c>
      <c r="K81" s="26"/>
      <c r="L81" s="0" t="s">
        <v>39</v>
      </c>
      <c r="M81" s="0" t="n">
        <v>82</v>
      </c>
      <c r="P81" s="26" t="str">
        <f aca="false">IF(O81="", IF(D81="", "Neither", "Parallelobox"), IF(D81="","Harpe", O81-D81))</f>
        <v>Parallelobox</v>
      </c>
      <c r="Q81" s="26" t="str">
        <f aca="false">IF(O81="", IF(I81="", "Neither", "Symmetry"), IF(I81="","Harpe", O81-I81))</f>
        <v>Symmetry</v>
      </c>
    </row>
    <row r="82" customFormat="false" ht="12.8" hidden="false" customHeight="false" outlineLevel="0" collapsed="false">
      <c r="A82" s="0" t="s">
        <v>39</v>
      </c>
      <c r="B82" s="0" t="n">
        <v>100</v>
      </c>
      <c r="C82" s="0" t="n">
        <v>10705</v>
      </c>
      <c r="D82" s="25" t="n">
        <f aca="false">IF(NOT(ISBLANK(C82)), ROUND(C82/60,0), "")</f>
        <v>178</v>
      </c>
      <c r="F82" s="0" t="s">
        <v>39</v>
      </c>
      <c r="G82" s="0" t="n">
        <v>100</v>
      </c>
      <c r="H82" s="0" t="n">
        <v>22438</v>
      </c>
      <c r="I82" s="0" t="n">
        <f aca="false">IF(NOT(ISBLANK(H82)), ROUND(H82/60,0), "")</f>
        <v>374</v>
      </c>
      <c r="J82" s="26" t="n">
        <f aca="false">IF(I82="", IF(D82="", "Neither", "Parallelobox"), IF(D82="","Symmetry", I82-D82))</f>
        <v>196</v>
      </c>
      <c r="K82" s="26"/>
      <c r="L82" s="0" t="s">
        <v>39</v>
      </c>
      <c r="M82" s="0" t="n">
        <v>100</v>
      </c>
      <c r="P82" s="26" t="str">
        <f aca="false">IF(O82="", IF(D82="", "Neither", "Parallelobox"), IF(D82="","Harpe", O82-D82))</f>
        <v>Parallelobox</v>
      </c>
      <c r="Q82" s="26" t="str">
        <f aca="false">IF(O82="", IF(I82="", "Neither", "Symmetry"), IF(I82="","Harpe", O82-I82))</f>
        <v>Symmetry</v>
      </c>
    </row>
    <row r="83" customFormat="false" ht="12.8" hidden="false" customHeight="false" outlineLevel="0" collapsed="false">
      <c r="A83" s="0" t="s">
        <v>41</v>
      </c>
      <c r="B83" s="0" t="n">
        <v>5</v>
      </c>
      <c r="C83" s="0" t="n">
        <v>10938</v>
      </c>
      <c r="D83" s="25" t="n">
        <f aca="false">IF(NOT(ISBLANK(C83)), ROUND(C83/60,0), "")</f>
        <v>182</v>
      </c>
      <c r="F83" s="0" t="s">
        <v>41</v>
      </c>
      <c r="G83" s="0" t="n">
        <v>5</v>
      </c>
      <c r="H83" s="0" t="n">
        <v>9969</v>
      </c>
      <c r="I83" s="0" t="n">
        <f aca="false">IF(NOT(ISBLANK(H83)), ROUND(H83/60,0), "")</f>
        <v>166</v>
      </c>
      <c r="J83" s="26" t="n">
        <f aca="false">IF(I83="", IF(D83="", "Neither", "Parallelobox"), IF(D83="","Symmetry", I83-D83))</f>
        <v>-16</v>
      </c>
      <c r="K83" s="26"/>
      <c r="L83" s="0" t="s">
        <v>41</v>
      </c>
      <c r="M83" s="0" t="n">
        <v>5</v>
      </c>
      <c r="N83" s="0" t="n">
        <v>16286</v>
      </c>
      <c r="O83" s="0" t="n">
        <f aca="false">IF(NOT(ISBLANK(N83)), ROUND(N83/60,0), "")</f>
        <v>271</v>
      </c>
      <c r="P83" s="26" t="n">
        <f aca="false">IF(O83="", IF(D83="", "Neither", "Parallelobox"), IF(D83="","Harpe", O83-D83))</f>
        <v>89</v>
      </c>
      <c r="Q83" s="26" t="n">
        <f aca="false">IF(O83="", IF(I83="", "Neither", "Symmetry"), IF(I83="","Harpe", O83-I83))</f>
        <v>105</v>
      </c>
    </row>
    <row r="84" customFormat="false" ht="12.8" hidden="false" customHeight="false" outlineLevel="0" collapsed="false">
      <c r="A84" s="0" t="s">
        <v>41</v>
      </c>
      <c r="B84" s="0" t="n">
        <v>10</v>
      </c>
      <c r="C84" s="0" t="n">
        <v>5687</v>
      </c>
      <c r="D84" s="25" t="n">
        <f aca="false">IF(NOT(ISBLANK(C84)), ROUND(C84/60,0), "")</f>
        <v>95</v>
      </c>
      <c r="F84" s="0" t="s">
        <v>41</v>
      </c>
      <c r="G84" s="0" t="n">
        <v>10</v>
      </c>
      <c r="H84" s="0" t="n">
        <v>20080</v>
      </c>
      <c r="I84" s="0" t="n">
        <f aca="false">IF(NOT(ISBLANK(H84)), ROUND(H84/60,0), "")</f>
        <v>335</v>
      </c>
      <c r="J84" s="26" t="n">
        <f aca="false">IF(I84="", IF(D84="", "Neither", "Parallelobox"), IF(D84="","Symmetry", I84-D84))</f>
        <v>240</v>
      </c>
      <c r="K84" s="26"/>
      <c r="L84" s="0" t="s">
        <v>41</v>
      </c>
      <c r="M84" s="0" t="n">
        <v>10</v>
      </c>
      <c r="N84" s="0" t="n">
        <v>8740</v>
      </c>
      <c r="O84" s="0" t="n">
        <f aca="false">IF(NOT(ISBLANK(N84)), ROUND(N84/60,0), "")</f>
        <v>146</v>
      </c>
      <c r="P84" s="26" t="n">
        <f aca="false">IF(O84="", IF(D84="", "Neither", "Parallelobox"), IF(D84="","Harpe", O84-D84))</f>
        <v>51</v>
      </c>
      <c r="Q84" s="26" t="n">
        <f aca="false">IF(O84="", IF(I84="", "Neither", "Symmetry"), IF(I84="","Harpe", O84-I84))</f>
        <v>-189</v>
      </c>
    </row>
    <row r="85" customFormat="false" ht="12.8" hidden="false" customHeight="false" outlineLevel="0" collapsed="false">
      <c r="A85" s="0" t="s">
        <v>41</v>
      </c>
      <c r="B85" s="0" t="n">
        <v>15</v>
      </c>
      <c r="C85" s="0" t="n">
        <v>4666</v>
      </c>
      <c r="D85" s="25" t="n">
        <f aca="false">IF(NOT(ISBLANK(C85)), ROUND(C85/60,0), "")</f>
        <v>78</v>
      </c>
      <c r="F85" s="0" t="s">
        <v>41</v>
      </c>
      <c r="G85" s="0" t="n">
        <v>15</v>
      </c>
      <c r="H85" s="0" t="n">
        <v>9373</v>
      </c>
      <c r="I85" s="0" t="n">
        <f aca="false">IF(NOT(ISBLANK(H85)), ROUND(H85/60,0), "")</f>
        <v>156</v>
      </c>
      <c r="J85" s="26" t="n">
        <f aca="false">IF(I85="", IF(D85="", "Neither", "Parallelobox"), IF(D85="","Symmetry", I85-D85))</f>
        <v>78</v>
      </c>
      <c r="K85" s="26"/>
      <c r="L85" s="0" t="s">
        <v>41</v>
      </c>
      <c r="M85" s="0" t="n">
        <v>15</v>
      </c>
      <c r="N85" s="0" t="n">
        <v>5611</v>
      </c>
      <c r="O85" s="0" t="n">
        <f aca="false">IF(NOT(ISBLANK(N85)), ROUND(N85/60,0), "")</f>
        <v>94</v>
      </c>
      <c r="P85" s="26" t="n">
        <f aca="false">IF(O85="", IF(D85="", "Neither", "Parallelobox"), IF(D85="","Harpe", O85-D85))</f>
        <v>16</v>
      </c>
      <c r="Q85" s="26" t="n">
        <f aca="false">IF(O85="", IF(I85="", "Neither", "Symmetry"), IF(I85="","Harpe", O85-I85))</f>
        <v>-62</v>
      </c>
    </row>
    <row r="86" customFormat="false" ht="12.8" hidden="false" customHeight="false" outlineLevel="0" collapsed="false">
      <c r="A86" s="0" t="s">
        <v>41</v>
      </c>
      <c r="B86" s="0" t="n">
        <v>20</v>
      </c>
      <c r="C86" s="0" t="n">
        <v>3686</v>
      </c>
      <c r="D86" s="25" t="n">
        <f aca="false">IF(NOT(ISBLANK(C86)), ROUND(C86/60,0), "")</f>
        <v>61</v>
      </c>
      <c r="F86" s="0" t="s">
        <v>41</v>
      </c>
      <c r="G86" s="0" t="n">
        <v>20</v>
      </c>
      <c r="H86" s="0" t="n">
        <v>6415</v>
      </c>
      <c r="I86" s="0" t="n">
        <f aca="false">IF(NOT(ISBLANK(H86)), ROUND(H86/60,0), "")</f>
        <v>107</v>
      </c>
      <c r="J86" s="26" t="n">
        <f aca="false">IF(I86="", IF(D86="", "Neither", "Parallelobox"), IF(D86="","Symmetry", I86-D86))</f>
        <v>46</v>
      </c>
      <c r="K86" s="26"/>
      <c r="L86" s="0" t="s">
        <v>41</v>
      </c>
      <c r="M86" s="0" t="n">
        <v>20</v>
      </c>
      <c r="N86" s="0" t="n">
        <v>5661</v>
      </c>
      <c r="O86" s="0" t="n">
        <f aca="false">IF(NOT(ISBLANK(N86)), ROUND(N86/60,0), "")</f>
        <v>94</v>
      </c>
      <c r="P86" s="26" t="n">
        <f aca="false">IF(O86="", IF(D86="", "Neither", "Parallelobox"), IF(D86="","Harpe", O86-D86))</f>
        <v>33</v>
      </c>
      <c r="Q86" s="26" t="n">
        <f aca="false">IF(O86="", IF(I86="", "Neither", "Symmetry"), IF(I86="","Harpe", O86-I86))</f>
        <v>-13</v>
      </c>
    </row>
    <row r="87" customFormat="false" ht="12.8" hidden="false" customHeight="false" outlineLevel="0" collapsed="false">
      <c r="A87" s="0" t="s">
        <v>41</v>
      </c>
      <c r="B87" s="0" t="n">
        <v>30</v>
      </c>
      <c r="C87" s="0" t="n">
        <v>2938</v>
      </c>
      <c r="D87" s="25" t="n">
        <f aca="false">IF(NOT(ISBLANK(C87)), ROUND(C87/60,0), "")</f>
        <v>49</v>
      </c>
      <c r="F87" s="0" t="s">
        <v>41</v>
      </c>
      <c r="G87" s="0" t="n">
        <v>30</v>
      </c>
      <c r="H87" s="0" t="n">
        <v>4126</v>
      </c>
      <c r="I87" s="0" t="n">
        <f aca="false">IF(NOT(ISBLANK(H87)), ROUND(H87/60,0), "")</f>
        <v>69</v>
      </c>
      <c r="J87" s="26" t="n">
        <f aca="false">IF(I87="", IF(D87="", "Neither", "Parallelobox"), IF(D87="","Symmetry", I87-D87))</f>
        <v>20</v>
      </c>
      <c r="K87" s="26"/>
      <c r="L87" s="0" t="s">
        <v>41</v>
      </c>
      <c r="M87" s="0" t="n">
        <v>30</v>
      </c>
      <c r="N87" s="0" t="n">
        <v>4273</v>
      </c>
      <c r="O87" s="0" t="n">
        <f aca="false">IF(NOT(ISBLANK(N87)), ROUND(N87/60,0), "")</f>
        <v>71</v>
      </c>
      <c r="P87" s="26" t="n">
        <f aca="false">IF(O87="", IF(D87="", "Neither", "Parallelobox"), IF(D87="","Harpe", O87-D87))</f>
        <v>22</v>
      </c>
      <c r="Q87" s="26" t="n">
        <f aca="false">IF(O87="", IF(I87="", "Neither", "Symmetry"), IF(I87="","Harpe", O87-I87))</f>
        <v>2</v>
      </c>
    </row>
    <row r="88" customFormat="false" ht="12.8" hidden="false" customHeight="false" outlineLevel="0" collapsed="false">
      <c r="A88" s="0" t="s">
        <v>41</v>
      </c>
      <c r="B88" s="0" t="n">
        <v>40</v>
      </c>
      <c r="C88" s="0" t="n">
        <v>3273</v>
      </c>
      <c r="D88" s="25" t="n">
        <f aca="false">IF(NOT(ISBLANK(C88)), ROUND(C88/60,0), "")</f>
        <v>55</v>
      </c>
      <c r="F88" s="0" t="s">
        <v>41</v>
      </c>
      <c r="G88" s="0" t="n">
        <v>40</v>
      </c>
      <c r="H88" s="0" t="n">
        <v>5067</v>
      </c>
      <c r="I88" s="0" t="n">
        <f aca="false">IF(NOT(ISBLANK(H88)), ROUND(H88/60,0), "")</f>
        <v>84</v>
      </c>
      <c r="J88" s="26" t="n">
        <f aca="false">IF(I88="", IF(D88="", "Neither", "Parallelobox"), IF(D88="","Symmetry", I88-D88))</f>
        <v>29</v>
      </c>
      <c r="K88" s="26"/>
      <c r="L88" s="0" t="s">
        <v>41</v>
      </c>
      <c r="M88" s="0" t="n">
        <v>40</v>
      </c>
      <c r="N88" s="0" t="n">
        <v>6243</v>
      </c>
      <c r="O88" s="0" t="n">
        <f aca="false">IF(NOT(ISBLANK(N88)), ROUND(N88/60,0), "")</f>
        <v>104</v>
      </c>
      <c r="P88" s="26" t="n">
        <f aca="false">IF(O88="", IF(D88="", "Neither", "Parallelobox"), IF(D88="","Harpe", O88-D88))</f>
        <v>49</v>
      </c>
      <c r="Q88" s="26" t="n">
        <f aca="false">IF(O88="", IF(I88="", "Neither", "Symmetry"), IF(I88="","Harpe", O88-I88))</f>
        <v>20</v>
      </c>
    </row>
    <row r="89" customFormat="false" ht="12.8" hidden="false" customHeight="false" outlineLevel="0" collapsed="false">
      <c r="A89" s="0" t="s">
        <v>41</v>
      </c>
      <c r="B89" s="0" t="n">
        <v>50</v>
      </c>
      <c r="C89" s="0" t="n">
        <v>2275</v>
      </c>
      <c r="D89" s="25" t="n">
        <f aca="false">IF(NOT(ISBLANK(C89)), ROUND(C89/60,0), "")</f>
        <v>38</v>
      </c>
      <c r="F89" s="0" t="s">
        <v>41</v>
      </c>
      <c r="G89" s="0" t="n">
        <v>50</v>
      </c>
      <c r="H89" s="0" t="n">
        <v>4998</v>
      </c>
      <c r="I89" s="0" t="n">
        <f aca="false">IF(NOT(ISBLANK(H89)), ROUND(H89/60,0), "")</f>
        <v>83</v>
      </c>
      <c r="J89" s="26" t="n">
        <f aca="false">IF(I89="", IF(D89="", "Neither", "Parallelobox"), IF(D89="","Symmetry", I89-D89))</f>
        <v>45</v>
      </c>
      <c r="K89" s="26"/>
      <c r="L89" s="0" t="s">
        <v>41</v>
      </c>
      <c r="M89" s="0" t="n">
        <v>50</v>
      </c>
      <c r="N89" s="0" t="n">
        <v>4095</v>
      </c>
      <c r="O89" s="0" t="n">
        <f aca="false">IF(NOT(ISBLANK(N89)), ROUND(N89/60,0), "")</f>
        <v>68</v>
      </c>
      <c r="P89" s="26" t="n">
        <f aca="false">IF(O89="", IF(D89="", "Neither", "Parallelobox"), IF(D89="","Harpe", O89-D89))</f>
        <v>30</v>
      </c>
      <c r="Q89" s="26" t="n">
        <f aca="false">IF(O89="", IF(I89="", "Neither", "Symmetry"), IF(I89="","Harpe", O89-I89))</f>
        <v>-15</v>
      </c>
    </row>
    <row r="90" customFormat="false" ht="12.8" hidden="false" customHeight="false" outlineLevel="0" collapsed="false">
      <c r="A90" s="0" t="s">
        <v>41</v>
      </c>
      <c r="B90" s="0" t="n">
        <v>64</v>
      </c>
      <c r="C90" s="0" t="n">
        <v>2348</v>
      </c>
      <c r="D90" s="25" t="n">
        <f aca="false">IF(NOT(ISBLANK(C90)), ROUND(C90/60,0), "")</f>
        <v>39</v>
      </c>
      <c r="F90" s="0" t="s">
        <v>41</v>
      </c>
      <c r="G90" s="0" t="n">
        <v>64</v>
      </c>
      <c r="H90" s="0" t="n">
        <v>3884</v>
      </c>
      <c r="I90" s="0" t="n">
        <f aca="false">IF(NOT(ISBLANK(H90)), ROUND(H90/60,0), "")</f>
        <v>65</v>
      </c>
      <c r="J90" s="26" t="n">
        <f aca="false">IF(I90="", IF(D90="", "Neither", "Parallelobox"), IF(D90="","Symmetry", I90-D90))</f>
        <v>26</v>
      </c>
      <c r="K90" s="26"/>
      <c r="L90" s="0" t="s">
        <v>41</v>
      </c>
      <c r="M90" s="0" t="n">
        <v>64</v>
      </c>
      <c r="N90" s="0" t="n">
        <v>2806</v>
      </c>
      <c r="O90" s="0" t="n">
        <f aca="false">IF(NOT(ISBLANK(N90)), ROUND(N90/60,0), "")</f>
        <v>47</v>
      </c>
      <c r="P90" s="26" t="n">
        <f aca="false">IF(O90="", IF(D90="", "Neither", "Parallelobox"), IF(D90="","Harpe", O90-D90))</f>
        <v>8</v>
      </c>
      <c r="Q90" s="26" t="n">
        <f aca="false">IF(O90="", IF(I90="", "Neither", "Symmetry"), IF(I90="","Harpe", O90-I90))</f>
        <v>-18</v>
      </c>
    </row>
    <row r="91" customFormat="false" ht="12.8" hidden="false" customHeight="false" outlineLevel="0" collapsed="false">
      <c r="A91" s="0" t="s">
        <v>41</v>
      </c>
      <c r="B91" s="0" t="n">
        <v>82</v>
      </c>
      <c r="C91" s="0" t="n">
        <v>1877</v>
      </c>
      <c r="D91" s="25" t="n">
        <f aca="false">IF(NOT(ISBLANK(C91)), ROUND(C91/60,0), "")</f>
        <v>31</v>
      </c>
      <c r="F91" s="0" t="s">
        <v>41</v>
      </c>
      <c r="G91" s="0" t="n">
        <v>82</v>
      </c>
      <c r="H91" s="0" t="n">
        <v>5497</v>
      </c>
      <c r="I91" s="0" t="n">
        <f aca="false">IF(NOT(ISBLANK(H91)), ROUND(H91/60,0), "")</f>
        <v>92</v>
      </c>
      <c r="J91" s="26" t="n">
        <f aca="false">IF(I91="", IF(D91="", "Neither", "Parallelobox"), IF(D91="","Symmetry", I91-D91))</f>
        <v>61</v>
      </c>
      <c r="K91" s="26"/>
      <c r="L91" s="0" t="s">
        <v>41</v>
      </c>
      <c r="M91" s="0" t="n">
        <v>82</v>
      </c>
      <c r="N91" s="0" t="n">
        <v>3284</v>
      </c>
      <c r="O91" s="0" t="n">
        <f aca="false">IF(NOT(ISBLANK(N91)), ROUND(N91/60,0), "")</f>
        <v>55</v>
      </c>
      <c r="P91" s="26" t="n">
        <f aca="false">IF(O91="", IF(D91="", "Neither", "Parallelobox"), IF(D91="","Harpe", O91-D91))</f>
        <v>24</v>
      </c>
      <c r="Q91" s="26" t="n">
        <f aca="false">IF(O91="", IF(I91="", "Neither", "Symmetry"), IF(I91="","Harpe", O91-I91))</f>
        <v>-37</v>
      </c>
    </row>
    <row r="92" customFormat="false" ht="12.8" hidden="false" customHeight="false" outlineLevel="0" collapsed="false">
      <c r="A92" s="0" t="s">
        <v>41</v>
      </c>
      <c r="B92" s="0" t="n">
        <v>100</v>
      </c>
      <c r="C92" s="0" t="n">
        <v>1848</v>
      </c>
      <c r="D92" s="25" t="n">
        <f aca="false">IF(NOT(ISBLANK(C92)), ROUND(C92/60,0), "")</f>
        <v>31</v>
      </c>
      <c r="F92" s="0" t="s">
        <v>41</v>
      </c>
      <c r="G92" s="0" t="n">
        <v>100</v>
      </c>
      <c r="H92" s="0" t="n">
        <v>3150</v>
      </c>
      <c r="I92" s="0" t="n">
        <f aca="false">IF(NOT(ISBLANK(H92)), ROUND(H92/60,0), "")</f>
        <v>53</v>
      </c>
      <c r="J92" s="26" t="n">
        <f aca="false">IF(I92="", IF(D92="", "Neither", "Parallelobox"), IF(D92="","Symmetry", I92-D92))</f>
        <v>22</v>
      </c>
      <c r="K92" s="26"/>
      <c r="L92" s="0" t="s">
        <v>41</v>
      </c>
      <c r="M92" s="0" t="n">
        <v>100</v>
      </c>
      <c r="N92" s="0" t="n">
        <v>2366</v>
      </c>
      <c r="O92" s="0" t="n">
        <f aca="false">IF(NOT(ISBLANK(N92)), ROUND(N92/60,0), "")</f>
        <v>39</v>
      </c>
      <c r="P92" s="26" t="n">
        <f aca="false">IF(O92="", IF(D92="", "Neither", "Parallelobox"), IF(D92="","Harpe", O92-D92))</f>
        <v>8</v>
      </c>
      <c r="Q92" s="26" t="n">
        <f aca="false">IF(O92="", IF(I92="", "Neither", "Symmetry"), IF(I92="","Harpe", O92-I92))</f>
        <v>-14</v>
      </c>
    </row>
    <row r="93" customFormat="false" ht="12.8" hidden="false" customHeight="false" outlineLevel="0" collapsed="false">
      <c r="A93" s="0" t="s">
        <v>42</v>
      </c>
      <c r="B93" s="0" t="n">
        <v>5</v>
      </c>
      <c r="D93" s="25" t="str">
        <f aca="false">IF(NOT(ISBLANK(C93)), ROUND(C93/60,0), "")</f>
        <v/>
      </c>
      <c r="F93" s="0" t="s">
        <v>42</v>
      </c>
      <c r="G93" s="0" t="n">
        <v>5</v>
      </c>
      <c r="H93" s="0" t="n">
        <v>46964</v>
      </c>
      <c r="I93" s="0" t="n">
        <f aca="false">IF(NOT(ISBLANK(H93)), ROUND(H93/60,0), "")</f>
        <v>783</v>
      </c>
      <c r="J93" s="26" t="str">
        <f aca="false">IF(I93="", IF(D93="", "Neither", "Parallelobox"), IF(D93="","Symmetry", I93-D93))</f>
        <v>Symmetry</v>
      </c>
      <c r="K93" s="26"/>
      <c r="L93" s="0" t="s">
        <v>42</v>
      </c>
      <c r="M93" s="0" t="n">
        <v>5</v>
      </c>
      <c r="N93" s="0" t="n">
        <v>99864</v>
      </c>
      <c r="O93" s="0" t="n">
        <f aca="false">IF(NOT(ISBLANK(N93)), ROUND(N93/60,0), "")</f>
        <v>1664</v>
      </c>
      <c r="P93" s="26" t="str">
        <f aca="false">IF(O93="", IF(D93="", "Neither", "Parallelobox"), IF(D93="","Harpe", O93-D93))</f>
        <v>Harpe</v>
      </c>
      <c r="Q93" s="26" t="n">
        <f aca="false">IF(O93="", IF(I93="", "Neither", "Symmetry"), IF(I93="","Harpe", O93-I93))</f>
        <v>881</v>
      </c>
    </row>
    <row r="94" customFormat="false" ht="12.8" hidden="false" customHeight="false" outlineLevel="0" collapsed="false">
      <c r="A94" s="0" t="s">
        <v>42</v>
      </c>
      <c r="B94" s="0" t="n">
        <v>10</v>
      </c>
      <c r="C94" s="0" t="n">
        <v>29281</v>
      </c>
      <c r="D94" s="25" t="n">
        <f aca="false">IF(NOT(ISBLANK(C94)), ROUND(C94/60,0), "")</f>
        <v>488</v>
      </c>
      <c r="F94" s="0" t="s">
        <v>42</v>
      </c>
      <c r="G94" s="0" t="n">
        <v>10</v>
      </c>
      <c r="H94" s="0" t="n">
        <v>43178</v>
      </c>
      <c r="I94" s="0" t="n">
        <f aca="false">IF(NOT(ISBLANK(H94)), ROUND(H94/60,0), "")</f>
        <v>720</v>
      </c>
      <c r="J94" s="26" t="n">
        <f aca="false">IF(I94="", IF(D94="", "Neither", "Parallelobox"), IF(D94="","Symmetry", I94-D94))</f>
        <v>232</v>
      </c>
      <c r="K94" s="26"/>
      <c r="L94" s="0" t="s">
        <v>42</v>
      </c>
      <c r="M94" s="0" t="n">
        <v>10</v>
      </c>
      <c r="P94" s="26" t="str">
        <f aca="false">IF(O94="", IF(D94="", "Neither", "Parallelobox"), IF(D94="","Harpe", O94-D94))</f>
        <v>Parallelobox</v>
      </c>
      <c r="Q94" s="26" t="str">
        <f aca="false">IF(O94="", IF(I94="", "Neither", "Symmetry"), IF(I94="","Harpe", O94-I94))</f>
        <v>Symmetry</v>
      </c>
    </row>
    <row r="95" customFormat="false" ht="12.8" hidden="false" customHeight="false" outlineLevel="0" collapsed="false">
      <c r="A95" s="0" t="s">
        <v>42</v>
      </c>
      <c r="B95" s="0" t="n">
        <v>15</v>
      </c>
      <c r="C95" s="0" t="n">
        <v>21915</v>
      </c>
      <c r="D95" s="25" t="n">
        <f aca="false">IF(NOT(ISBLANK(C95)), ROUND(C95/60,0), "")</f>
        <v>365</v>
      </c>
      <c r="F95" s="0" t="s">
        <v>42</v>
      </c>
      <c r="G95" s="0" t="n">
        <v>15</v>
      </c>
      <c r="H95" s="0" t="n">
        <v>38435</v>
      </c>
      <c r="I95" s="0" t="n">
        <f aca="false">IF(NOT(ISBLANK(H95)), ROUND(H95/60,0), "")</f>
        <v>641</v>
      </c>
      <c r="J95" s="26" t="n">
        <f aca="false">IF(I95="", IF(D95="", "Neither", "Parallelobox"), IF(D95="","Symmetry", I95-D95))</f>
        <v>276</v>
      </c>
      <c r="K95" s="26"/>
      <c r="L95" s="0" t="s">
        <v>42</v>
      </c>
      <c r="M95" s="0" t="n">
        <v>15</v>
      </c>
      <c r="P95" s="26" t="str">
        <f aca="false">IF(O95="", IF(D95="", "Neither", "Parallelobox"), IF(D95="","Harpe", O95-D95))</f>
        <v>Parallelobox</v>
      </c>
      <c r="Q95" s="26" t="str">
        <f aca="false">IF(O95="", IF(I95="", "Neither", "Symmetry"), IF(I95="","Harpe", O95-I95))</f>
        <v>Symmetry</v>
      </c>
    </row>
    <row r="96" customFormat="false" ht="12.8" hidden="false" customHeight="false" outlineLevel="0" collapsed="false">
      <c r="A96" s="0" t="s">
        <v>42</v>
      </c>
      <c r="B96" s="0" t="n">
        <v>20</v>
      </c>
      <c r="C96" s="0" t="n">
        <v>16573</v>
      </c>
      <c r="D96" s="25" t="n">
        <f aca="false">IF(NOT(ISBLANK(C96)), ROUND(C96/60,0), "")</f>
        <v>276</v>
      </c>
      <c r="F96" s="0" t="s">
        <v>42</v>
      </c>
      <c r="G96" s="0" t="n">
        <v>20</v>
      </c>
      <c r="H96" s="0" t="n">
        <v>42146</v>
      </c>
      <c r="I96" s="0" t="n">
        <f aca="false">IF(NOT(ISBLANK(H96)), ROUND(H96/60,0), "")</f>
        <v>702</v>
      </c>
      <c r="J96" s="26" t="n">
        <f aca="false">IF(I96="", IF(D96="", "Neither", "Parallelobox"), IF(D96="","Symmetry", I96-D96))</f>
        <v>426</v>
      </c>
      <c r="K96" s="26"/>
      <c r="L96" s="0" t="s">
        <v>42</v>
      </c>
      <c r="M96" s="0" t="n">
        <v>20</v>
      </c>
      <c r="N96" s="0" t="n">
        <v>33093</v>
      </c>
      <c r="O96" s="0" t="n">
        <f aca="false">IF(NOT(ISBLANK(N96)), ROUND(N96/60,0), "")</f>
        <v>552</v>
      </c>
      <c r="P96" s="26" t="n">
        <f aca="false">IF(O96="", IF(D96="", "Neither", "Parallelobox"), IF(D96="","Harpe", O96-D96))</f>
        <v>276</v>
      </c>
      <c r="Q96" s="26" t="n">
        <f aca="false">IF(O96="", IF(I96="", "Neither", "Symmetry"), IF(I96="","Harpe", O96-I96))</f>
        <v>-150</v>
      </c>
    </row>
    <row r="97" customFormat="false" ht="12.8" hidden="false" customHeight="false" outlineLevel="0" collapsed="false">
      <c r="A97" s="0" t="s">
        <v>42</v>
      </c>
      <c r="B97" s="0" t="n">
        <v>30</v>
      </c>
      <c r="C97" s="0" t="n">
        <v>14829</v>
      </c>
      <c r="D97" s="25" t="n">
        <f aca="false">IF(NOT(ISBLANK(C97)), ROUND(C97/60,0), "")</f>
        <v>247</v>
      </c>
      <c r="F97" s="0" t="s">
        <v>42</v>
      </c>
      <c r="G97" s="0" t="n">
        <v>30</v>
      </c>
      <c r="H97" s="0" t="n">
        <v>19717</v>
      </c>
      <c r="I97" s="0" t="n">
        <f aca="false">IF(NOT(ISBLANK(H97)), ROUND(H97/60,0), "")</f>
        <v>329</v>
      </c>
      <c r="J97" s="26" t="n">
        <f aca="false">IF(I97="", IF(D97="", "Neither", "Parallelobox"), IF(D97="","Symmetry", I97-D97))</f>
        <v>82</v>
      </c>
      <c r="K97" s="26"/>
      <c r="L97" s="0" t="s">
        <v>42</v>
      </c>
      <c r="M97" s="0" t="n">
        <v>30</v>
      </c>
      <c r="N97" s="0" t="n">
        <v>24360</v>
      </c>
      <c r="O97" s="0" t="n">
        <f aca="false">IF(NOT(ISBLANK(N97)), ROUND(N97/60,0), "")</f>
        <v>406</v>
      </c>
      <c r="P97" s="26" t="n">
        <f aca="false">IF(O97="", IF(D97="", "Neither", "Parallelobox"), IF(D97="","Harpe", O97-D97))</f>
        <v>159</v>
      </c>
      <c r="Q97" s="26" t="n">
        <f aca="false">IF(O97="", IF(I97="", "Neither", "Symmetry"), IF(I97="","Harpe", O97-I97))</f>
        <v>77</v>
      </c>
    </row>
    <row r="98" customFormat="false" ht="12.8" hidden="false" customHeight="false" outlineLevel="0" collapsed="false">
      <c r="A98" s="0" t="s">
        <v>42</v>
      </c>
      <c r="B98" s="0" t="n">
        <v>40</v>
      </c>
      <c r="C98" s="0" t="n">
        <v>11240</v>
      </c>
      <c r="D98" s="25" t="n">
        <f aca="false">IF(NOT(ISBLANK(C98)), ROUND(C98/60,0), "")</f>
        <v>187</v>
      </c>
      <c r="F98" s="0" t="s">
        <v>42</v>
      </c>
      <c r="G98" s="0" t="n">
        <v>40</v>
      </c>
      <c r="H98" s="0" t="n">
        <v>19152</v>
      </c>
      <c r="I98" s="0" t="n">
        <f aca="false">IF(NOT(ISBLANK(H98)), ROUND(H98/60,0), "")</f>
        <v>319</v>
      </c>
      <c r="J98" s="26" t="n">
        <f aca="false">IF(I98="", IF(D98="", "Neither", "Parallelobox"), IF(D98="","Symmetry", I98-D98))</f>
        <v>132</v>
      </c>
      <c r="K98" s="26"/>
      <c r="L98" s="0" t="s">
        <v>42</v>
      </c>
      <c r="M98" s="0" t="n">
        <v>40</v>
      </c>
      <c r="N98" s="0" t="n">
        <v>21735</v>
      </c>
      <c r="O98" s="0" t="n">
        <f aca="false">IF(NOT(ISBLANK(N98)), ROUND(N98/60,0), "")</f>
        <v>362</v>
      </c>
      <c r="P98" s="26" t="n">
        <f aca="false">IF(O98="", IF(D98="", "Neither", "Parallelobox"), IF(D98="","Harpe", O98-D98))</f>
        <v>175</v>
      </c>
      <c r="Q98" s="26" t="n">
        <f aca="false">IF(O98="", IF(I98="", "Neither", "Symmetry"), IF(I98="","Harpe", O98-I98))</f>
        <v>43</v>
      </c>
    </row>
    <row r="99" customFormat="false" ht="12.8" hidden="false" customHeight="false" outlineLevel="0" collapsed="false">
      <c r="A99" s="0" t="s">
        <v>42</v>
      </c>
      <c r="B99" s="0" t="n">
        <v>50</v>
      </c>
      <c r="C99" s="0" t="n">
        <v>10759</v>
      </c>
      <c r="D99" s="25" t="n">
        <f aca="false">IF(NOT(ISBLANK(C99)), ROUND(C99/60,0), "")</f>
        <v>179</v>
      </c>
      <c r="F99" s="0" t="s">
        <v>42</v>
      </c>
      <c r="G99" s="0" t="n">
        <v>50</v>
      </c>
      <c r="H99" s="0" t="n">
        <v>14341</v>
      </c>
      <c r="I99" s="0" t="n">
        <f aca="false">IF(NOT(ISBLANK(H99)), ROUND(H99/60,0), "")</f>
        <v>239</v>
      </c>
      <c r="J99" s="26" t="n">
        <f aca="false">IF(I99="", IF(D99="", "Neither", "Parallelobox"), IF(D99="","Symmetry", I99-D99))</f>
        <v>60</v>
      </c>
      <c r="K99" s="26"/>
      <c r="L99" s="0" t="s">
        <v>42</v>
      </c>
      <c r="M99" s="0" t="n">
        <v>50</v>
      </c>
      <c r="N99" s="0" t="n">
        <v>23737</v>
      </c>
      <c r="O99" s="0" t="n">
        <f aca="false">IF(NOT(ISBLANK(N99)), ROUND(N99/60,0), "")</f>
        <v>396</v>
      </c>
      <c r="P99" s="26" t="n">
        <f aca="false">IF(O99="", IF(D99="", "Neither", "Parallelobox"), IF(D99="","Harpe", O99-D99))</f>
        <v>217</v>
      </c>
      <c r="Q99" s="26" t="n">
        <f aca="false">IF(O99="", IF(I99="", "Neither", "Symmetry"), IF(I99="","Harpe", O99-I99))</f>
        <v>157</v>
      </c>
    </row>
    <row r="100" customFormat="false" ht="12.8" hidden="false" customHeight="false" outlineLevel="0" collapsed="false">
      <c r="A100" s="0" t="s">
        <v>42</v>
      </c>
      <c r="B100" s="0" t="n">
        <v>64</v>
      </c>
      <c r="C100" s="0" t="n">
        <v>8390</v>
      </c>
      <c r="D100" s="25" t="n">
        <f aca="false">IF(NOT(ISBLANK(C100)), ROUND(C100/60,0), "")</f>
        <v>140</v>
      </c>
      <c r="F100" s="0" t="s">
        <v>42</v>
      </c>
      <c r="G100" s="0" t="n">
        <v>64</v>
      </c>
      <c r="H100" s="0" t="n">
        <v>14342</v>
      </c>
      <c r="I100" s="0" t="n">
        <f aca="false">IF(NOT(ISBLANK(H100)), ROUND(H100/60,0), "")</f>
        <v>239</v>
      </c>
      <c r="J100" s="26" t="n">
        <f aca="false">IF(I100="", IF(D100="", "Neither", "Parallelobox"), IF(D100="","Symmetry", I100-D100))</f>
        <v>99</v>
      </c>
      <c r="K100" s="26"/>
      <c r="L100" s="0" t="s">
        <v>42</v>
      </c>
      <c r="M100" s="0" t="n">
        <v>64</v>
      </c>
      <c r="N100" s="0" t="n">
        <v>14025</v>
      </c>
      <c r="O100" s="0" t="n">
        <f aca="false">IF(NOT(ISBLANK(N100)), ROUND(N100/60,0), "")</f>
        <v>234</v>
      </c>
      <c r="P100" s="26" t="n">
        <f aca="false">IF(O100="", IF(D100="", "Neither", "Parallelobox"), IF(D100="","Harpe", O100-D100))</f>
        <v>94</v>
      </c>
      <c r="Q100" s="26" t="n">
        <f aca="false">IF(O100="", IF(I100="", "Neither", "Symmetry"), IF(I100="","Harpe", O100-I100))</f>
        <v>-5</v>
      </c>
    </row>
    <row r="101" customFormat="false" ht="12.8" hidden="false" customHeight="false" outlineLevel="0" collapsed="false">
      <c r="A101" s="0" t="s">
        <v>42</v>
      </c>
      <c r="B101" s="0" t="n">
        <v>82</v>
      </c>
      <c r="C101" s="0" t="n">
        <v>7874</v>
      </c>
      <c r="D101" s="25" t="n">
        <f aca="false">IF(NOT(ISBLANK(C101)), ROUND(C101/60,0), "")</f>
        <v>131</v>
      </c>
      <c r="F101" s="0" t="s">
        <v>42</v>
      </c>
      <c r="G101" s="0" t="n">
        <v>82</v>
      </c>
      <c r="H101" s="0" t="n">
        <v>13304</v>
      </c>
      <c r="I101" s="0" t="n">
        <f aca="false">IF(NOT(ISBLANK(H101)), ROUND(H101/60,0), "")</f>
        <v>222</v>
      </c>
      <c r="J101" s="26" t="n">
        <f aca="false">IF(I101="", IF(D101="", "Neither", "Parallelobox"), IF(D101="","Symmetry", I101-D101))</f>
        <v>91</v>
      </c>
      <c r="K101" s="26"/>
      <c r="L101" s="0" t="s">
        <v>42</v>
      </c>
      <c r="M101" s="0" t="n">
        <v>82</v>
      </c>
      <c r="N101" s="0" t="n">
        <v>13766</v>
      </c>
      <c r="O101" s="0" t="n">
        <f aca="false">IF(NOT(ISBLANK(N101)), ROUND(N101/60,0), "")</f>
        <v>229</v>
      </c>
      <c r="P101" s="26" t="n">
        <f aca="false">IF(O101="", IF(D101="", "Neither", "Parallelobox"), IF(D101="","Harpe", O101-D101))</f>
        <v>98</v>
      </c>
      <c r="Q101" s="26" t="n">
        <f aca="false">IF(O101="", IF(I101="", "Neither", "Symmetry"), IF(I101="","Harpe", O101-I101))</f>
        <v>7</v>
      </c>
    </row>
    <row r="102" customFormat="false" ht="12.8" hidden="false" customHeight="false" outlineLevel="0" collapsed="false">
      <c r="A102" s="0" t="s">
        <v>42</v>
      </c>
      <c r="B102" s="0" t="n">
        <v>100</v>
      </c>
      <c r="C102" s="0" t="n">
        <v>5989</v>
      </c>
      <c r="D102" s="25" t="n">
        <f aca="false">IF(NOT(ISBLANK(C102)), ROUND(C102/60,0), "")</f>
        <v>100</v>
      </c>
      <c r="F102" s="0" t="s">
        <v>42</v>
      </c>
      <c r="G102" s="0" t="n">
        <v>100</v>
      </c>
      <c r="H102" s="0" t="n">
        <v>26423</v>
      </c>
      <c r="I102" s="0" t="n">
        <f aca="false">IF(NOT(ISBLANK(H102)), ROUND(H102/60,0), "")</f>
        <v>440</v>
      </c>
      <c r="J102" s="26" t="n">
        <f aca="false">IF(I102="", IF(D102="", "Neither", "Parallelobox"), IF(D102="","Symmetry", I102-D102))</f>
        <v>340</v>
      </c>
      <c r="K102" s="26"/>
      <c r="L102" s="0" t="s">
        <v>42</v>
      </c>
      <c r="M102" s="0" t="n">
        <v>100</v>
      </c>
      <c r="N102" s="0" t="n">
        <v>11516</v>
      </c>
      <c r="O102" s="0" t="n">
        <f aca="false">IF(NOT(ISBLANK(N102)), ROUND(N102/60,0), "")</f>
        <v>192</v>
      </c>
      <c r="P102" s="26" t="n">
        <f aca="false">IF(O102="", IF(D102="", "Neither", "Parallelobox"), IF(D102="","Harpe", O102-D102))</f>
        <v>92</v>
      </c>
      <c r="Q102" s="26" t="n">
        <f aca="false">IF(O102="", IF(I102="", "Neither", "Symmetry"), IF(I102="","Harpe", O102-I102))</f>
        <v>-248</v>
      </c>
    </row>
    <row r="103" customFormat="false" ht="12.8" hidden="false" customHeight="false" outlineLevel="0" collapsed="false">
      <c r="A103" s="0" t="s">
        <v>43</v>
      </c>
      <c r="B103" s="0" t="n">
        <v>5</v>
      </c>
      <c r="D103" s="25" t="str">
        <f aca="false">IF(NOT(ISBLANK(C103)), ROUND(C103/60,0), "")</f>
        <v/>
      </c>
      <c r="F103" s="0" t="s">
        <v>43</v>
      </c>
      <c r="G103" s="0" t="n">
        <v>5</v>
      </c>
      <c r="H103" s="0" t="n">
        <v>169369</v>
      </c>
      <c r="I103" s="0" t="n">
        <f aca="false">IF(NOT(ISBLANK(H103)), ROUND(H103/60,0), "")</f>
        <v>2823</v>
      </c>
      <c r="J103" s="26" t="str">
        <f aca="false">IF(I103="", IF(D103="", "Neither", "Parallelobox"), IF(D103="","Symmetry", I103-D103))</f>
        <v>Symmetry</v>
      </c>
      <c r="K103" s="26"/>
      <c r="L103" s="0" t="s">
        <v>43</v>
      </c>
      <c r="M103" s="0" t="n">
        <v>5</v>
      </c>
      <c r="N103" s="0" t="n">
        <v>219828</v>
      </c>
      <c r="O103" s="0" t="n">
        <f aca="false">IF(NOT(ISBLANK(N103)), ROUND(N103/60,0), "")</f>
        <v>3664</v>
      </c>
      <c r="P103" s="26" t="str">
        <f aca="false">IF(O103="", IF(D103="", "Neither", "Parallelobox"), IF(D103="","Harpe", O103-D103))</f>
        <v>Harpe</v>
      </c>
      <c r="Q103" s="26" t="n">
        <f aca="false">IF(O103="", IF(I103="", "Neither", "Symmetry"), IF(I103="","Harpe", O103-I103))</f>
        <v>841</v>
      </c>
    </row>
    <row r="104" customFormat="false" ht="12.8" hidden="false" customHeight="false" outlineLevel="0" collapsed="false">
      <c r="A104" s="0" t="s">
        <v>43</v>
      </c>
      <c r="B104" s="0" t="n">
        <v>10</v>
      </c>
      <c r="D104" s="25" t="str">
        <f aca="false">IF(NOT(ISBLANK(C104)), ROUND(C104/60,0), "")</f>
        <v/>
      </c>
      <c r="F104" s="0" t="s">
        <v>43</v>
      </c>
      <c r="G104" s="0" t="n">
        <v>10</v>
      </c>
      <c r="H104" s="0" t="n">
        <v>159832</v>
      </c>
      <c r="I104" s="0" t="n">
        <f aca="false">IF(NOT(ISBLANK(H104)), ROUND(H104/60,0), "")</f>
        <v>2664</v>
      </c>
      <c r="J104" s="26" t="str">
        <f aca="false">IF(I104="", IF(D104="", "Neither", "Parallelobox"), IF(D104="","Symmetry", I104-D104))</f>
        <v>Symmetry</v>
      </c>
      <c r="K104" s="26"/>
      <c r="L104" s="0" t="s">
        <v>43</v>
      </c>
      <c r="M104" s="0" t="n">
        <v>10</v>
      </c>
      <c r="N104" s="0" t="n">
        <v>207875</v>
      </c>
      <c r="O104" s="0" t="n">
        <f aca="false">IF(NOT(ISBLANK(N104)), ROUND(N104/60,0), "")</f>
        <v>3465</v>
      </c>
      <c r="P104" s="26" t="str">
        <f aca="false">IF(O104="", IF(D104="", "Neither", "Parallelobox"), IF(D104="","Harpe", O104-D104))</f>
        <v>Harpe</v>
      </c>
      <c r="Q104" s="26" t="n">
        <f aca="false">IF(O104="", IF(I104="", "Neither", "Symmetry"), IF(I104="","Harpe", O104-I104))</f>
        <v>801</v>
      </c>
    </row>
    <row r="105" customFormat="false" ht="12.8" hidden="false" customHeight="false" outlineLevel="0" collapsed="false">
      <c r="A105" s="0" t="s">
        <v>43</v>
      </c>
      <c r="B105" s="0" t="n">
        <v>15</v>
      </c>
      <c r="C105" s="0" t="n">
        <v>93118</v>
      </c>
      <c r="D105" s="25" t="n">
        <f aca="false">IF(NOT(ISBLANK(C105)), ROUND(C105/60,0), "")</f>
        <v>1552</v>
      </c>
      <c r="F105" s="0" t="s">
        <v>43</v>
      </c>
      <c r="G105" s="0" t="n">
        <v>15</v>
      </c>
      <c r="H105" s="0" t="n">
        <v>94207</v>
      </c>
      <c r="I105" s="0" t="n">
        <f aca="false">IF(NOT(ISBLANK(H105)), ROUND(H105/60,0), "")</f>
        <v>1570</v>
      </c>
      <c r="J105" s="26" t="n">
        <f aca="false">IF(I105="", IF(D105="", "Neither", "Parallelobox"), IF(D105="","Symmetry", I105-D105))</f>
        <v>18</v>
      </c>
      <c r="K105" s="26"/>
      <c r="L105" s="0" t="s">
        <v>43</v>
      </c>
      <c r="M105" s="0" t="n">
        <v>15</v>
      </c>
      <c r="N105" s="0" t="n">
        <v>115001</v>
      </c>
      <c r="O105" s="0" t="n">
        <f aca="false">IF(NOT(ISBLANK(N105)), ROUND(N105/60,0), "")</f>
        <v>1917</v>
      </c>
      <c r="P105" s="26" t="n">
        <f aca="false">IF(O105="", IF(D105="", "Neither", "Parallelobox"), IF(D105="","Harpe", O105-D105))</f>
        <v>365</v>
      </c>
      <c r="Q105" s="26" t="n">
        <f aca="false">IF(O105="", IF(I105="", "Neither", "Symmetry"), IF(I105="","Harpe", O105-I105))</f>
        <v>347</v>
      </c>
    </row>
    <row r="106" customFormat="false" ht="12.8" hidden="false" customHeight="false" outlineLevel="0" collapsed="false">
      <c r="A106" s="0" t="s">
        <v>43</v>
      </c>
      <c r="B106" s="0" t="n">
        <v>20</v>
      </c>
      <c r="C106" s="0" t="n">
        <v>64855</v>
      </c>
      <c r="D106" s="25" t="n">
        <f aca="false">IF(NOT(ISBLANK(C106)), ROUND(C106/60,0), "")</f>
        <v>1081</v>
      </c>
      <c r="F106" s="0" t="s">
        <v>43</v>
      </c>
      <c r="G106" s="0" t="n">
        <v>20</v>
      </c>
      <c r="H106" s="0" t="n">
        <v>107510</v>
      </c>
      <c r="I106" s="0" t="n">
        <f aca="false">IF(NOT(ISBLANK(H106)), ROUND(H106/60,0), "")</f>
        <v>1792</v>
      </c>
      <c r="J106" s="26" t="n">
        <f aca="false">IF(I106="", IF(D106="", "Neither", "Parallelobox"), IF(D106="","Symmetry", I106-D106))</f>
        <v>711</v>
      </c>
      <c r="K106" s="26"/>
      <c r="L106" s="0" t="s">
        <v>43</v>
      </c>
      <c r="M106" s="0" t="n">
        <v>20</v>
      </c>
      <c r="N106" s="0" t="n">
        <v>81011</v>
      </c>
      <c r="O106" s="0" t="n">
        <f aca="false">IF(NOT(ISBLANK(N106)), ROUND(N106/60,0), "")</f>
        <v>1350</v>
      </c>
      <c r="P106" s="26" t="n">
        <f aca="false">IF(O106="", IF(D106="", "Neither", "Parallelobox"), IF(D106="","Harpe", O106-D106))</f>
        <v>269</v>
      </c>
      <c r="Q106" s="26" t="n">
        <f aca="false">IF(O106="", IF(I106="", "Neither", "Symmetry"), IF(I106="","Harpe", O106-I106))</f>
        <v>-442</v>
      </c>
    </row>
    <row r="107" customFormat="false" ht="12.8" hidden="false" customHeight="false" outlineLevel="0" collapsed="false">
      <c r="A107" s="0" t="s">
        <v>43</v>
      </c>
      <c r="B107" s="0" t="n">
        <v>30</v>
      </c>
      <c r="C107" s="0" t="n">
        <v>46432</v>
      </c>
      <c r="D107" s="25" t="n">
        <f aca="false">IF(NOT(ISBLANK(C107)), ROUND(C107/60,0), "")</f>
        <v>774</v>
      </c>
      <c r="F107" s="0" t="s">
        <v>43</v>
      </c>
      <c r="G107" s="0" t="n">
        <v>30</v>
      </c>
      <c r="H107" s="0" t="n">
        <v>82682</v>
      </c>
      <c r="I107" s="0" t="n">
        <f aca="false">IF(NOT(ISBLANK(H107)), ROUND(H107/60,0), "")</f>
        <v>1378</v>
      </c>
      <c r="J107" s="26" t="n">
        <f aca="false">IF(I107="", IF(D107="", "Neither", "Parallelobox"), IF(D107="","Symmetry", I107-D107))</f>
        <v>604</v>
      </c>
      <c r="K107" s="26"/>
      <c r="L107" s="0" t="s">
        <v>43</v>
      </c>
      <c r="M107" s="0" t="n">
        <v>30</v>
      </c>
      <c r="N107" s="0" t="n">
        <v>69320</v>
      </c>
      <c r="O107" s="0" t="n">
        <f aca="false">IF(NOT(ISBLANK(N107)), ROUND(N107/60,0), "")</f>
        <v>1155</v>
      </c>
      <c r="P107" s="26" t="n">
        <f aca="false">IF(O107="", IF(D107="", "Neither", "Parallelobox"), IF(D107="","Harpe", O107-D107))</f>
        <v>381</v>
      </c>
      <c r="Q107" s="26" t="n">
        <f aca="false">IF(O107="", IF(I107="", "Neither", "Symmetry"), IF(I107="","Harpe", O107-I107))</f>
        <v>-223</v>
      </c>
    </row>
    <row r="108" customFormat="false" ht="12.8" hidden="false" customHeight="false" outlineLevel="0" collapsed="false">
      <c r="A108" s="0" t="s">
        <v>43</v>
      </c>
      <c r="B108" s="0" t="n">
        <v>40</v>
      </c>
      <c r="C108" s="0" t="n">
        <v>40801</v>
      </c>
      <c r="D108" s="25" t="n">
        <f aca="false">IF(NOT(ISBLANK(C108)), ROUND(C108/60,0), "")</f>
        <v>680</v>
      </c>
      <c r="F108" s="0" t="s">
        <v>43</v>
      </c>
      <c r="G108" s="0" t="n">
        <v>40</v>
      </c>
      <c r="H108" s="0" t="n">
        <v>45361</v>
      </c>
      <c r="I108" s="0" t="n">
        <f aca="false">IF(NOT(ISBLANK(H108)), ROUND(H108/60,0), "")</f>
        <v>756</v>
      </c>
      <c r="J108" s="26" t="n">
        <f aca="false">IF(I108="", IF(D108="", "Neither", "Parallelobox"), IF(D108="","Symmetry", I108-D108))</f>
        <v>76</v>
      </c>
      <c r="K108" s="26"/>
      <c r="L108" s="0" t="s">
        <v>43</v>
      </c>
      <c r="M108" s="0" t="n">
        <v>40</v>
      </c>
      <c r="N108" s="0" t="n">
        <v>69186</v>
      </c>
      <c r="O108" s="0" t="n">
        <f aca="false">IF(NOT(ISBLANK(N108)), ROUND(N108/60,0), "")</f>
        <v>1153</v>
      </c>
      <c r="P108" s="26" t="n">
        <f aca="false">IF(O108="", IF(D108="", "Neither", "Parallelobox"), IF(D108="","Harpe", O108-D108))</f>
        <v>473</v>
      </c>
      <c r="Q108" s="26" t="n">
        <f aca="false">IF(O108="", IF(I108="", "Neither", "Symmetry"), IF(I108="","Harpe", O108-I108))</f>
        <v>397</v>
      </c>
    </row>
    <row r="109" customFormat="false" ht="12.8" hidden="false" customHeight="false" outlineLevel="0" collapsed="false">
      <c r="A109" s="0" t="s">
        <v>43</v>
      </c>
      <c r="B109" s="0" t="n">
        <v>50</v>
      </c>
      <c r="C109" s="0" t="n">
        <v>32194</v>
      </c>
      <c r="D109" s="25" t="n">
        <f aca="false">IF(NOT(ISBLANK(C109)), ROUND(C109/60,0), "")</f>
        <v>537</v>
      </c>
      <c r="F109" s="0" t="s">
        <v>43</v>
      </c>
      <c r="G109" s="0" t="n">
        <v>50</v>
      </c>
      <c r="H109" s="0" t="n">
        <v>60648</v>
      </c>
      <c r="I109" s="0" t="n">
        <f aca="false">IF(NOT(ISBLANK(H109)), ROUND(H109/60,0), "")</f>
        <v>1011</v>
      </c>
      <c r="J109" s="26" t="n">
        <f aca="false">IF(I109="", IF(D109="", "Neither", "Parallelobox"), IF(D109="","Symmetry", I109-D109))</f>
        <v>474</v>
      </c>
      <c r="K109" s="26"/>
      <c r="L109" s="0" t="s">
        <v>43</v>
      </c>
      <c r="M109" s="0" t="n">
        <v>50</v>
      </c>
      <c r="N109" s="0" t="n">
        <v>60821</v>
      </c>
      <c r="O109" s="0" t="n">
        <f aca="false">IF(NOT(ISBLANK(N109)), ROUND(N109/60,0), "")</f>
        <v>1014</v>
      </c>
      <c r="P109" s="26" t="n">
        <f aca="false">IF(O109="", IF(D109="", "Neither", "Parallelobox"), IF(D109="","Harpe", O109-D109))</f>
        <v>477</v>
      </c>
      <c r="Q109" s="26" t="n">
        <f aca="false">IF(O109="", IF(I109="", "Neither", "Symmetry"), IF(I109="","Harpe", O109-I109))</f>
        <v>3</v>
      </c>
    </row>
    <row r="110" customFormat="false" ht="12.8" hidden="false" customHeight="false" outlineLevel="0" collapsed="false">
      <c r="A110" s="0" t="s">
        <v>43</v>
      </c>
      <c r="B110" s="0" t="n">
        <v>64</v>
      </c>
      <c r="C110" s="0" t="n">
        <v>27789</v>
      </c>
      <c r="D110" s="25" t="n">
        <f aca="false">IF(NOT(ISBLANK(C110)), ROUND(C110/60,0), "")</f>
        <v>463</v>
      </c>
      <c r="F110" s="0" t="s">
        <v>43</v>
      </c>
      <c r="G110" s="0" t="n">
        <v>64</v>
      </c>
      <c r="H110" s="0" t="n">
        <v>77677</v>
      </c>
      <c r="I110" s="0" t="n">
        <f aca="false">IF(NOT(ISBLANK(H110)), ROUND(H110/60,0), "")</f>
        <v>1295</v>
      </c>
      <c r="J110" s="26" t="n">
        <f aca="false">IF(I110="", IF(D110="", "Neither", "Parallelobox"), IF(D110="","Symmetry", I110-D110))</f>
        <v>832</v>
      </c>
      <c r="K110" s="26"/>
      <c r="L110" s="0" t="s">
        <v>43</v>
      </c>
      <c r="M110" s="0" t="n">
        <v>64</v>
      </c>
      <c r="N110" s="0" t="n">
        <v>55519</v>
      </c>
      <c r="O110" s="0" t="n">
        <f aca="false">IF(NOT(ISBLANK(N110)), ROUND(N110/60,0), "")</f>
        <v>925</v>
      </c>
      <c r="P110" s="26" t="n">
        <f aca="false">IF(O110="", IF(D110="", "Neither", "Parallelobox"), IF(D110="","Harpe", O110-D110))</f>
        <v>462</v>
      </c>
      <c r="Q110" s="26" t="n">
        <f aca="false">IF(O110="", IF(I110="", "Neither", "Symmetry"), IF(I110="","Harpe", O110-I110))</f>
        <v>-370</v>
      </c>
    </row>
    <row r="111" customFormat="false" ht="12.8" hidden="false" customHeight="false" outlineLevel="0" collapsed="false">
      <c r="A111" s="0" t="s">
        <v>43</v>
      </c>
      <c r="B111" s="0" t="n">
        <v>82</v>
      </c>
      <c r="C111" s="0" t="n">
        <v>19607</v>
      </c>
      <c r="D111" s="25" t="n">
        <f aca="false">IF(NOT(ISBLANK(C111)), ROUND(C111/60,0), "")</f>
        <v>327</v>
      </c>
      <c r="F111" s="0" t="s">
        <v>43</v>
      </c>
      <c r="G111" s="0" t="n">
        <v>82</v>
      </c>
      <c r="H111" s="0" t="n">
        <v>35236</v>
      </c>
      <c r="I111" s="0" t="n">
        <f aca="false">IF(NOT(ISBLANK(H111)), ROUND(H111/60,0), "")</f>
        <v>587</v>
      </c>
      <c r="J111" s="26" t="n">
        <f aca="false">IF(I111="", IF(D111="", "Neither", "Parallelobox"), IF(D111="","Symmetry", I111-D111))</f>
        <v>260</v>
      </c>
      <c r="K111" s="26"/>
      <c r="L111" s="0" t="s">
        <v>43</v>
      </c>
      <c r="M111" s="0" t="n">
        <v>82</v>
      </c>
      <c r="N111" s="0" t="n">
        <v>33488</v>
      </c>
      <c r="O111" s="0" t="n">
        <f aca="false">IF(NOT(ISBLANK(N111)), ROUND(N111/60,0), "")</f>
        <v>558</v>
      </c>
      <c r="P111" s="26" t="n">
        <f aca="false">IF(O111="", IF(D111="", "Neither", "Parallelobox"), IF(D111="","Harpe", O111-D111))</f>
        <v>231</v>
      </c>
      <c r="Q111" s="26" t="n">
        <f aca="false">IF(O111="", IF(I111="", "Neither", "Symmetry"), IF(I111="","Harpe", O111-I111))</f>
        <v>-29</v>
      </c>
    </row>
    <row r="112" customFormat="false" ht="12.8" hidden="false" customHeight="false" outlineLevel="0" collapsed="false">
      <c r="A112" s="0" t="s">
        <v>43</v>
      </c>
      <c r="B112" s="0" t="n">
        <v>100</v>
      </c>
      <c r="D112" s="25" t="str">
        <f aca="false">IF(NOT(ISBLANK(C112)), ROUND(C112/60,0), "")</f>
        <v/>
      </c>
      <c r="F112" s="0" t="s">
        <v>43</v>
      </c>
      <c r="G112" s="0" t="n">
        <v>100</v>
      </c>
      <c r="H112" s="0" t="n">
        <v>72125</v>
      </c>
      <c r="I112" s="0" t="n">
        <f aca="false">IF(NOT(ISBLANK(H112)), ROUND(H112/60,0), "")</f>
        <v>1202</v>
      </c>
      <c r="J112" s="26" t="str">
        <f aca="false">IF(I112="", IF(D112="", "Neither", "Parallelobox"), IF(D112="","Symmetry", I112-D112))</f>
        <v>Symmetry</v>
      </c>
      <c r="K112" s="26"/>
      <c r="L112" s="0" t="s">
        <v>43</v>
      </c>
      <c r="M112" s="0" t="n">
        <v>100</v>
      </c>
      <c r="O112" s="0" t="str">
        <f aca="false">IF(NOT(ISBLANK(N112)), ROUND(N112/60,0), "")</f>
        <v/>
      </c>
      <c r="P112" s="26" t="str">
        <f aca="false">IF(O112="", IF(D112="", "Neither", "Parallelobox"), IF(D112="","Harpe", O112-D112))</f>
        <v>Neither</v>
      </c>
      <c r="Q112" s="26" t="str">
        <f aca="false">IF(O112="", IF(I112="", "Neither", "Symmetry"), IF(I112="","Harpe", O112-I112))</f>
        <v>Symmetry</v>
      </c>
    </row>
    <row r="113" customFormat="false" ht="12.8" hidden="false" customHeight="false" outlineLevel="0" collapsed="false">
      <c r="A113" s="0" t="s">
        <v>44</v>
      </c>
      <c r="B113" s="0" t="n">
        <v>5</v>
      </c>
      <c r="D113" s="25" t="str">
        <f aca="false">IF(NOT(ISBLANK(C113)), ROUND(C113/60,0), "")</f>
        <v/>
      </c>
      <c r="F113" s="0" t="s">
        <v>44</v>
      </c>
      <c r="G113" s="0" t="n">
        <v>5</v>
      </c>
      <c r="H113" s="0" t="n">
        <v>520101</v>
      </c>
      <c r="I113" s="0" t="n">
        <f aca="false">IF(NOT(ISBLANK(H113)), ROUND(H113/60,0), "")</f>
        <v>8668</v>
      </c>
      <c r="J113" s="26" t="str">
        <f aca="false">IF(I113="", IF(D113="", "Neither", "Parallelobox"), IF(D113="","Symmetry", I113-D113))</f>
        <v>Symmetry</v>
      </c>
      <c r="K113" s="26"/>
      <c r="L113" s="0" t="s">
        <v>44</v>
      </c>
      <c r="P113" s="26" t="str">
        <f aca="false">IF(O113="", IF(D113="", "Neither", "Parallelobox"), IF(D113="","Harpe", O113-D113))</f>
        <v>Neither</v>
      </c>
      <c r="Q113" s="26" t="str">
        <f aca="false">IF(O113="", IF(I113="", "Neither", "Symmetry"), IF(I113="","Harpe", O113-I113))</f>
        <v>Symmetry</v>
      </c>
    </row>
    <row r="114" customFormat="false" ht="12.8" hidden="false" customHeight="false" outlineLevel="0" collapsed="false">
      <c r="A114" s="0" t="s">
        <v>44</v>
      </c>
      <c r="B114" s="0" t="n">
        <v>10</v>
      </c>
      <c r="D114" s="25" t="str">
        <f aca="false">IF(NOT(ISBLANK(C114)), ROUND(C114/60,0), "")</f>
        <v/>
      </c>
      <c r="F114" s="0" t="s">
        <v>44</v>
      </c>
      <c r="G114" s="0" t="n">
        <v>10</v>
      </c>
      <c r="H114" s="0" t="n">
        <v>360165</v>
      </c>
      <c r="I114" s="0" t="n">
        <f aca="false">IF(NOT(ISBLANK(H114)), ROUND(H114/60,0), "")</f>
        <v>6003</v>
      </c>
      <c r="J114" s="26" t="str">
        <f aca="false">IF(I114="", IF(D114="", "Neither", "Parallelobox"), IF(D114="","Symmetry", I114-D114))</f>
        <v>Symmetry</v>
      </c>
      <c r="K114" s="26"/>
      <c r="L114" s="0" t="s">
        <v>44</v>
      </c>
      <c r="P114" s="26" t="str">
        <f aca="false">IF(O114="", IF(D114="", "Neither", "Parallelobox"), IF(D114="","Harpe", O114-D114))</f>
        <v>Neither</v>
      </c>
      <c r="Q114" s="26" t="str">
        <f aca="false">IF(O114="", IF(I114="", "Neither", "Symmetry"), IF(I114="","Harpe", O114-I114))</f>
        <v>Symmetry</v>
      </c>
    </row>
    <row r="115" customFormat="false" ht="12.8" hidden="false" customHeight="false" outlineLevel="0" collapsed="false">
      <c r="A115" s="0" t="s">
        <v>44</v>
      </c>
      <c r="B115" s="0" t="n">
        <v>15</v>
      </c>
      <c r="D115" s="25" t="str">
        <f aca="false">IF(NOT(ISBLANK(C115)), ROUND(C115/60,0), "")</f>
        <v/>
      </c>
      <c r="F115" s="0" t="s">
        <v>44</v>
      </c>
      <c r="G115" s="0" t="n">
        <v>15</v>
      </c>
      <c r="H115" s="0" t="n">
        <v>273847</v>
      </c>
      <c r="I115" s="0" t="n">
        <f aca="false">IF(NOT(ISBLANK(H115)), ROUND(H115/60,0), "")</f>
        <v>4564</v>
      </c>
      <c r="J115" s="26" t="str">
        <f aca="false">IF(I115="", IF(D115="", "Neither", "Parallelobox"), IF(D115="","Symmetry", I115-D115))</f>
        <v>Symmetry</v>
      </c>
      <c r="K115" s="26"/>
      <c r="L115" s="0" t="s">
        <v>44</v>
      </c>
      <c r="P115" s="26" t="str">
        <f aca="false">IF(O115="", IF(D115="", "Neither", "Parallelobox"), IF(D115="","Harpe", O115-D115))</f>
        <v>Neither</v>
      </c>
      <c r="Q115" s="26" t="str">
        <f aca="false">IF(O115="", IF(I115="", "Neither", "Symmetry"), IF(I115="","Harpe", O115-I115))</f>
        <v>Symmetry</v>
      </c>
    </row>
    <row r="116" customFormat="false" ht="12.8" hidden="false" customHeight="false" outlineLevel="0" collapsed="false">
      <c r="A116" s="0" t="s">
        <v>44</v>
      </c>
      <c r="B116" s="0" t="n">
        <v>20</v>
      </c>
      <c r="D116" s="25" t="str">
        <f aca="false">IF(NOT(ISBLANK(C116)), ROUND(C116/60,0), "")</f>
        <v/>
      </c>
      <c r="F116" s="0" t="s">
        <v>44</v>
      </c>
      <c r="G116" s="0" t="n">
        <v>20</v>
      </c>
      <c r="H116" s="0" t="n">
        <v>207131</v>
      </c>
      <c r="I116" s="0" t="n">
        <f aca="false">IF(NOT(ISBLANK(H116)), ROUND(H116/60,0), "")</f>
        <v>3452</v>
      </c>
      <c r="J116" s="26" t="str">
        <f aca="false">IF(I116="", IF(D116="", "Neither", "Parallelobox"), IF(D116="","Symmetry", I116-D116))</f>
        <v>Symmetry</v>
      </c>
      <c r="K116" s="26"/>
      <c r="L116" s="0" t="s">
        <v>44</v>
      </c>
      <c r="P116" s="26" t="str">
        <f aca="false">IF(O116="", IF(D116="", "Neither", "Parallelobox"), IF(D116="","Harpe", O116-D116))</f>
        <v>Neither</v>
      </c>
      <c r="Q116" s="26" t="str">
        <f aca="false">IF(O116="", IF(I116="", "Neither", "Symmetry"), IF(I116="","Harpe", O116-I116))</f>
        <v>Symmetry</v>
      </c>
    </row>
    <row r="117" customFormat="false" ht="12.8" hidden="false" customHeight="false" outlineLevel="0" collapsed="false">
      <c r="A117" s="0" t="s">
        <v>44</v>
      </c>
      <c r="B117" s="0" t="n">
        <v>30</v>
      </c>
      <c r="D117" s="25" t="str">
        <f aca="false">IF(NOT(ISBLANK(C117)), ROUND(C117/60,0), "")</f>
        <v/>
      </c>
      <c r="F117" s="0" t="s">
        <v>44</v>
      </c>
      <c r="G117" s="0" t="n">
        <v>30</v>
      </c>
      <c r="H117" s="0" t="n">
        <v>309569</v>
      </c>
      <c r="I117" s="0" t="n">
        <f aca="false">IF(NOT(ISBLANK(H117)), ROUND(H117/60,0), "")</f>
        <v>5159</v>
      </c>
      <c r="J117" s="26" t="str">
        <f aca="false">IF(I117="", IF(D117="", "Neither", "Parallelobox"), IF(D117="","Symmetry", I117-D117))</f>
        <v>Symmetry</v>
      </c>
      <c r="K117" s="26"/>
      <c r="L117" s="0" t="s">
        <v>44</v>
      </c>
      <c r="P117" s="26" t="str">
        <f aca="false">IF(O117="", IF(D117="", "Neither", "Parallelobox"), IF(D117="","Harpe", O117-D117))</f>
        <v>Neither</v>
      </c>
      <c r="Q117" s="26" t="str">
        <f aca="false">IF(O117="", IF(I117="", "Neither", "Symmetry"), IF(I117="","Harpe", O117-I117))</f>
        <v>Symmetry</v>
      </c>
    </row>
    <row r="118" customFormat="false" ht="12.8" hidden="false" customHeight="false" outlineLevel="0" collapsed="false">
      <c r="A118" s="0" t="s">
        <v>44</v>
      </c>
      <c r="B118" s="0" t="n">
        <v>40</v>
      </c>
      <c r="D118" s="25" t="str">
        <f aca="false">IF(NOT(ISBLANK(C118)), ROUND(C118/60,0), "")</f>
        <v/>
      </c>
      <c r="F118" s="0" t="s">
        <v>44</v>
      </c>
      <c r="G118" s="0" t="n">
        <v>40</v>
      </c>
      <c r="H118" s="0" t="n">
        <v>155183</v>
      </c>
      <c r="I118" s="0" t="n">
        <f aca="false">IF(NOT(ISBLANK(H118)), ROUND(H118/60,0), "")</f>
        <v>2586</v>
      </c>
      <c r="J118" s="26" t="str">
        <f aca="false">IF(I118="", IF(D118="", "Neither", "Parallelobox"), IF(D118="","Symmetry", I118-D118))</f>
        <v>Symmetry</v>
      </c>
      <c r="K118" s="26"/>
      <c r="L118" s="0" t="s">
        <v>44</v>
      </c>
      <c r="P118" s="26" t="str">
        <f aca="false">IF(O118="", IF(D118="", "Neither", "Parallelobox"), IF(D118="","Harpe", O118-D118))</f>
        <v>Neither</v>
      </c>
      <c r="Q118" s="26" t="str">
        <f aca="false">IF(O118="", IF(I118="", "Neither", "Symmetry"), IF(I118="","Harpe", O118-I118))</f>
        <v>Symmetry</v>
      </c>
    </row>
    <row r="119" customFormat="false" ht="12.8" hidden="false" customHeight="false" outlineLevel="0" collapsed="false">
      <c r="A119" s="0" t="s">
        <v>44</v>
      </c>
      <c r="B119" s="0" t="n">
        <v>50</v>
      </c>
      <c r="D119" s="25" t="str">
        <f aca="false">IF(NOT(ISBLANK(C119)), ROUND(C119/60,0), "")</f>
        <v/>
      </c>
      <c r="F119" s="0" t="s">
        <v>44</v>
      </c>
      <c r="G119" s="0" t="n">
        <v>50</v>
      </c>
      <c r="H119" s="0" t="n">
        <v>191983</v>
      </c>
      <c r="I119" s="0" t="n">
        <f aca="false">IF(NOT(ISBLANK(H119)), ROUND(H119/60,0), "")</f>
        <v>3200</v>
      </c>
      <c r="J119" s="26" t="str">
        <f aca="false">IF(I119="", IF(D119="", "Neither", "Parallelobox"), IF(D119="","Symmetry", I119-D119))</f>
        <v>Symmetry</v>
      </c>
      <c r="K119" s="26"/>
      <c r="L119" s="0" t="s">
        <v>44</v>
      </c>
      <c r="P119" s="26" t="str">
        <f aca="false">IF(O119="", IF(D119="", "Neither", "Parallelobox"), IF(D119="","Harpe", O119-D119))</f>
        <v>Neither</v>
      </c>
      <c r="Q119" s="26" t="str">
        <f aca="false">IF(O119="", IF(I119="", "Neither", "Symmetry"), IF(I119="","Harpe", O119-I119))</f>
        <v>Symmetry</v>
      </c>
    </row>
    <row r="120" customFormat="false" ht="12.8" hidden="false" customHeight="false" outlineLevel="0" collapsed="false">
      <c r="A120" s="0" t="s">
        <v>44</v>
      </c>
      <c r="B120" s="0" t="n">
        <v>64</v>
      </c>
      <c r="C120" s="0" t="n">
        <v>107153</v>
      </c>
      <c r="D120" s="25" t="n">
        <f aca="false">IF(NOT(ISBLANK(C120)), ROUND(C120/60,0), "")</f>
        <v>1786</v>
      </c>
      <c r="F120" s="0" t="s">
        <v>44</v>
      </c>
      <c r="G120" s="0" t="n">
        <v>64</v>
      </c>
      <c r="H120" s="0" t="n">
        <v>190092</v>
      </c>
      <c r="I120" s="0" t="n">
        <f aca="false">IF(NOT(ISBLANK(H120)), ROUND(H120/60,0), "")</f>
        <v>3168</v>
      </c>
      <c r="J120" s="26" t="n">
        <f aca="false">IF(I120="", IF(D120="", "Neither", "Parallelobox"), IF(D120="","Symmetry", I120-D120))</f>
        <v>1382</v>
      </c>
      <c r="K120" s="26"/>
      <c r="L120" s="0" t="s">
        <v>44</v>
      </c>
      <c r="P120" s="26" t="str">
        <f aca="false">IF(O120="", IF(D120="", "Neither", "Parallelobox"), IF(D120="","Harpe", O120-D120))</f>
        <v>Parallelobox</v>
      </c>
      <c r="Q120" s="26" t="str">
        <f aca="false">IF(O120="", IF(I120="", "Neither", "Symmetry"), IF(I120="","Harpe", O120-I120))</f>
        <v>Symmetry</v>
      </c>
    </row>
    <row r="121" customFormat="false" ht="12.8" hidden="false" customHeight="false" outlineLevel="0" collapsed="false">
      <c r="A121" s="0" t="s">
        <v>44</v>
      </c>
      <c r="B121" s="0" t="n">
        <v>82</v>
      </c>
      <c r="C121" s="0" t="n">
        <v>63392</v>
      </c>
      <c r="D121" s="25" t="n">
        <f aca="false">IF(NOT(ISBLANK(C121)), ROUND(C121/60,0), "")</f>
        <v>1057</v>
      </c>
      <c r="F121" s="0" t="s">
        <v>44</v>
      </c>
      <c r="G121" s="0" t="n">
        <v>82</v>
      </c>
      <c r="H121" s="0" t="n">
        <v>170337</v>
      </c>
      <c r="I121" s="0" t="n">
        <f aca="false">IF(NOT(ISBLANK(H121)), ROUND(H121/60,0), "")</f>
        <v>2839</v>
      </c>
      <c r="J121" s="26" t="n">
        <f aca="false">IF(I121="", IF(D121="", "Neither", "Parallelobox"), IF(D121="","Symmetry", I121-D121))</f>
        <v>1782</v>
      </c>
      <c r="K121" s="26"/>
      <c r="L121" s="0" t="s">
        <v>44</v>
      </c>
      <c r="P121" s="26" t="str">
        <f aca="false">IF(O121="", IF(D121="", "Neither", "Parallelobox"), IF(D121="","Harpe", O121-D121))</f>
        <v>Parallelobox</v>
      </c>
      <c r="Q121" s="26" t="str">
        <f aca="false">IF(O121="", IF(I121="", "Neither", "Symmetry"), IF(I121="","Harpe", O121-I121))</f>
        <v>Symmetry</v>
      </c>
    </row>
    <row r="122" customFormat="false" ht="12.8" hidden="false" customHeight="false" outlineLevel="0" collapsed="false">
      <c r="A122" s="0" t="s">
        <v>44</v>
      </c>
      <c r="B122" s="0" t="n">
        <v>100</v>
      </c>
      <c r="C122" s="0" t="n">
        <v>55716</v>
      </c>
      <c r="D122" s="25" t="n">
        <f aca="false">IF(NOT(ISBLANK(C122)), ROUND(C122/60,0), "")</f>
        <v>929</v>
      </c>
      <c r="F122" s="0" t="s">
        <v>44</v>
      </c>
      <c r="G122" s="0" t="n">
        <v>100</v>
      </c>
      <c r="H122" s="0" t="n">
        <v>70742</v>
      </c>
      <c r="I122" s="0" t="n">
        <f aca="false">IF(NOT(ISBLANK(H122)), ROUND(H122/60,0), "")</f>
        <v>1179</v>
      </c>
      <c r="J122" s="26" t="n">
        <f aca="false">IF(I122="", IF(D122="", "Neither", "Parallelobox"), IF(D122="","Symmetry", I122-D122))</f>
        <v>250</v>
      </c>
      <c r="K122" s="26"/>
      <c r="L122" s="0" t="s">
        <v>44</v>
      </c>
      <c r="P122" s="26" t="str">
        <f aca="false">IF(O122="", IF(D122="", "Neither", "Parallelobox"), IF(D122="","Harpe", O122-D122))</f>
        <v>Parallelobox</v>
      </c>
      <c r="Q122" s="26" t="str">
        <f aca="false">IF(O122="", IF(I122="", "Neither", "Symmetry"), IF(I122="","Harpe", O122-I122))</f>
        <v>Symmetry</v>
      </c>
    </row>
    <row r="123" customFormat="false" ht="12.8" hidden="false" customHeight="false" outlineLevel="0" collapsed="false">
      <c r="A123" s="0" t="s">
        <v>46</v>
      </c>
      <c r="B123" s="0" t="n">
        <v>5</v>
      </c>
      <c r="C123" s="0" t="n">
        <v>43410</v>
      </c>
      <c r="D123" s="25" t="n">
        <f aca="false">IF(NOT(ISBLANK(C123)), ROUND(C123/60,0), "")</f>
        <v>724</v>
      </c>
      <c r="F123" s="0" t="s">
        <v>46</v>
      </c>
      <c r="G123" s="0" t="n">
        <v>5</v>
      </c>
      <c r="H123" s="0" t="n">
        <v>44235</v>
      </c>
      <c r="I123" s="0" t="n">
        <f aca="false">IF(NOT(ISBLANK(H123)), ROUND(H123/60,0), "")</f>
        <v>737</v>
      </c>
      <c r="J123" s="26" t="n">
        <f aca="false">IF(I123="", IF(D123="", "Neither", "Parallelobox"), IF(D123="","Symmetry", I123-D123))</f>
        <v>13</v>
      </c>
      <c r="K123" s="26"/>
      <c r="L123" s="0" t="s">
        <v>46</v>
      </c>
      <c r="M123" s="0" t="n">
        <v>5</v>
      </c>
      <c r="N123" s="0" t="n">
        <v>52454</v>
      </c>
      <c r="O123" s="0" t="n">
        <f aca="false">IF(NOT(ISBLANK(N123)), ROUND(N123/60,0), "")</f>
        <v>874</v>
      </c>
      <c r="P123" s="26" t="n">
        <f aca="false">IF(O123="", IF(D123="", "Neither", "Parallelobox"), IF(D123="","Harpe", O123-D123))</f>
        <v>150</v>
      </c>
      <c r="Q123" s="26" t="n">
        <f aca="false">IF(O123="", IF(I123="", "Neither", "Symmetry"), IF(I123="","Harpe", O123-I123))</f>
        <v>137</v>
      </c>
    </row>
    <row r="124" customFormat="false" ht="12.8" hidden="false" customHeight="false" outlineLevel="0" collapsed="false">
      <c r="A124" s="0" t="s">
        <v>46</v>
      </c>
      <c r="B124" s="0" t="n">
        <v>10</v>
      </c>
      <c r="C124" s="0" t="n">
        <v>22302</v>
      </c>
      <c r="D124" s="25" t="n">
        <f aca="false">IF(NOT(ISBLANK(C124)), ROUND(C124/60,0), "")</f>
        <v>372</v>
      </c>
      <c r="F124" s="0" t="s">
        <v>46</v>
      </c>
      <c r="G124" s="0" t="n">
        <v>10</v>
      </c>
      <c r="H124" s="0" t="n">
        <v>28515</v>
      </c>
      <c r="I124" s="0" t="n">
        <f aca="false">IF(NOT(ISBLANK(H124)), ROUND(H124/60,0), "")</f>
        <v>475</v>
      </c>
      <c r="J124" s="26" t="n">
        <f aca="false">IF(I124="", IF(D124="", "Neither", "Parallelobox"), IF(D124="","Symmetry", I124-D124))</f>
        <v>103</v>
      </c>
      <c r="K124" s="26"/>
      <c r="L124" s="0" t="s">
        <v>46</v>
      </c>
      <c r="M124" s="0" t="n">
        <v>10</v>
      </c>
      <c r="N124" s="0" t="n">
        <v>38456</v>
      </c>
      <c r="O124" s="0" t="n">
        <f aca="false">IF(NOT(ISBLANK(N124)), ROUND(N124/60,0), "")</f>
        <v>641</v>
      </c>
      <c r="P124" s="26" t="n">
        <f aca="false">IF(O124="", IF(D124="", "Neither", "Parallelobox"), IF(D124="","Harpe", O124-D124))</f>
        <v>269</v>
      </c>
      <c r="Q124" s="26" t="n">
        <f aca="false">IF(O124="", IF(I124="", "Neither", "Symmetry"), IF(I124="","Harpe", O124-I124))</f>
        <v>166</v>
      </c>
    </row>
    <row r="125" customFormat="false" ht="12.8" hidden="false" customHeight="false" outlineLevel="0" collapsed="false">
      <c r="A125" s="0" t="s">
        <v>46</v>
      </c>
      <c r="B125" s="0" t="n">
        <v>15</v>
      </c>
      <c r="C125" s="0" t="n">
        <v>15568</v>
      </c>
      <c r="D125" s="25" t="n">
        <f aca="false">IF(NOT(ISBLANK(C125)), ROUND(C125/60,0), "")</f>
        <v>259</v>
      </c>
      <c r="F125" s="0" t="s">
        <v>46</v>
      </c>
      <c r="G125" s="0" t="n">
        <v>15</v>
      </c>
      <c r="H125" s="0" t="n">
        <v>16170</v>
      </c>
      <c r="I125" s="0" t="n">
        <f aca="false">IF(NOT(ISBLANK(H125)), ROUND(H125/60,0), "")</f>
        <v>270</v>
      </c>
      <c r="J125" s="26" t="n">
        <f aca="false">IF(I125="", IF(D125="", "Neither", "Parallelobox"), IF(D125="","Symmetry", I125-D125))</f>
        <v>11</v>
      </c>
      <c r="K125" s="26"/>
      <c r="L125" s="0" t="s">
        <v>46</v>
      </c>
      <c r="M125" s="0" t="n">
        <v>15</v>
      </c>
      <c r="N125" s="0" t="n">
        <v>26017</v>
      </c>
      <c r="O125" s="0" t="n">
        <f aca="false">IF(NOT(ISBLANK(N125)), ROUND(N125/60,0), "")</f>
        <v>434</v>
      </c>
      <c r="P125" s="26" t="n">
        <f aca="false">IF(O125="", IF(D125="", "Neither", "Parallelobox"), IF(D125="","Harpe", O125-D125))</f>
        <v>175</v>
      </c>
      <c r="Q125" s="26" t="n">
        <f aca="false">IF(O125="", IF(I125="", "Neither", "Symmetry"), IF(I125="","Harpe", O125-I125))</f>
        <v>164</v>
      </c>
    </row>
    <row r="126" customFormat="false" ht="12.8" hidden="false" customHeight="false" outlineLevel="0" collapsed="false">
      <c r="A126" s="0" t="s">
        <v>46</v>
      </c>
      <c r="B126" s="0" t="n">
        <v>20</v>
      </c>
      <c r="C126" s="0" t="n">
        <v>13034</v>
      </c>
      <c r="D126" s="25" t="n">
        <f aca="false">IF(NOT(ISBLANK(C126)), ROUND(C126/60,0), "")</f>
        <v>217</v>
      </c>
      <c r="F126" s="0" t="s">
        <v>46</v>
      </c>
      <c r="G126" s="0" t="n">
        <v>20</v>
      </c>
      <c r="H126" s="0" t="n">
        <v>18203</v>
      </c>
      <c r="I126" s="0" t="n">
        <f aca="false">IF(NOT(ISBLANK(H126)), ROUND(H126/60,0), "")</f>
        <v>303</v>
      </c>
      <c r="J126" s="26" t="n">
        <f aca="false">IF(I126="", IF(D126="", "Neither", "Parallelobox"), IF(D126="","Symmetry", I126-D126))</f>
        <v>86</v>
      </c>
      <c r="K126" s="26"/>
      <c r="L126" s="0" t="s">
        <v>46</v>
      </c>
      <c r="M126" s="0" t="n">
        <v>20</v>
      </c>
      <c r="N126" s="0" t="n">
        <v>25623</v>
      </c>
      <c r="O126" s="0" t="n">
        <f aca="false">IF(NOT(ISBLANK(N126)), ROUND(N126/60,0), "")</f>
        <v>427</v>
      </c>
      <c r="P126" s="26" t="n">
        <f aca="false">IF(O126="", IF(D126="", "Neither", "Parallelobox"), IF(D126="","Harpe", O126-D126))</f>
        <v>210</v>
      </c>
      <c r="Q126" s="26" t="n">
        <f aca="false">IF(O126="", IF(I126="", "Neither", "Symmetry"), IF(I126="","Harpe", O126-I126))</f>
        <v>124</v>
      </c>
    </row>
    <row r="127" customFormat="false" ht="12.8" hidden="false" customHeight="false" outlineLevel="0" collapsed="false">
      <c r="A127" s="0" t="s">
        <v>46</v>
      </c>
      <c r="B127" s="0" t="n">
        <v>30</v>
      </c>
      <c r="C127" s="0" t="n">
        <v>9068</v>
      </c>
      <c r="D127" s="25" t="n">
        <f aca="false">IF(NOT(ISBLANK(C127)), ROUND(C127/60,0), "")</f>
        <v>151</v>
      </c>
      <c r="F127" s="0" t="s">
        <v>46</v>
      </c>
      <c r="G127" s="0" t="n">
        <v>30</v>
      </c>
      <c r="H127" s="0" t="n">
        <v>15746</v>
      </c>
      <c r="I127" s="0" t="n">
        <f aca="false">IF(NOT(ISBLANK(H127)), ROUND(H127/60,0), "")</f>
        <v>262</v>
      </c>
      <c r="J127" s="26" t="n">
        <f aca="false">IF(I127="", IF(D127="", "Neither", "Parallelobox"), IF(D127="","Symmetry", I127-D127))</f>
        <v>111</v>
      </c>
      <c r="K127" s="26"/>
      <c r="L127" s="0" t="s">
        <v>46</v>
      </c>
      <c r="M127" s="0" t="n">
        <v>30</v>
      </c>
      <c r="N127" s="0" t="n">
        <v>22817</v>
      </c>
      <c r="O127" s="0" t="n">
        <f aca="false">IF(NOT(ISBLANK(N127)), ROUND(N127/60,0), "")</f>
        <v>380</v>
      </c>
      <c r="P127" s="26" t="n">
        <f aca="false">IF(O127="", IF(D127="", "Neither", "Parallelobox"), IF(D127="","Harpe", O127-D127))</f>
        <v>229</v>
      </c>
      <c r="Q127" s="26" t="n">
        <f aca="false">IF(O127="", IF(I127="", "Neither", "Symmetry"), IF(I127="","Harpe", O127-I127))</f>
        <v>118</v>
      </c>
    </row>
    <row r="128" customFormat="false" ht="12.8" hidden="false" customHeight="false" outlineLevel="0" collapsed="false">
      <c r="A128" s="0" t="s">
        <v>46</v>
      </c>
      <c r="B128" s="0" t="n">
        <v>40</v>
      </c>
      <c r="C128" s="0" t="n">
        <v>9194</v>
      </c>
      <c r="D128" s="25" t="n">
        <f aca="false">IF(NOT(ISBLANK(C128)), ROUND(C128/60,0), "")</f>
        <v>153</v>
      </c>
      <c r="F128" s="0" t="s">
        <v>46</v>
      </c>
      <c r="G128" s="0" t="n">
        <v>40</v>
      </c>
      <c r="H128" s="0" t="n">
        <v>15437</v>
      </c>
      <c r="I128" s="0" t="n">
        <f aca="false">IF(NOT(ISBLANK(H128)), ROUND(H128/60,0), "")</f>
        <v>257</v>
      </c>
      <c r="J128" s="26" t="n">
        <f aca="false">IF(I128="", IF(D128="", "Neither", "Parallelobox"), IF(D128="","Symmetry", I128-D128))</f>
        <v>104</v>
      </c>
      <c r="K128" s="26"/>
      <c r="L128" s="0" t="s">
        <v>46</v>
      </c>
      <c r="M128" s="0" t="n">
        <v>40</v>
      </c>
      <c r="N128" s="0" t="n">
        <v>16740</v>
      </c>
      <c r="O128" s="0" t="n">
        <f aca="false">IF(NOT(ISBLANK(N128)), ROUND(N128/60,0), "")</f>
        <v>279</v>
      </c>
      <c r="P128" s="26" t="n">
        <f aca="false">IF(O128="", IF(D128="", "Neither", "Parallelobox"), IF(D128="","Harpe", O128-D128))</f>
        <v>126</v>
      </c>
      <c r="Q128" s="26" t="n">
        <f aca="false">IF(O128="", IF(I128="", "Neither", "Symmetry"), IF(I128="","Harpe", O128-I128))</f>
        <v>22</v>
      </c>
    </row>
    <row r="129" customFormat="false" ht="12.8" hidden="false" customHeight="false" outlineLevel="0" collapsed="false">
      <c r="A129" s="0" t="s">
        <v>46</v>
      </c>
      <c r="B129" s="0" t="n">
        <v>50</v>
      </c>
      <c r="C129" s="0" t="n">
        <v>5926</v>
      </c>
      <c r="D129" s="25" t="n">
        <f aca="false">IF(NOT(ISBLANK(C129)), ROUND(C129/60,0), "")</f>
        <v>99</v>
      </c>
      <c r="F129" s="0" t="s">
        <v>46</v>
      </c>
      <c r="G129" s="0" t="n">
        <v>50</v>
      </c>
      <c r="H129" s="0" t="n">
        <v>15253</v>
      </c>
      <c r="I129" s="0" t="n">
        <f aca="false">IF(NOT(ISBLANK(H129)), ROUND(H129/60,0), "")</f>
        <v>254</v>
      </c>
      <c r="J129" s="26" t="n">
        <f aca="false">IF(I129="", IF(D129="", "Neither", "Parallelobox"), IF(D129="","Symmetry", I129-D129))</f>
        <v>155</v>
      </c>
      <c r="K129" s="26"/>
      <c r="L129" s="0" t="s">
        <v>46</v>
      </c>
      <c r="M129" s="0" t="n">
        <v>50</v>
      </c>
      <c r="N129" s="0" t="n">
        <v>16608</v>
      </c>
      <c r="O129" s="0" t="n">
        <f aca="false">IF(NOT(ISBLANK(N129)), ROUND(N129/60,0), "")</f>
        <v>277</v>
      </c>
      <c r="P129" s="26" t="n">
        <f aca="false">IF(O129="", IF(D129="", "Neither", "Parallelobox"), IF(D129="","Harpe", O129-D129))</f>
        <v>178</v>
      </c>
      <c r="Q129" s="26" t="n">
        <f aca="false">IF(O129="", IF(I129="", "Neither", "Symmetry"), IF(I129="","Harpe", O129-I129))</f>
        <v>23</v>
      </c>
    </row>
    <row r="130" customFormat="false" ht="12.8" hidden="false" customHeight="false" outlineLevel="0" collapsed="false">
      <c r="A130" s="0" t="s">
        <v>46</v>
      </c>
      <c r="B130" s="0" t="n">
        <v>64</v>
      </c>
      <c r="C130" s="0" t="n">
        <v>5127</v>
      </c>
      <c r="D130" s="25" t="n">
        <f aca="false">IF(NOT(ISBLANK(C130)), ROUND(C130/60,0), "")</f>
        <v>85</v>
      </c>
      <c r="F130" s="0" t="s">
        <v>46</v>
      </c>
      <c r="G130" s="0" t="n">
        <v>64</v>
      </c>
      <c r="H130" s="0" t="n">
        <v>10982</v>
      </c>
      <c r="I130" s="0" t="n">
        <f aca="false">IF(NOT(ISBLANK(H130)), ROUND(H130/60,0), "")</f>
        <v>183</v>
      </c>
      <c r="J130" s="26" t="n">
        <f aca="false">IF(I130="", IF(D130="", "Neither", "Parallelobox"), IF(D130="","Symmetry", I130-D130))</f>
        <v>98</v>
      </c>
      <c r="K130" s="26"/>
      <c r="L130" s="0" t="s">
        <v>46</v>
      </c>
      <c r="M130" s="0" t="n">
        <v>64</v>
      </c>
      <c r="N130" s="0" t="n">
        <v>10083</v>
      </c>
      <c r="O130" s="0" t="n">
        <f aca="false">IF(NOT(ISBLANK(N130)), ROUND(N130/60,0), "")</f>
        <v>168</v>
      </c>
      <c r="P130" s="26" t="n">
        <f aca="false">IF(O130="", IF(D130="", "Neither", "Parallelobox"), IF(D130="","Harpe", O130-D130))</f>
        <v>83</v>
      </c>
      <c r="Q130" s="26" t="n">
        <f aca="false">IF(O130="", IF(I130="", "Neither", "Symmetry"), IF(I130="","Harpe", O130-I130))</f>
        <v>-15</v>
      </c>
    </row>
    <row r="131" customFormat="false" ht="12.8" hidden="false" customHeight="false" outlineLevel="0" collapsed="false">
      <c r="A131" s="0" t="s">
        <v>46</v>
      </c>
      <c r="B131" s="0" t="n">
        <v>82</v>
      </c>
      <c r="C131" s="0" t="n">
        <v>4401</v>
      </c>
      <c r="D131" s="25" t="n">
        <f aca="false">IF(NOT(ISBLANK(C131)), ROUND(C131/60,0), "")</f>
        <v>73</v>
      </c>
      <c r="F131" s="0" t="s">
        <v>46</v>
      </c>
      <c r="G131" s="0" t="n">
        <v>82</v>
      </c>
      <c r="H131" s="0" t="n">
        <v>9138</v>
      </c>
      <c r="I131" s="0" t="n">
        <f aca="false">IF(NOT(ISBLANK(H131)), ROUND(H131/60,0), "")</f>
        <v>152</v>
      </c>
      <c r="J131" s="26" t="n">
        <f aca="false">IF(I131="", IF(D131="", "Neither", "Parallelobox"), IF(D131="","Symmetry", I131-D131))</f>
        <v>79</v>
      </c>
      <c r="K131" s="26"/>
      <c r="L131" s="0" t="s">
        <v>46</v>
      </c>
      <c r="M131" s="0" t="n">
        <v>82</v>
      </c>
      <c r="N131" s="0" t="n">
        <v>9730</v>
      </c>
      <c r="O131" s="0" t="n">
        <f aca="false">IF(NOT(ISBLANK(N131)), ROUND(N131/60,0), "")</f>
        <v>162</v>
      </c>
      <c r="P131" s="26" t="n">
        <f aca="false">IF(O131="", IF(D131="", "Neither", "Parallelobox"), IF(D131="","Harpe", O131-D131))</f>
        <v>89</v>
      </c>
      <c r="Q131" s="26" t="n">
        <f aca="false">IF(O131="", IF(I131="", "Neither", "Symmetry"), IF(I131="","Harpe", O131-I131))</f>
        <v>10</v>
      </c>
    </row>
    <row r="132" customFormat="false" ht="12.8" hidden="false" customHeight="false" outlineLevel="0" collapsed="false">
      <c r="A132" s="0" t="s">
        <v>46</v>
      </c>
      <c r="B132" s="0" t="n">
        <v>100</v>
      </c>
      <c r="C132" s="0" t="n">
        <v>3221</v>
      </c>
      <c r="D132" s="25" t="n">
        <f aca="false">IF(NOT(ISBLANK(C132)), ROUND(C132/60,0), "")</f>
        <v>54</v>
      </c>
      <c r="F132" s="0" t="s">
        <v>46</v>
      </c>
      <c r="G132" s="0" t="n">
        <v>100</v>
      </c>
      <c r="H132" s="0" t="n">
        <v>8857</v>
      </c>
      <c r="I132" s="0" t="n">
        <f aca="false">IF(NOT(ISBLANK(H132)), ROUND(H132/60,0), "")</f>
        <v>148</v>
      </c>
      <c r="J132" s="26" t="n">
        <f aca="false">IF(I132="", IF(D132="", "Neither", "Parallelobox"), IF(D132="","Symmetry", I132-D132))</f>
        <v>94</v>
      </c>
      <c r="K132" s="26"/>
      <c r="L132" s="0" t="s">
        <v>46</v>
      </c>
      <c r="M132" s="0" t="n">
        <v>100</v>
      </c>
      <c r="N132" s="0" t="n">
        <v>10519</v>
      </c>
      <c r="O132" s="0" t="n">
        <f aca="false">IF(NOT(ISBLANK(N132)), ROUND(N132/60,0), "")</f>
        <v>175</v>
      </c>
      <c r="P132" s="26" t="n">
        <f aca="false">IF(O132="", IF(D132="", "Neither", "Parallelobox"), IF(D132="","Harpe", O132-D132))</f>
        <v>121</v>
      </c>
      <c r="Q132" s="26" t="n">
        <f aca="false">IF(O132="", IF(I132="", "Neither", "Symmetry"), IF(I132="","Harpe", O132-I132))</f>
        <v>27</v>
      </c>
    </row>
    <row r="133" customFormat="false" ht="12.8" hidden="false" customHeight="false" outlineLevel="0" collapsed="false">
      <c r="A133" s="0" t="s">
        <v>47</v>
      </c>
      <c r="B133" s="0" t="n">
        <v>5</v>
      </c>
      <c r="D133" s="25" t="str">
        <f aca="false">IF(NOT(ISBLANK(C133)), ROUND(C133/60,0), "")</f>
        <v/>
      </c>
      <c r="F133" s="0" t="s">
        <v>47</v>
      </c>
      <c r="G133" s="0" t="n">
        <v>5</v>
      </c>
      <c r="H133" s="0" t="n">
        <v>270393</v>
      </c>
      <c r="I133" s="0" t="n">
        <f aca="false">IF(NOT(ISBLANK(H133)), ROUND(H133/60,0), "")</f>
        <v>4507</v>
      </c>
      <c r="J133" s="26" t="str">
        <f aca="false">IF(I133="", IF(D133="", "Neither", "Parallelobox"), IF(D133="","Symmetry", I133-D133))</f>
        <v>Symmetry</v>
      </c>
      <c r="K133" s="26"/>
      <c r="L133" s="0" t="s">
        <v>47</v>
      </c>
      <c r="M133" s="0" t="n">
        <v>5</v>
      </c>
      <c r="N133" s="0" t="n">
        <v>259045</v>
      </c>
      <c r="O133" s="0" t="n">
        <f aca="false">IF(NOT(ISBLANK(N133)), ROUND(N133/60,0), "")</f>
        <v>4317</v>
      </c>
      <c r="P133" s="26" t="str">
        <f aca="false">IF(O133="", IF(D133="", "Neither", "Parallelobox"), IF(D133="","Harpe", O133-D133))</f>
        <v>Harpe</v>
      </c>
      <c r="Q133" s="26" t="n">
        <f aca="false">IF(O133="", IF(I133="", "Neither", "Symmetry"), IF(I133="","Harpe", O133-I133))</f>
        <v>-190</v>
      </c>
    </row>
    <row r="134" customFormat="false" ht="12.8" hidden="false" customHeight="false" outlineLevel="0" collapsed="false">
      <c r="A134" s="0" t="s">
        <v>47</v>
      </c>
      <c r="B134" s="0" t="n">
        <v>10</v>
      </c>
      <c r="C134" s="0" t="n">
        <v>181417</v>
      </c>
      <c r="D134" s="25" t="n">
        <f aca="false">IF(NOT(ISBLANK(C134)), ROUND(C134/60,0), "")</f>
        <v>3024</v>
      </c>
      <c r="F134" s="0" t="s">
        <v>47</v>
      </c>
      <c r="G134" s="0" t="n">
        <v>10</v>
      </c>
      <c r="H134" s="0" t="n">
        <v>134308</v>
      </c>
      <c r="I134" s="0" t="n">
        <f aca="false">IF(NOT(ISBLANK(H134)), ROUND(H134/60,0), "")</f>
        <v>2238</v>
      </c>
      <c r="J134" s="26" t="n">
        <f aca="false">IF(I134="", IF(D134="", "Neither", "Parallelobox"), IF(D134="","Symmetry", I134-D134))</f>
        <v>-786</v>
      </c>
      <c r="K134" s="26"/>
      <c r="L134" s="0" t="s">
        <v>47</v>
      </c>
      <c r="M134" s="0" t="n">
        <v>10</v>
      </c>
      <c r="N134" s="0" t="n">
        <v>151062</v>
      </c>
      <c r="O134" s="0" t="n">
        <f aca="false">IF(NOT(ISBLANK(N134)), ROUND(N134/60,0), "")</f>
        <v>2518</v>
      </c>
      <c r="P134" s="26" t="n">
        <f aca="false">IF(O134="", IF(D134="", "Neither", "Parallelobox"), IF(D134="","Harpe", O134-D134))</f>
        <v>-506</v>
      </c>
      <c r="Q134" s="26" t="n">
        <f aca="false">IF(O134="", IF(I134="", "Neither", "Symmetry"), IF(I134="","Harpe", O134-I134))</f>
        <v>280</v>
      </c>
    </row>
    <row r="135" customFormat="false" ht="12.8" hidden="false" customHeight="false" outlineLevel="0" collapsed="false">
      <c r="A135" s="0" t="s">
        <v>47</v>
      </c>
      <c r="B135" s="0" t="n">
        <v>15</v>
      </c>
      <c r="C135" s="0" t="n">
        <v>105936</v>
      </c>
      <c r="D135" s="25" t="n">
        <f aca="false">IF(NOT(ISBLANK(C135)), ROUND(C135/60,0), "")</f>
        <v>1766</v>
      </c>
      <c r="F135" s="0" t="s">
        <v>47</v>
      </c>
      <c r="G135" s="0" t="n">
        <v>15</v>
      </c>
      <c r="H135" s="0" t="n">
        <v>106481</v>
      </c>
      <c r="I135" s="0" t="n">
        <f aca="false">IF(NOT(ISBLANK(H135)), ROUND(H135/60,0), "")</f>
        <v>1775</v>
      </c>
      <c r="J135" s="26" t="n">
        <f aca="false">IF(I135="", IF(D135="", "Neither", "Parallelobox"), IF(D135="","Symmetry", I135-D135))</f>
        <v>9</v>
      </c>
      <c r="K135" s="26"/>
      <c r="L135" s="0" t="s">
        <v>47</v>
      </c>
      <c r="M135" s="0" t="n">
        <v>15</v>
      </c>
      <c r="N135" s="0" t="n">
        <v>125241</v>
      </c>
      <c r="O135" s="0" t="n">
        <f aca="false">IF(NOT(ISBLANK(N135)), ROUND(N135/60,0), "")</f>
        <v>2087</v>
      </c>
      <c r="P135" s="26" t="n">
        <f aca="false">IF(O135="", IF(D135="", "Neither", "Parallelobox"), IF(D135="","Harpe", O135-D135))</f>
        <v>321</v>
      </c>
      <c r="Q135" s="26" t="n">
        <f aca="false">IF(O135="", IF(I135="", "Neither", "Symmetry"), IF(I135="","Harpe", O135-I135))</f>
        <v>312</v>
      </c>
    </row>
    <row r="136" customFormat="false" ht="12.8" hidden="false" customHeight="false" outlineLevel="0" collapsed="false">
      <c r="A136" s="0" t="s">
        <v>47</v>
      </c>
      <c r="B136" s="0" t="n">
        <v>20</v>
      </c>
      <c r="C136" s="0" t="n">
        <v>75216</v>
      </c>
      <c r="D136" s="25" t="n">
        <f aca="false">IF(NOT(ISBLANK(C136)), ROUND(C136/60,0), "")</f>
        <v>1254</v>
      </c>
      <c r="F136" s="0" t="s">
        <v>47</v>
      </c>
      <c r="G136" s="0" t="n">
        <v>20</v>
      </c>
      <c r="H136" s="0" t="n">
        <v>77174</v>
      </c>
      <c r="I136" s="0" t="n">
        <f aca="false">IF(NOT(ISBLANK(H136)), ROUND(H136/60,0), "")</f>
        <v>1286</v>
      </c>
      <c r="J136" s="26" t="n">
        <f aca="false">IF(I136="", IF(D136="", "Neither", "Parallelobox"), IF(D136="","Symmetry", I136-D136))</f>
        <v>32</v>
      </c>
      <c r="K136" s="26"/>
      <c r="L136" s="0" t="s">
        <v>47</v>
      </c>
      <c r="M136" s="0" t="n">
        <v>20</v>
      </c>
      <c r="N136" s="0" t="n">
        <v>111582</v>
      </c>
      <c r="O136" s="0" t="n">
        <f aca="false">IF(NOT(ISBLANK(N136)), ROUND(N136/60,0), "")</f>
        <v>1860</v>
      </c>
      <c r="P136" s="26" t="n">
        <f aca="false">IF(O136="", IF(D136="", "Neither", "Parallelobox"), IF(D136="","Harpe", O136-D136))</f>
        <v>606</v>
      </c>
      <c r="Q136" s="26" t="n">
        <f aca="false">IF(O136="", IF(I136="", "Neither", "Symmetry"), IF(I136="","Harpe", O136-I136))</f>
        <v>574</v>
      </c>
    </row>
    <row r="137" customFormat="false" ht="12.8" hidden="false" customHeight="false" outlineLevel="0" collapsed="false">
      <c r="A137" s="0" t="s">
        <v>47</v>
      </c>
      <c r="B137" s="0" t="n">
        <v>30</v>
      </c>
      <c r="C137" s="0" t="n">
        <v>49274</v>
      </c>
      <c r="D137" s="25" t="n">
        <f aca="false">IF(NOT(ISBLANK(C137)), ROUND(C137/60,0), "")</f>
        <v>821</v>
      </c>
      <c r="F137" s="0" t="s">
        <v>47</v>
      </c>
      <c r="G137" s="0" t="n">
        <v>30</v>
      </c>
      <c r="H137" s="0" t="n">
        <v>56943</v>
      </c>
      <c r="I137" s="0" t="n">
        <f aca="false">IF(NOT(ISBLANK(H137)), ROUND(H137/60,0), "")</f>
        <v>949</v>
      </c>
      <c r="J137" s="26" t="n">
        <f aca="false">IF(I137="", IF(D137="", "Neither", "Parallelobox"), IF(D137="","Symmetry", I137-D137))</f>
        <v>128</v>
      </c>
      <c r="K137" s="26"/>
      <c r="L137" s="0" t="s">
        <v>47</v>
      </c>
      <c r="M137" s="0" t="n">
        <v>30</v>
      </c>
      <c r="N137" s="0" t="n">
        <v>100111</v>
      </c>
      <c r="O137" s="0" t="n">
        <f aca="false">IF(NOT(ISBLANK(N137)), ROUND(N137/60,0), "")</f>
        <v>1669</v>
      </c>
      <c r="P137" s="26" t="n">
        <f aca="false">IF(O137="", IF(D137="", "Neither", "Parallelobox"), IF(D137="","Harpe", O137-D137))</f>
        <v>848</v>
      </c>
      <c r="Q137" s="26" t="n">
        <f aca="false">IF(O137="", IF(I137="", "Neither", "Symmetry"), IF(I137="","Harpe", O137-I137))</f>
        <v>720</v>
      </c>
    </row>
    <row r="138" customFormat="false" ht="12.8" hidden="false" customHeight="false" outlineLevel="0" collapsed="false">
      <c r="A138" s="0" t="s">
        <v>47</v>
      </c>
      <c r="B138" s="0" t="n">
        <v>40</v>
      </c>
      <c r="C138" s="0" t="n">
        <v>35466</v>
      </c>
      <c r="D138" s="25" t="n">
        <f aca="false">IF(NOT(ISBLANK(C138)), ROUND(C138/60,0), "")</f>
        <v>591</v>
      </c>
      <c r="F138" s="0" t="s">
        <v>47</v>
      </c>
      <c r="G138" s="0" t="n">
        <v>40</v>
      </c>
      <c r="H138" s="0" t="n">
        <v>48518</v>
      </c>
      <c r="I138" s="0" t="n">
        <f aca="false">IF(NOT(ISBLANK(H138)), ROUND(H138/60,0), "")</f>
        <v>809</v>
      </c>
      <c r="J138" s="26" t="n">
        <f aca="false">IF(I138="", IF(D138="", "Neither", "Parallelobox"), IF(D138="","Symmetry", I138-D138))</f>
        <v>218</v>
      </c>
      <c r="K138" s="26"/>
      <c r="L138" s="0" t="s">
        <v>47</v>
      </c>
      <c r="M138" s="0" t="n">
        <v>40</v>
      </c>
      <c r="N138" s="0" t="n">
        <v>102603</v>
      </c>
      <c r="O138" s="0" t="n">
        <f aca="false">IF(NOT(ISBLANK(N138)), ROUND(N138/60,0), "")</f>
        <v>1710</v>
      </c>
      <c r="P138" s="26" t="n">
        <f aca="false">IF(O138="", IF(D138="", "Neither", "Parallelobox"), IF(D138="","Harpe", O138-D138))</f>
        <v>1119</v>
      </c>
      <c r="Q138" s="26" t="n">
        <f aca="false">IF(O138="", IF(I138="", "Neither", "Symmetry"), IF(I138="","Harpe", O138-I138))</f>
        <v>901</v>
      </c>
    </row>
    <row r="139" customFormat="false" ht="12.8" hidden="false" customHeight="false" outlineLevel="0" collapsed="false">
      <c r="A139" s="0" t="s">
        <v>47</v>
      </c>
      <c r="B139" s="0" t="n">
        <v>50</v>
      </c>
      <c r="C139" s="0" t="n">
        <v>28728</v>
      </c>
      <c r="D139" s="25" t="n">
        <f aca="false">IF(NOT(ISBLANK(C139)), ROUND(C139/60,0), "")</f>
        <v>479</v>
      </c>
      <c r="F139" s="0" t="s">
        <v>47</v>
      </c>
      <c r="G139" s="0" t="n">
        <v>50</v>
      </c>
      <c r="H139" s="0" t="n">
        <v>35230</v>
      </c>
      <c r="I139" s="0" t="n">
        <f aca="false">IF(NOT(ISBLANK(H139)), ROUND(H139/60,0), "")</f>
        <v>587</v>
      </c>
      <c r="J139" s="26" t="n">
        <f aca="false">IF(I139="", IF(D139="", "Neither", "Parallelobox"), IF(D139="","Symmetry", I139-D139))</f>
        <v>108</v>
      </c>
      <c r="K139" s="26"/>
      <c r="L139" s="0" t="s">
        <v>47</v>
      </c>
      <c r="M139" s="0" t="n">
        <v>50</v>
      </c>
      <c r="P139" s="26" t="str">
        <f aca="false">IF(O139="", IF(D139="", "Neither", "Parallelobox"), IF(D139="","Harpe", O139-D139))</f>
        <v>Parallelobox</v>
      </c>
      <c r="Q139" s="26" t="str">
        <f aca="false">IF(O139="", IF(I139="", "Neither", "Symmetry"), IF(I139="","Harpe", O139-I139))</f>
        <v>Symmetry</v>
      </c>
    </row>
    <row r="140" customFormat="false" ht="12.8" hidden="false" customHeight="false" outlineLevel="0" collapsed="false">
      <c r="A140" s="0" t="s">
        <v>47</v>
      </c>
      <c r="B140" s="0" t="n">
        <v>64</v>
      </c>
      <c r="C140" s="0" t="n">
        <v>25164</v>
      </c>
      <c r="D140" s="25" t="n">
        <f aca="false">IF(NOT(ISBLANK(C140)), ROUND(C140/60,0), "")</f>
        <v>419</v>
      </c>
      <c r="F140" s="0" t="s">
        <v>47</v>
      </c>
      <c r="G140" s="0" t="n">
        <v>64</v>
      </c>
      <c r="H140" s="0" t="n">
        <v>36173</v>
      </c>
      <c r="I140" s="0" t="n">
        <f aca="false">IF(NOT(ISBLANK(H140)), ROUND(H140/60,0), "")</f>
        <v>603</v>
      </c>
      <c r="J140" s="26" t="n">
        <f aca="false">IF(I140="", IF(D140="", "Neither", "Parallelobox"), IF(D140="","Symmetry", I140-D140))</f>
        <v>184</v>
      </c>
      <c r="K140" s="26"/>
      <c r="L140" s="0" t="s">
        <v>47</v>
      </c>
      <c r="M140" s="0" t="n">
        <v>64</v>
      </c>
      <c r="P140" s="26" t="str">
        <f aca="false">IF(O140="", IF(D140="", "Neither", "Parallelobox"), IF(D140="","Harpe", O140-D140))</f>
        <v>Parallelobox</v>
      </c>
      <c r="Q140" s="26" t="str">
        <f aca="false">IF(O140="", IF(I140="", "Neither", "Symmetry"), IF(I140="","Harpe", O140-I140))</f>
        <v>Symmetry</v>
      </c>
    </row>
    <row r="141" customFormat="false" ht="12.8" hidden="false" customHeight="false" outlineLevel="0" collapsed="false">
      <c r="A141" s="0" t="s">
        <v>47</v>
      </c>
      <c r="B141" s="0" t="n">
        <v>82</v>
      </c>
      <c r="C141" s="0" t="n">
        <v>20864</v>
      </c>
      <c r="D141" s="25" t="n">
        <f aca="false">IF(NOT(ISBLANK(C141)), ROUND(C141/60,0), "")</f>
        <v>348</v>
      </c>
      <c r="F141" s="0" t="s">
        <v>47</v>
      </c>
      <c r="G141" s="0" t="n">
        <v>82</v>
      </c>
      <c r="H141" s="0" t="n">
        <v>43459</v>
      </c>
      <c r="I141" s="0" t="n">
        <f aca="false">IF(NOT(ISBLANK(H141)), ROUND(H141/60,0), "")</f>
        <v>724</v>
      </c>
      <c r="J141" s="26" t="n">
        <f aca="false">IF(I141="", IF(D141="", "Neither", "Parallelobox"), IF(D141="","Symmetry", I141-D141))</f>
        <v>376</v>
      </c>
      <c r="K141" s="26"/>
      <c r="L141" s="0" t="s">
        <v>47</v>
      </c>
      <c r="M141" s="0" t="n">
        <v>82</v>
      </c>
      <c r="P141" s="26" t="str">
        <f aca="false">IF(O141="", IF(D141="", "Neither", "Parallelobox"), IF(D141="","Harpe", O141-D141))</f>
        <v>Parallelobox</v>
      </c>
      <c r="Q141" s="26" t="str">
        <f aca="false">IF(O141="", IF(I141="", "Neither", "Symmetry"), IF(I141="","Harpe", O141-I141))</f>
        <v>Symmetry</v>
      </c>
    </row>
    <row r="142" customFormat="false" ht="12.8" hidden="false" customHeight="false" outlineLevel="0" collapsed="false">
      <c r="A142" s="0" t="s">
        <v>47</v>
      </c>
      <c r="B142" s="0" t="n">
        <v>100</v>
      </c>
      <c r="C142" s="0" t="n">
        <v>17476</v>
      </c>
      <c r="D142" s="25" t="n">
        <f aca="false">IF(NOT(ISBLANK(C142)), ROUND(C142/60,0), "")</f>
        <v>291</v>
      </c>
      <c r="F142" s="0" t="s">
        <v>47</v>
      </c>
      <c r="G142" s="0" t="n">
        <v>100</v>
      </c>
      <c r="H142" s="0" t="n">
        <v>32003</v>
      </c>
      <c r="I142" s="0" t="n">
        <f aca="false">IF(NOT(ISBLANK(H142)), ROUND(H142/60,0), "")</f>
        <v>533</v>
      </c>
      <c r="J142" s="26" t="n">
        <f aca="false">IF(I142="", IF(D142="", "Neither", "Parallelobox"), IF(D142="","Symmetry", I142-D142))</f>
        <v>242</v>
      </c>
      <c r="K142" s="26"/>
      <c r="L142" s="0" t="s">
        <v>47</v>
      </c>
      <c r="M142" s="0" t="n">
        <v>100</v>
      </c>
      <c r="N142" s="0" t="n">
        <v>88225</v>
      </c>
      <c r="O142" s="0" t="n">
        <f aca="false">IF(NOT(ISBLANK(N142)), ROUND(N142/60,0), "")</f>
        <v>1470</v>
      </c>
      <c r="P142" s="26" t="n">
        <f aca="false">IF(O142="", IF(D142="", "Neither", "Parallelobox"), IF(D142="","Harpe", O142-D142))</f>
        <v>1179</v>
      </c>
      <c r="Q142" s="26" t="n">
        <f aca="false">IF(O142="", IF(I142="", "Neither", "Symmetry"), IF(I142="","Harpe", O142-I142))</f>
        <v>937</v>
      </c>
    </row>
    <row r="143" customFormat="false" ht="12.8" hidden="false" customHeight="false" outlineLevel="0" collapsed="false">
      <c r="A143" s="0" t="s">
        <v>45</v>
      </c>
      <c r="B143" s="0" t="n">
        <v>5</v>
      </c>
      <c r="D143" s="25" t="str">
        <f aca="false">IF(NOT(ISBLANK(C143)), ROUND(C143/60,0), "")</f>
        <v/>
      </c>
      <c r="F143" s="0" t="s">
        <v>45</v>
      </c>
      <c r="G143" s="0" t="n">
        <v>5</v>
      </c>
      <c r="J143" s="26"/>
      <c r="K143" s="26"/>
      <c r="L143" s="0" t="s">
        <v>45</v>
      </c>
      <c r="P143" s="26"/>
      <c r="Q143" s="26"/>
    </row>
    <row r="144" customFormat="false" ht="12.8" hidden="false" customHeight="false" outlineLevel="0" collapsed="false">
      <c r="A144" s="0" t="s">
        <v>45</v>
      </c>
      <c r="B144" s="0" t="n">
        <v>10</v>
      </c>
      <c r="D144" s="25" t="str">
        <f aca="false">IF(NOT(ISBLANK(C144)), ROUND(C144/60,0), "")</f>
        <v/>
      </c>
      <c r="F144" s="0" t="s">
        <v>45</v>
      </c>
      <c r="G144" s="0" t="n">
        <v>10</v>
      </c>
      <c r="H144" s="0" t="n">
        <v>242998</v>
      </c>
      <c r="J144" s="26"/>
      <c r="K144" s="26"/>
      <c r="L144" s="0" t="s">
        <v>45</v>
      </c>
      <c r="P144" s="26"/>
      <c r="Q144" s="26"/>
    </row>
    <row r="145" customFormat="false" ht="12.8" hidden="false" customHeight="false" outlineLevel="0" collapsed="false">
      <c r="A145" s="0" t="s">
        <v>45</v>
      </c>
      <c r="B145" s="0" t="n">
        <v>15</v>
      </c>
      <c r="C145" s="0" t="n">
        <v>185407</v>
      </c>
      <c r="D145" s="25" t="n">
        <f aca="false">IF(NOT(ISBLANK(C145)), ROUND(C145/60,0), "")</f>
        <v>3090</v>
      </c>
      <c r="F145" s="0" t="s">
        <v>45</v>
      </c>
      <c r="G145" s="0" t="n">
        <v>15</v>
      </c>
      <c r="J145" s="26"/>
      <c r="K145" s="26"/>
      <c r="L145" s="0" t="s">
        <v>45</v>
      </c>
      <c r="P145" s="26"/>
      <c r="Q145" s="26"/>
    </row>
    <row r="146" customFormat="false" ht="12.8" hidden="false" customHeight="false" outlineLevel="0" collapsed="false">
      <c r="A146" s="0" t="s">
        <v>45</v>
      </c>
      <c r="B146" s="0" t="n">
        <v>20</v>
      </c>
      <c r="C146" s="0" t="n">
        <v>130324</v>
      </c>
      <c r="D146" s="25" t="n">
        <f aca="false">IF(NOT(ISBLANK(C146)), ROUND(C146/60,0), "")</f>
        <v>2172</v>
      </c>
      <c r="F146" s="0" t="s">
        <v>45</v>
      </c>
      <c r="G146" s="0" t="n">
        <v>20</v>
      </c>
      <c r="J146" s="26"/>
      <c r="K146" s="26"/>
      <c r="L146" s="0" t="s">
        <v>45</v>
      </c>
      <c r="P146" s="26"/>
      <c r="Q146" s="26"/>
    </row>
    <row r="147" customFormat="false" ht="12.8" hidden="false" customHeight="false" outlineLevel="0" collapsed="false">
      <c r="A147" s="0" t="s">
        <v>45</v>
      </c>
      <c r="B147" s="0" t="n">
        <v>30</v>
      </c>
      <c r="C147" s="0" t="n">
        <v>133995</v>
      </c>
      <c r="D147" s="25" t="n">
        <f aca="false">IF(NOT(ISBLANK(C147)), ROUND(C147/60,0), "")</f>
        <v>2233</v>
      </c>
      <c r="F147" s="0" t="s">
        <v>45</v>
      </c>
      <c r="G147" s="0" t="n">
        <v>30</v>
      </c>
      <c r="J147" s="26"/>
      <c r="K147" s="26"/>
      <c r="L147" s="0" t="s">
        <v>45</v>
      </c>
      <c r="P147" s="26"/>
      <c r="Q147" s="26"/>
    </row>
    <row r="148" customFormat="false" ht="12.8" hidden="false" customHeight="false" outlineLevel="0" collapsed="false">
      <c r="A148" s="0" t="s">
        <v>45</v>
      </c>
      <c r="B148" s="0" t="n">
        <v>40</v>
      </c>
      <c r="C148" s="0" t="n">
        <v>80342</v>
      </c>
      <c r="D148" s="25" t="n">
        <f aca="false">IF(NOT(ISBLANK(C148)), ROUND(C148/60,0), "")</f>
        <v>1339</v>
      </c>
      <c r="F148" s="0" t="s">
        <v>45</v>
      </c>
      <c r="G148" s="0" t="n">
        <v>40</v>
      </c>
      <c r="J148" s="26"/>
      <c r="K148" s="26"/>
      <c r="L148" s="0" t="s">
        <v>45</v>
      </c>
      <c r="P148" s="26"/>
      <c r="Q148" s="26"/>
    </row>
    <row r="149" customFormat="false" ht="12.8" hidden="false" customHeight="false" outlineLevel="0" collapsed="false">
      <c r="A149" s="0" t="s">
        <v>45</v>
      </c>
      <c r="B149" s="0" t="n">
        <v>50</v>
      </c>
      <c r="C149" s="0" t="n">
        <v>68149</v>
      </c>
      <c r="D149" s="25" t="n">
        <f aca="false">IF(NOT(ISBLANK(C149)), ROUND(C149/60,0), "")</f>
        <v>1136</v>
      </c>
      <c r="F149" s="0" t="s">
        <v>45</v>
      </c>
      <c r="G149" s="0" t="n">
        <v>50</v>
      </c>
      <c r="J149" s="26"/>
      <c r="K149" s="26"/>
      <c r="L149" s="0" t="s">
        <v>45</v>
      </c>
      <c r="P149" s="26"/>
      <c r="Q149" s="26"/>
    </row>
    <row r="150" customFormat="false" ht="12.8" hidden="false" customHeight="false" outlineLevel="0" collapsed="false">
      <c r="A150" s="0" t="s">
        <v>45</v>
      </c>
      <c r="B150" s="0" t="n">
        <v>64</v>
      </c>
      <c r="C150" s="0" t="n">
        <v>49839</v>
      </c>
      <c r="D150" s="25" t="n">
        <f aca="false">IF(NOT(ISBLANK(C150)), ROUND(C150/60,0), "")</f>
        <v>831</v>
      </c>
      <c r="F150" s="0" t="s">
        <v>45</v>
      </c>
      <c r="G150" s="0" t="n">
        <v>64</v>
      </c>
      <c r="J150" s="26"/>
      <c r="K150" s="26"/>
      <c r="L150" s="0" t="s">
        <v>45</v>
      </c>
      <c r="P150" s="26"/>
      <c r="Q150" s="26"/>
    </row>
    <row r="151" customFormat="false" ht="12.8" hidden="false" customHeight="false" outlineLevel="0" collapsed="false">
      <c r="A151" s="0" t="s">
        <v>45</v>
      </c>
      <c r="B151" s="0" t="n">
        <v>82</v>
      </c>
      <c r="C151" s="0" t="n">
        <v>49573</v>
      </c>
      <c r="D151" s="25" t="n">
        <f aca="false">IF(NOT(ISBLANK(C151)), ROUND(C151/60,0), "")</f>
        <v>826</v>
      </c>
      <c r="F151" s="0" t="s">
        <v>45</v>
      </c>
      <c r="G151" s="0" t="n">
        <v>82</v>
      </c>
      <c r="J151" s="26"/>
      <c r="K151" s="26"/>
      <c r="L151" s="0" t="s">
        <v>45</v>
      </c>
      <c r="P151" s="26"/>
      <c r="Q151" s="26"/>
    </row>
    <row r="152" customFormat="false" ht="12.8" hidden="false" customHeight="false" outlineLevel="0" collapsed="false">
      <c r="A152" s="0" t="s">
        <v>45</v>
      </c>
      <c r="B152" s="0" t="n">
        <v>100</v>
      </c>
      <c r="C152" s="0" t="n">
        <v>36093</v>
      </c>
      <c r="D152" s="25" t="n">
        <f aca="false">IF(NOT(ISBLANK(C152)), ROUND(C152/60,0), "")</f>
        <v>602</v>
      </c>
      <c r="F152" s="0" t="s">
        <v>45</v>
      </c>
      <c r="G152" s="0" t="n">
        <v>100</v>
      </c>
      <c r="J152" s="26"/>
      <c r="K152" s="26"/>
      <c r="L152" s="0" t="s">
        <v>45</v>
      </c>
      <c r="P152" s="26"/>
      <c r="Q152" s="26"/>
    </row>
    <row r="153" customFormat="false" ht="12.8" hidden="false" customHeight="false" outlineLevel="0" collapsed="false">
      <c r="A153" s="0" t="s">
        <v>48</v>
      </c>
      <c r="B153" s="0" t="n">
        <v>5</v>
      </c>
      <c r="D153" s="25" t="str">
        <f aca="false">IF(NOT(ISBLANK(C153)), ROUND(C153/60,0), "")</f>
        <v/>
      </c>
      <c r="F153" s="0" t="s">
        <v>48</v>
      </c>
      <c r="G153" s="0" t="n">
        <v>5</v>
      </c>
      <c r="H153" s="0" t="n">
        <v>98922</v>
      </c>
      <c r="I153" s="0" t="n">
        <f aca="false">IF(NOT(ISBLANK(H153)), ROUND(H153/60,0), "")</f>
        <v>1649</v>
      </c>
      <c r="J153" s="26" t="str">
        <f aca="false">IF(I153="", IF(D153="", "Neither", "Parallelobox"), IF(D153="","Symmetry", I153-D153))</f>
        <v>Symmetry</v>
      </c>
      <c r="K153" s="26"/>
      <c r="L153" s="0" t="s">
        <v>48</v>
      </c>
      <c r="M153" s="0" t="n">
        <v>5</v>
      </c>
      <c r="N153" s="0" t="n">
        <v>104716</v>
      </c>
      <c r="O153" s="0" t="n">
        <f aca="false">IF(NOT(ISBLANK(N153)), ROUND(N153/60,0), "")</f>
        <v>1745</v>
      </c>
      <c r="P153" s="26" t="str">
        <f aca="false">IF(O153="", IF(D153="", "Neither", "Parallelobox"), IF(D153="","Harpe", O153-D153))</f>
        <v>Harpe</v>
      </c>
      <c r="Q153" s="26" t="n">
        <f aca="false">IF(O153="", IF(I153="", "Neither", "Symmetry"), IF(I153="","Harpe", O153-I153))</f>
        <v>96</v>
      </c>
    </row>
    <row r="154" customFormat="false" ht="12.8" hidden="false" customHeight="false" outlineLevel="0" collapsed="false">
      <c r="A154" s="0" t="s">
        <v>48</v>
      </c>
      <c r="B154" s="0" t="n">
        <v>10</v>
      </c>
      <c r="C154" s="0" t="n">
        <v>79360</v>
      </c>
      <c r="D154" s="25" t="n">
        <f aca="false">IF(NOT(ISBLANK(C154)), ROUND(C154/60,0), "")</f>
        <v>1323</v>
      </c>
      <c r="F154" s="0" t="s">
        <v>48</v>
      </c>
      <c r="G154" s="0" t="n">
        <v>10</v>
      </c>
      <c r="H154" s="0" t="n">
        <v>84328</v>
      </c>
      <c r="I154" s="0" t="n">
        <f aca="false">IF(NOT(ISBLANK(H154)), ROUND(H154/60,0), "")</f>
        <v>1405</v>
      </c>
      <c r="J154" s="26" t="n">
        <f aca="false">IF(I154="", IF(D154="", "Neither", "Parallelobox"), IF(D154="","Symmetry", I154-D154))</f>
        <v>82</v>
      </c>
      <c r="K154" s="26"/>
      <c r="L154" s="0" t="s">
        <v>48</v>
      </c>
      <c r="M154" s="0" t="n">
        <v>10</v>
      </c>
      <c r="N154" s="0" t="n">
        <v>80430</v>
      </c>
      <c r="O154" s="0" t="n">
        <f aca="false">IF(NOT(ISBLANK(N154)), ROUND(N154/60,0), "")</f>
        <v>1341</v>
      </c>
      <c r="P154" s="26" t="n">
        <f aca="false">IF(O154="", IF(D154="", "Neither", "Parallelobox"), IF(D154="","Harpe", O154-D154))</f>
        <v>18</v>
      </c>
      <c r="Q154" s="26" t="n">
        <f aca="false">IF(O154="", IF(I154="", "Neither", "Symmetry"), IF(I154="","Harpe", O154-I154))</f>
        <v>-64</v>
      </c>
    </row>
    <row r="155" customFormat="false" ht="12.8" hidden="false" customHeight="false" outlineLevel="0" collapsed="false">
      <c r="A155" s="0" t="s">
        <v>48</v>
      </c>
      <c r="B155" s="0" t="n">
        <v>15</v>
      </c>
      <c r="C155" s="0" t="n">
        <v>47402</v>
      </c>
      <c r="D155" s="25" t="n">
        <f aca="false">IF(NOT(ISBLANK(C155)), ROUND(C155/60,0), "")</f>
        <v>790</v>
      </c>
      <c r="F155" s="0" t="s">
        <v>48</v>
      </c>
      <c r="G155" s="0" t="n">
        <v>15</v>
      </c>
      <c r="H155" s="0" t="n">
        <v>59088</v>
      </c>
      <c r="I155" s="0" t="n">
        <f aca="false">IF(NOT(ISBLANK(H155)), ROUND(H155/60,0), "")</f>
        <v>985</v>
      </c>
      <c r="J155" s="26" t="n">
        <f aca="false">IF(I155="", IF(D155="", "Neither", "Parallelobox"), IF(D155="","Symmetry", I155-D155))</f>
        <v>195</v>
      </c>
      <c r="K155" s="26"/>
      <c r="L155" s="0" t="s">
        <v>48</v>
      </c>
      <c r="M155" s="0" t="n">
        <v>15</v>
      </c>
      <c r="N155" s="0" t="n">
        <v>69357</v>
      </c>
      <c r="O155" s="0" t="n">
        <f aca="false">IF(NOT(ISBLANK(N155)), ROUND(N155/60,0), "")</f>
        <v>1156</v>
      </c>
      <c r="P155" s="26" t="n">
        <f aca="false">IF(O155="", IF(D155="", "Neither", "Parallelobox"), IF(D155="","Harpe", O155-D155))</f>
        <v>366</v>
      </c>
      <c r="Q155" s="26" t="n">
        <f aca="false">IF(O155="", IF(I155="", "Neither", "Symmetry"), IF(I155="","Harpe", O155-I155))</f>
        <v>171</v>
      </c>
    </row>
    <row r="156" customFormat="false" ht="12.8" hidden="false" customHeight="false" outlineLevel="0" collapsed="false">
      <c r="A156" s="0" t="s">
        <v>48</v>
      </c>
      <c r="B156" s="0" t="n">
        <v>20</v>
      </c>
      <c r="C156" s="0" t="n">
        <v>50345</v>
      </c>
      <c r="D156" s="25" t="n">
        <f aca="false">IF(NOT(ISBLANK(C156)), ROUND(C156/60,0), "")</f>
        <v>839</v>
      </c>
      <c r="F156" s="0" t="s">
        <v>48</v>
      </c>
      <c r="G156" s="0" t="n">
        <v>20</v>
      </c>
      <c r="H156" s="0" t="n">
        <v>58164</v>
      </c>
      <c r="I156" s="0" t="n">
        <f aca="false">IF(NOT(ISBLANK(H156)), ROUND(H156/60,0), "")</f>
        <v>969</v>
      </c>
      <c r="J156" s="26" t="n">
        <f aca="false">IF(I156="", IF(D156="", "Neither", "Parallelobox"), IF(D156="","Symmetry", I156-D156))</f>
        <v>130</v>
      </c>
      <c r="K156" s="26"/>
      <c r="L156" s="0" t="s">
        <v>48</v>
      </c>
      <c r="M156" s="0" t="n">
        <v>20</v>
      </c>
      <c r="N156" s="0" t="n">
        <v>63469</v>
      </c>
      <c r="O156" s="0" t="n">
        <f aca="false">IF(NOT(ISBLANK(N156)), ROUND(N156/60,0), "")</f>
        <v>1058</v>
      </c>
      <c r="P156" s="26" t="n">
        <f aca="false">IF(O156="", IF(D156="", "Neither", "Parallelobox"), IF(D156="","Harpe", O156-D156))</f>
        <v>219</v>
      </c>
      <c r="Q156" s="26" t="n">
        <f aca="false">IF(O156="", IF(I156="", "Neither", "Symmetry"), IF(I156="","Harpe", O156-I156))</f>
        <v>89</v>
      </c>
    </row>
    <row r="157" customFormat="false" ht="12.8" hidden="false" customHeight="false" outlineLevel="0" collapsed="false">
      <c r="A157" s="0" t="s">
        <v>48</v>
      </c>
      <c r="B157" s="0" t="n">
        <v>30</v>
      </c>
      <c r="C157" s="0" t="n">
        <v>31484</v>
      </c>
      <c r="D157" s="25" t="n">
        <f aca="false">IF(NOT(ISBLANK(C157)), ROUND(C157/60,0), "")</f>
        <v>525</v>
      </c>
      <c r="F157" s="0" t="s">
        <v>48</v>
      </c>
      <c r="G157" s="0" t="n">
        <v>30</v>
      </c>
      <c r="H157" s="0" t="n">
        <v>54217</v>
      </c>
      <c r="I157" s="0" t="n">
        <f aca="false">IF(NOT(ISBLANK(H157)), ROUND(H157/60,0), "")</f>
        <v>904</v>
      </c>
      <c r="J157" s="26" t="n">
        <f aca="false">IF(I157="", IF(D157="", "Neither", "Parallelobox"), IF(D157="","Symmetry", I157-D157))</f>
        <v>379</v>
      </c>
      <c r="K157" s="26"/>
      <c r="L157" s="0" t="s">
        <v>48</v>
      </c>
      <c r="M157" s="0" t="n">
        <v>30</v>
      </c>
      <c r="N157" s="0" t="n">
        <v>56417</v>
      </c>
      <c r="O157" s="0" t="n">
        <f aca="false">IF(NOT(ISBLANK(N157)), ROUND(N157/60,0), "")</f>
        <v>940</v>
      </c>
      <c r="P157" s="26" t="n">
        <f aca="false">IF(O157="", IF(D157="", "Neither", "Parallelobox"), IF(D157="","Harpe", O157-D157))</f>
        <v>415</v>
      </c>
      <c r="Q157" s="26" t="n">
        <f aca="false">IF(O157="", IF(I157="", "Neither", "Symmetry"), IF(I157="","Harpe", O157-I157))</f>
        <v>36</v>
      </c>
    </row>
    <row r="158" customFormat="false" ht="12.8" hidden="false" customHeight="false" outlineLevel="0" collapsed="false">
      <c r="A158" s="0" t="s">
        <v>48</v>
      </c>
      <c r="B158" s="0" t="n">
        <v>40</v>
      </c>
      <c r="C158" s="0" t="n">
        <v>22517</v>
      </c>
      <c r="D158" s="25" t="n">
        <f aca="false">IF(NOT(ISBLANK(C158)), ROUND(C158/60,0), "")</f>
        <v>375</v>
      </c>
      <c r="F158" s="0" t="s">
        <v>48</v>
      </c>
      <c r="G158" s="0" t="n">
        <v>40</v>
      </c>
      <c r="H158" s="0" t="n">
        <v>39729</v>
      </c>
      <c r="I158" s="0" t="n">
        <f aca="false">IF(NOT(ISBLANK(H158)), ROUND(H158/60,0), "")</f>
        <v>662</v>
      </c>
      <c r="J158" s="26" t="n">
        <f aca="false">IF(I158="", IF(D158="", "Neither", "Parallelobox"), IF(D158="","Symmetry", I158-D158))</f>
        <v>287</v>
      </c>
      <c r="K158" s="26"/>
      <c r="L158" s="0" t="s">
        <v>48</v>
      </c>
      <c r="M158" s="0" t="n">
        <v>40</v>
      </c>
      <c r="P158" s="26" t="str">
        <f aca="false">IF(O158="", IF(D158="", "Neither", "Parallelobox"), IF(D158="","Harpe", O158-D158))</f>
        <v>Parallelobox</v>
      </c>
      <c r="Q158" s="26" t="str">
        <f aca="false">IF(O158="", IF(I158="", "Neither", "Symmetry"), IF(I158="","Harpe", O158-I158))</f>
        <v>Symmetry</v>
      </c>
    </row>
    <row r="159" customFormat="false" ht="12.8" hidden="false" customHeight="false" outlineLevel="0" collapsed="false">
      <c r="A159" s="0" t="s">
        <v>48</v>
      </c>
      <c r="B159" s="0" t="n">
        <v>50</v>
      </c>
      <c r="C159" s="0" t="n">
        <v>23761</v>
      </c>
      <c r="D159" s="25" t="n">
        <f aca="false">IF(NOT(ISBLANK(C159)), ROUND(C159/60,0), "")</f>
        <v>396</v>
      </c>
      <c r="F159" s="0" t="s">
        <v>48</v>
      </c>
      <c r="G159" s="0" t="n">
        <v>50</v>
      </c>
      <c r="H159" s="0" t="n">
        <v>42124</v>
      </c>
      <c r="I159" s="0" t="n">
        <f aca="false">IF(NOT(ISBLANK(H159)), ROUND(H159/60,0), "")</f>
        <v>702</v>
      </c>
      <c r="J159" s="26" t="n">
        <f aca="false">IF(I159="", IF(D159="", "Neither", "Parallelobox"), IF(D159="","Symmetry", I159-D159))</f>
        <v>306</v>
      </c>
      <c r="K159" s="26"/>
      <c r="L159" s="0" t="s">
        <v>48</v>
      </c>
      <c r="M159" s="0" t="n">
        <v>50</v>
      </c>
      <c r="N159" s="0" t="n">
        <v>58334</v>
      </c>
      <c r="O159" s="0" t="n">
        <f aca="false">IF(NOT(ISBLANK(N159)), ROUND(N159/60,0), "")</f>
        <v>972</v>
      </c>
      <c r="P159" s="26" t="n">
        <f aca="false">IF(O159="", IF(D159="", "Neither", "Parallelobox"), IF(D159="","Harpe", O159-D159))</f>
        <v>576</v>
      </c>
      <c r="Q159" s="26" t="n">
        <f aca="false">IF(O159="", IF(I159="", "Neither", "Symmetry"), IF(I159="","Harpe", O159-I159))</f>
        <v>270</v>
      </c>
    </row>
    <row r="160" customFormat="false" ht="12.8" hidden="false" customHeight="false" outlineLevel="0" collapsed="false">
      <c r="A160" s="0" t="s">
        <v>48</v>
      </c>
      <c r="B160" s="0" t="n">
        <v>64</v>
      </c>
      <c r="C160" s="0" t="n">
        <v>17557</v>
      </c>
      <c r="D160" s="25" t="n">
        <f aca="false">IF(NOT(ISBLANK(C160)), ROUND(C160/60,0), "")</f>
        <v>293</v>
      </c>
      <c r="F160" s="0" t="s">
        <v>48</v>
      </c>
      <c r="G160" s="0" t="n">
        <v>64</v>
      </c>
      <c r="H160" s="0" t="n">
        <v>34884</v>
      </c>
      <c r="I160" s="0" t="n">
        <f aca="false">IF(NOT(ISBLANK(H160)), ROUND(H160/60,0), "")</f>
        <v>581</v>
      </c>
      <c r="J160" s="26" t="n">
        <f aca="false">IF(I160="", IF(D160="", "Neither", "Parallelobox"), IF(D160="","Symmetry", I160-D160))</f>
        <v>288</v>
      </c>
      <c r="K160" s="26"/>
      <c r="L160" s="0" t="s">
        <v>48</v>
      </c>
      <c r="M160" s="0" t="n">
        <v>64</v>
      </c>
      <c r="P160" s="26" t="str">
        <f aca="false">IF(O160="", IF(D160="", "Neither", "Parallelobox"), IF(D160="","Harpe", O160-D160))</f>
        <v>Parallelobox</v>
      </c>
      <c r="Q160" s="26" t="str">
        <f aca="false">IF(O160="", IF(I160="", "Neither", "Symmetry"), IF(I160="","Harpe", O160-I160))</f>
        <v>Symmetry</v>
      </c>
    </row>
    <row r="161" customFormat="false" ht="12.8" hidden="false" customHeight="false" outlineLevel="0" collapsed="false">
      <c r="A161" s="0" t="s">
        <v>48</v>
      </c>
      <c r="B161" s="0" t="n">
        <v>82</v>
      </c>
      <c r="C161" s="0" t="n">
        <v>14783</v>
      </c>
      <c r="D161" s="25" t="n">
        <f aca="false">IF(NOT(ISBLANK(C161)), ROUND(C161/60,0), "")</f>
        <v>246</v>
      </c>
      <c r="F161" s="0" t="s">
        <v>48</v>
      </c>
      <c r="G161" s="0" t="n">
        <v>82</v>
      </c>
      <c r="H161" s="0" t="n">
        <v>24134</v>
      </c>
      <c r="I161" s="0" t="n">
        <f aca="false">IF(NOT(ISBLANK(H161)), ROUND(H161/60,0), "")</f>
        <v>402</v>
      </c>
      <c r="J161" s="26" t="n">
        <f aca="false">IF(I161="", IF(D161="", "Neither", "Parallelobox"), IF(D161="","Symmetry", I161-D161))</f>
        <v>156</v>
      </c>
      <c r="K161" s="26"/>
      <c r="L161" s="0" t="s">
        <v>48</v>
      </c>
      <c r="M161" s="0" t="n">
        <v>82</v>
      </c>
      <c r="P161" s="26" t="str">
        <f aca="false">IF(O161="", IF(D161="", "Neither", "Parallelobox"), IF(D161="","Harpe", O161-D161))</f>
        <v>Parallelobox</v>
      </c>
      <c r="Q161" s="26" t="str">
        <f aca="false">IF(O161="", IF(I161="", "Neither", "Symmetry"), IF(I161="","Harpe", O161-I161))</f>
        <v>Symmetry</v>
      </c>
    </row>
    <row r="162" customFormat="false" ht="12.8" hidden="false" customHeight="false" outlineLevel="0" collapsed="false">
      <c r="A162" s="0" t="s">
        <v>48</v>
      </c>
      <c r="B162" s="0" t="n">
        <v>100</v>
      </c>
      <c r="C162" s="0" t="n">
        <v>11074</v>
      </c>
      <c r="D162" s="25" t="n">
        <f aca="false">IF(NOT(ISBLANK(C162)), ROUND(C162/60,0), "")</f>
        <v>185</v>
      </c>
      <c r="F162" s="0" t="s">
        <v>48</v>
      </c>
      <c r="G162" s="0" t="n">
        <v>100</v>
      </c>
      <c r="H162" s="0" t="n">
        <v>29742</v>
      </c>
      <c r="I162" s="0" t="n">
        <f aca="false">IF(NOT(ISBLANK(H162)), ROUND(H162/60,0), "")</f>
        <v>496</v>
      </c>
      <c r="J162" s="26" t="n">
        <f aca="false">IF(I162="", IF(D162="", "Neither", "Parallelobox"), IF(D162="","Symmetry", I162-D162))</f>
        <v>311</v>
      </c>
      <c r="K162" s="26"/>
      <c r="L162" s="0" t="s">
        <v>48</v>
      </c>
      <c r="M162" s="0" t="n">
        <v>100</v>
      </c>
      <c r="P162" s="26" t="str">
        <f aca="false">IF(O162="", IF(D162="", "Neither", "Parallelobox"), IF(D162="","Harpe", O162-D162))</f>
        <v>Parallelobox</v>
      </c>
      <c r="Q162" s="26" t="str">
        <f aca="false">IF(O162="", IF(I162="", "Neither", "Symmetry"), IF(I162="","Harpe", O162-I162))</f>
        <v>Symmetry</v>
      </c>
    </row>
    <row r="163" customFormat="false" ht="12.8" hidden="false" customHeight="false" outlineLevel="0" collapsed="false">
      <c r="A163" s="0" t="s">
        <v>49</v>
      </c>
      <c r="B163" s="0" t="n">
        <v>5</v>
      </c>
      <c r="D163" s="25" t="str">
        <f aca="false">IF(NOT(ISBLANK(C163)), ROUND(C163/60,0), "")</f>
        <v/>
      </c>
      <c r="F163" s="0" t="s">
        <v>49</v>
      </c>
      <c r="G163" s="0" t="n">
        <v>5</v>
      </c>
      <c r="H163" s="0" t="n">
        <v>72045</v>
      </c>
      <c r="I163" s="0" t="n">
        <f aca="false">IF(NOT(ISBLANK(H163)), ROUND(H163/60,0), "")</f>
        <v>1201</v>
      </c>
      <c r="J163" s="26" t="str">
        <f aca="false">IF(I163="", IF(D163="", "Neither", "Parallelobox"), IF(D163="","Symmetry", I163-D163))</f>
        <v>Symmetry</v>
      </c>
      <c r="K163" s="26"/>
      <c r="L163" s="0" t="s">
        <v>49</v>
      </c>
      <c r="M163" s="0" t="n">
        <v>5</v>
      </c>
      <c r="N163" s="0" t="n">
        <v>78772</v>
      </c>
      <c r="O163" s="0" t="n">
        <f aca="false">IF(NOT(ISBLANK(N163)), ROUND(N163/60,0), "")</f>
        <v>1313</v>
      </c>
      <c r="P163" s="26" t="str">
        <f aca="false">IF(O163="", IF(D163="", "Neither", "Parallelobox"), IF(D163="","Harpe", O163-D163))</f>
        <v>Harpe</v>
      </c>
      <c r="Q163" s="26" t="n">
        <f aca="false">IF(O163="", IF(I163="", "Neither", "Symmetry"), IF(I163="","Harpe", O163-I163))</f>
        <v>112</v>
      </c>
    </row>
    <row r="164" customFormat="false" ht="12.8" hidden="false" customHeight="false" outlineLevel="0" collapsed="false">
      <c r="A164" s="0" t="s">
        <v>49</v>
      </c>
      <c r="B164" s="0" t="n">
        <v>10</v>
      </c>
      <c r="C164" s="0" t="n">
        <v>49417</v>
      </c>
      <c r="D164" s="25" t="n">
        <f aca="false">IF(NOT(ISBLANK(C164)), ROUND(C164/60,0), "")</f>
        <v>824</v>
      </c>
      <c r="F164" s="0" t="s">
        <v>49</v>
      </c>
      <c r="G164" s="0" t="n">
        <v>10</v>
      </c>
      <c r="H164" s="0" t="n">
        <v>53760</v>
      </c>
      <c r="I164" s="0" t="n">
        <f aca="false">IF(NOT(ISBLANK(H164)), ROUND(H164/60,0), "")</f>
        <v>896</v>
      </c>
      <c r="J164" s="26" t="n">
        <f aca="false">IF(I164="", IF(D164="", "Neither", "Parallelobox"), IF(D164="","Symmetry", I164-D164))</f>
        <v>72</v>
      </c>
      <c r="K164" s="26"/>
      <c r="L164" s="0" t="s">
        <v>49</v>
      </c>
      <c r="M164" s="0" t="n">
        <v>10</v>
      </c>
      <c r="N164" s="0" t="n">
        <v>53322</v>
      </c>
      <c r="O164" s="0" t="n">
        <f aca="false">IF(NOT(ISBLANK(N164)), ROUND(N164/60,0), "")</f>
        <v>889</v>
      </c>
      <c r="P164" s="26" t="n">
        <f aca="false">IF(O164="", IF(D164="", "Neither", "Parallelobox"), IF(D164="","Harpe", O164-D164))</f>
        <v>65</v>
      </c>
      <c r="Q164" s="26" t="n">
        <f aca="false">IF(O164="", IF(I164="", "Neither", "Symmetry"), IF(I164="","Harpe", O164-I164))</f>
        <v>-7</v>
      </c>
    </row>
    <row r="165" customFormat="false" ht="12.8" hidden="false" customHeight="false" outlineLevel="0" collapsed="false">
      <c r="A165" s="0" t="s">
        <v>49</v>
      </c>
      <c r="B165" s="0" t="n">
        <v>15</v>
      </c>
      <c r="C165" s="0" t="n">
        <v>35206</v>
      </c>
      <c r="D165" s="25" t="n">
        <f aca="false">IF(NOT(ISBLANK(C165)), ROUND(C165/60,0), "")</f>
        <v>587</v>
      </c>
      <c r="F165" s="0" t="s">
        <v>49</v>
      </c>
      <c r="G165" s="0" t="n">
        <v>15</v>
      </c>
      <c r="H165" s="0" t="n">
        <v>39474</v>
      </c>
      <c r="I165" s="0" t="n">
        <f aca="false">IF(NOT(ISBLANK(H165)), ROUND(H165/60,0), "")</f>
        <v>658</v>
      </c>
      <c r="J165" s="26" t="n">
        <f aca="false">IF(I165="", IF(D165="", "Neither", "Parallelobox"), IF(D165="","Symmetry", I165-D165))</f>
        <v>71</v>
      </c>
      <c r="K165" s="26"/>
      <c r="L165" s="0" t="s">
        <v>49</v>
      </c>
      <c r="M165" s="0" t="n">
        <v>15</v>
      </c>
      <c r="N165" s="0" t="n">
        <v>48875</v>
      </c>
      <c r="O165" s="0" t="n">
        <f aca="false">IF(NOT(ISBLANK(N165)), ROUND(N165/60,0), "")</f>
        <v>815</v>
      </c>
      <c r="P165" s="26" t="n">
        <f aca="false">IF(O165="", IF(D165="", "Neither", "Parallelobox"), IF(D165="","Harpe", O165-D165))</f>
        <v>228</v>
      </c>
      <c r="Q165" s="26" t="n">
        <f aca="false">IF(O165="", IF(I165="", "Neither", "Symmetry"), IF(I165="","Harpe", O165-I165))</f>
        <v>157</v>
      </c>
    </row>
    <row r="166" customFormat="false" ht="12.8" hidden="false" customHeight="false" outlineLevel="0" collapsed="false">
      <c r="A166" s="0" t="s">
        <v>49</v>
      </c>
      <c r="B166" s="0" t="n">
        <v>20</v>
      </c>
      <c r="C166" s="0" t="n">
        <v>26913</v>
      </c>
      <c r="D166" s="25" t="n">
        <f aca="false">IF(NOT(ISBLANK(C166)), ROUND(C166/60,0), "")</f>
        <v>449</v>
      </c>
      <c r="F166" s="0" t="s">
        <v>49</v>
      </c>
      <c r="G166" s="0" t="n">
        <v>20</v>
      </c>
      <c r="H166" s="0" t="n">
        <v>38584</v>
      </c>
      <c r="I166" s="0" t="n">
        <f aca="false">IF(NOT(ISBLANK(H166)), ROUND(H166/60,0), "")</f>
        <v>643</v>
      </c>
      <c r="J166" s="26" t="n">
        <f aca="false">IF(I166="", IF(D166="", "Neither", "Parallelobox"), IF(D166="","Symmetry", I166-D166))</f>
        <v>194</v>
      </c>
      <c r="K166" s="26"/>
      <c r="L166" s="0" t="s">
        <v>49</v>
      </c>
      <c r="M166" s="0" t="n">
        <v>20</v>
      </c>
      <c r="N166" s="0" t="n">
        <v>45164</v>
      </c>
      <c r="O166" s="0" t="n">
        <f aca="false">IF(NOT(ISBLANK(N166)), ROUND(N166/60,0), "")</f>
        <v>753</v>
      </c>
      <c r="P166" s="26" t="n">
        <f aca="false">IF(O166="", IF(D166="", "Neither", "Parallelobox"), IF(D166="","Harpe", O166-D166))</f>
        <v>304</v>
      </c>
      <c r="Q166" s="26" t="n">
        <f aca="false">IF(O166="", IF(I166="", "Neither", "Symmetry"), IF(I166="","Harpe", O166-I166))</f>
        <v>110</v>
      </c>
    </row>
    <row r="167" customFormat="false" ht="12.8" hidden="false" customHeight="false" outlineLevel="0" collapsed="false">
      <c r="A167" s="0" t="s">
        <v>49</v>
      </c>
      <c r="B167" s="0" t="n">
        <v>30</v>
      </c>
      <c r="C167" s="0" t="n">
        <v>21365</v>
      </c>
      <c r="D167" s="25" t="n">
        <f aca="false">IF(NOT(ISBLANK(C167)), ROUND(C167/60,0), "")</f>
        <v>356</v>
      </c>
      <c r="F167" s="0" t="s">
        <v>49</v>
      </c>
      <c r="G167" s="0" t="n">
        <v>30</v>
      </c>
      <c r="H167" s="0" t="n">
        <v>25370</v>
      </c>
      <c r="I167" s="0" t="n">
        <f aca="false">IF(NOT(ISBLANK(H167)), ROUND(H167/60,0), "")</f>
        <v>423</v>
      </c>
      <c r="J167" s="26" t="n">
        <f aca="false">IF(I167="", IF(D167="", "Neither", "Parallelobox"), IF(D167="","Symmetry", I167-D167))</f>
        <v>67</v>
      </c>
      <c r="K167" s="26"/>
      <c r="L167" s="0" t="s">
        <v>49</v>
      </c>
      <c r="M167" s="0" t="n">
        <v>30</v>
      </c>
      <c r="N167" s="0" t="n">
        <v>41758</v>
      </c>
      <c r="O167" s="0" t="n">
        <f aca="false">IF(NOT(ISBLANK(N167)), ROUND(N167/60,0), "")</f>
        <v>696</v>
      </c>
      <c r="P167" s="26" t="n">
        <f aca="false">IF(O167="", IF(D167="", "Neither", "Parallelobox"), IF(D167="","Harpe", O167-D167))</f>
        <v>340</v>
      </c>
      <c r="Q167" s="26" t="n">
        <f aca="false">IF(O167="", IF(I167="", "Neither", "Symmetry"), IF(I167="","Harpe", O167-I167))</f>
        <v>273</v>
      </c>
    </row>
    <row r="168" customFormat="false" ht="12.8" hidden="false" customHeight="false" outlineLevel="0" collapsed="false">
      <c r="A168" s="0" t="s">
        <v>49</v>
      </c>
      <c r="B168" s="0" t="n">
        <v>40</v>
      </c>
      <c r="C168" s="0" t="n">
        <v>17151</v>
      </c>
      <c r="D168" s="25" t="n">
        <f aca="false">IF(NOT(ISBLANK(C168)), ROUND(C168/60,0), "")</f>
        <v>286</v>
      </c>
      <c r="F168" s="0" t="s">
        <v>49</v>
      </c>
      <c r="G168" s="0" t="n">
        <v>40</v>
      </c>
      <c r="H168" s="0" t="n">
        <v>30080</v>
      </c>
      <c r="I168" s="0" t="n">
        <f aca="false">IF(NOT(ISBLANK(H168)), ROUND(H168/60,0), "")</f>
        <v>501</v>
      </c>
      <c r="J168" s="26" t="n">
        <f aca="false">IF(I168="", IF(D168="", "Neither", "Parallelobox"), IF(D168="","Symmetry", I168-D168))</f>
        <v>215</v>
      </c>
      <c r="K168" s="26"/>
      <c r="L168" s="0" t="s">
        <v>49</v>
      </c>
      <c r="M168" s="0" t="n">
        <v>40</v>
      </c>
      <c r="N168" s="0" t="n">
        <v>37669</v>
      </c>
      <c r="O168" s="0" t="n">
        <f aca="false">IF(NOT(ISBLANK(N168)), ROUND(N168/60,0), "")</f>
        <v>628</v>
      </c>
      <c r="P168" s="26" t="n">
        <f aca="false">IF(O168="", IF(D168="", "Neither", "Parallelobox"), IF(D168="","Harpe", O168-D168))</f>
        <v>342</v>
      </c>
      <c r="Q168" s="26" t="n">
        <f aca="false">IF(O168="", IF(I168="", "Neither", "Symmetry"), IF(I168="","Harpe", O168-I168))</f>
        <v>127</v>
      </c>
    </row>
    <row r="169" customFormat="false" ht="12.8" hidden="false" customHeight="false" outlineLevel="0" collapsed="false">
      <c r="A169" s="0" t="s">
        <v>49</v>
      </c>
      <c r="B169" s="0" t="n">
        <v>50</v>
      </c>
      <c r="D169" s="25" t="str">
        <f aca="false">IF(NOT(ISBLANK(C169)), ROUND(C169/60,0), "")</f>
        <v/>
      </c>
      <c r="F169" s="0" t="s">
        <v>49</v>
      </c>
      <c r="G169" s="0" t="n">
        <v>50</v>
      </c>
      <c r="H169" s="0" t="n">
        <v>23757</v>
      </c>
      <c r="I169" s="0" t="n">
        <f aca="false">IF(NOT(ISBLANK(H169)), ROUND(H169/60,0), "")</f>
        <v>396</v>
      </c>
      <c r="J169" s="26" t="str">
        <f aca="false">IF(I169="", IF(D169="", "Neither", "Parallelobox"), IF(D169="","Symmetry", I169-D169))</f>
        <v>Symmetry</v>
      </c>
      <c r="K169" s="26"/>
      <c r="L169" s="0" t="s">
        <v>49</v>
      </c>
      <c r="M169" s="0" t="n">
        <v>50</v>
      </c>
      <c r="N169" s="0" t="n">
        <v>40337</v>
      </c>
      <c r="O169" s="0" t="n">
        <f aca="false">IF(NOT(ISBLANK(N169)), ROUND(N169/60,0), "")</f>
        <v>672</v>
      </c>
      <c r="P169" s="26" t="str">
        <f aca="false">IF(O169="", IF(D169="", "Neither", "Parallelobox"), IF(D169="","Harpe", O169-D169))</f>
        <v>Harpe</v>
      </c>
      <c r="Q169" s="26" t="n">
        <f aca="false">IF(O169="", IF(I169="", "Neither", "Symmetry"), IF(I169="","Harpe", O169-I169))</f>
        <v>276</v>
      </c>
    </row>
    <row r="170" customFormat="false" ht="12.8" hidden="false" customHeight="false" outlineLevel="0" collapsed="false">
      <c r="A170" s="0" t="s">
        <v>49</v>
      </c>
      <c r="B170" s="0" t="n">
        <v>64</v>
      </c>
      <c r="C170" s="0" t="n">
        <v>12926</v>
      </c>
      <c r="D170" s="25" t="n">
        <f aca="false">IF(NOT(ISBLANK(C170)), ROUND(C170/60,0), "")</f>
        <v>215</v>
      </c>
      <c r="F170" s="0" t="s">
        <v>49</v>
      </c>
      <c r="G170" s="0" t="n">
        <v>64</v>
      </c>
      <c r="H170" s="0" t="n">
        <v>21322</v>
      </c>
      <c r="I170" s="0" t="n">
        <f aca="false">IF(NOT(ISBLANK(H170)), ROUND(H170/60,0), "")</f>
        <v>355</v>
      </c>
      <c r="J170" s="26" t="n">
        <f aca="false">IF(I170="", IF(D170="", "Neither", "Parallelobox"), IF(D170="","Symmetry", I170-D170))</f>
        <v>140</v>
      </c>
      <c r="K170" s="26"/>
      <c r="L170" s="0" t="s">
        <v>49</v>
      </c>
      <c r="M170" s="0" t="n">
        <v>64</v>
      </c>
      <c r="P170" s="26" t="str">
        <f aca="false">IF(O170="", IF(D170="", "Neither", "Parallelobox"), IF(D170="","Harpe", O170-D170))</f>
        <v>Parallelobox</v>
      </c>
      <c r="Q170" s="26" t="str">
        <f aca="false">IF(O170="", IF(I170="", "Neither", "Symmetry"), IF(I170="","Harpe", O170-I170))</f>
        <v>Symmetry</v>
      </c>
    </row>
    <row r="171" customFormat="false" ht="12.8" hidden="false" customHeight="false" outlineLevel="0" collapsed="false">
      <c r="A171" s="0" t="s">
        <v>49</v>
      </c>
      <c r="B171" s="0" t="n">
        <v>82</v>
      </c>
      <c r="C171" s="0" t="n">
        <v>9846</v>
      </c>
      <c r="D171" s="25" t="n">
        <f aca="false">IF(NOT(ISBLANK(C171)), ROUND(C171/60,0), "")</f>
        <v>164</v>
      </c>
      <c r="F171" s="0" t="s">
        <v>49</v>
      </c>
      <c r="G171" s="0" t="n">
        <v>82</v>
      </c>
      <c r="H171" s="0" t="n">
        <v>18764</v>
      </c>
      <c r="I171" s="0" t="n">
        <f aca="false">IF(NOT(ISBLANK(H171)), ROUND(H171/60,0), "")</f>
        <v>313</v>
      </c>
      <c r="J171" s="26" t="n">
        <f aca="false">IF(I171="", IF(D171="", "Neither", "Parallelobox"), IF(D171="","Symmetry", I171-D171))</f>
        <v>149</v>
      </c>
      <c r="K171" s="26"/>
      <c r="L171" s="0" t="s">
        <v>49</v>
      </c>
      <c r="M171" s="0" t="n">
        <v>82</v>
      </c>
      <c r="P171" s="26" t="str">
        <f aca="false">IF(O171="", IF(D171="", "Neither", "Parallelobox"), IF(D171="","Harpe", O171-D171))</f>
        <v>Parallelobox</v>
      </c>
      <c r="Q171" s="26" t="str">
        <f aca="false">IF(O171="", IF(I171="", "Neither", "Symmetry"), IF(I171="","Harpe", O171-I171))</f>
        <v>Symmetry</v>
      </c>
    </row>
    <row r="172" customFormat="false" ht="12.8" hidden="false" customHeight="false" outlineLevel="0" collapsed="false">
      <c r="A172" s="0" t="s">
        <v>49</v>
      </c>
      <c r="B172" s="0" t="n">
        <v>100</v>
      </c>
      <c r="C172" s="0" t="n">
        <v>7949</v>
      </c>
      <c r="D172" s="25" t="n">
        <f aca="false">IF(NOT(ISBLANK(C172)), ROUND(C172/60,0), "")</f>
        <v>132</v>
      </c>
      <c r="F172" s="0" t="s">
        <v>49</v>
      </c>
      <c r="G172" s="0" t="n">
        <v>100</v>
      </c>
      <c r="H172" s="0" t="n">
        <v>16390</v>
      </c>
      <c r="I172" s="0" t="n">
        <f aca="false">IF(NOT(ISBLANK(H172)), ROUND(H172/60,0), "")</f>
        <v>273</v>
      </c>
      <c r="J172" s="26" t="n">
        <f aca="false">IF(I172="", IF(D172="", "Neither", "Parallelobox"), IF(D172="","Symmetry", I172-D172))</f>
        <v>141</v>
      </c>
      <c r="K172" s="26"/>
      <c r="L172" s="0" t="s">
        <v>49</v>
      </c>
      <c r="M172" s="0" t="n">
        <v>100</v>
      </c>
      <c r="P172" s="26" t="str">
        <f aca="false">IF(O172="", IF(D172="", "Neither", "Parallelobox"), IF(D172="","Harpe", O172-D172))</f>
        <v>Parallelobox</v>
      </c>
      <c r="Q172" s="26" t="str">
        <f aca="false">IF(O172="", IF(I172="", "Neither", "Symmetry"), IF(I172="","Harpe", O172-I172))</f>
        <v>Symmetry</v>
      </c>
    </row>
    <row r="173" customFormat="false" ht="12.8" hidden="false" customHeight="false" outlineLevel="0" collapsed="false">
      <c r="A173" s="0" t="s">
        <v>50</v>
      </c>
      <c r="B173" s="0" t="n">
        <v>5</v>
      </c>
      <c r="D173" s="25" t="str">
        <f aca="false">IF(NOT(ISBLANK(C173)), ROUND(C173/60,0), "")</f>
        <v/>
      </c>
      <c r="F173" s="0" t="s">
        <v>50</v>
      </c>
      <c r="G173" s="0" t="n">
        <v>5</v>
      </c>
      <c r="H173" s="0" t="n">
        <v>214712</v>
      </c>
      <c r="I173" s="0" t="n">
        <f aca="false">IF(NOT(ISBLANK(H173)), ROUND(H173/60,0), "")</f>
        <v>3579</v>
      </c>
      <c r="J173" s="26" t="str">
        <f aca="false">IF(I173="", IF(D173="", "Neither", "Parallelobox"), IF(D173="","Symmetry", I173-D173))</f>
        <v>Symmetry</v>
      </c>
      <c r="K173" s="26"/>
      <c r="L173" s="0" t="s">
        <v>50</v>
      </c>
      <c r="M173" s="0" t="n">
        <v>5</v>
      </c>
      <c r="N173" s="0" t="n">
        <v>172351</v>
      </c>
      <c r="O173" s="0" t="n">
        <f aca="false">IF(NOT(ISBLANK(N173)), ROUND(N173/60,0), "")</f>
        <v>2873</v>
      </c>
      <c r="P173" s="26" t="str">
        <f aca="false">IF(O173="", IF(D173="", "Neither", "Parallelobox"), IF(D173="","Harpe", O173-D173))</f>
        <v>Harpe</v>
      </c>
      <c r="Q173" s="26" t="n">
        <f aca="false">IF(O173="", IF(I173="", "Neither", "Symmetry"), IF(I173="","Harpe", O173-I173))</f>
        <v>-706</v>
      </c>
    </row>
    <row r="174" customFormat="false" ht="12.8" hidden="false" customHeight="false" outlineLevel="0" collapsed="false">
      <c r="A174" s="0" t="s">
        <v>50</v>
      </c>
      <c r="B174" s="0" t="n">
        <v>10</v>
      </c>
      <c r="C174" s="0" t="n">
        <v>152720</v>
      </c>
      <c r="D174" s="25" t="n">
        <f aca="false">IF(NOT(ISBLANK(C174)), ROUND(C174/60,0), "")</f>
        <v>2545</v>
      </c>
      <c r="F174" s="0" t="s">
        <v>50</v>
      </c>
      <c r="G174" s="0" t="n">
        <v>10</v>
      </c>
      <c r="H174" s="0" t="n">
        <v>96920</v>
      </c>
      <c r="I174" s="0" t="n">
        <f aca="false">IF(NOT(ISBLANK(H174)), ROUND(H174/60,0), "")</f>
        <v>1615</v>
      </c>
      <c r="J174" s="26" t="n">
        <f aca="false">IF(I174="", IF(D174="", "Neither", "Parallelobox"), IF(D174="","Symmetry", I174-D174))</f>
        <v>-930</v>
      </c>
      <c r="K174" s="26"/>
      <c r="L174" s="0" t="s">
        <v>50</v>
      </c>
      <c r="M174" s="0" t="n">
        <v>10</v>
      </c>
      <c r="N174" s="0" t="n">
        <v>124718</v>
      </c>
      <c r="O174" s="0" t="n">
        <f aca="false">IF(NOT(ISBLANK(N174)), ROUND(N174/60,0), "")</f>
        <v>2079</v>
      </c>
      <c r="P174" s="26" t="n">
        <f aca="false">IF(O174="", IF(D174="", "Neither", "Parallelobox"), IF(D174="","Harpe", O174-D174))</f>
        <v>-466</v>
      </c>
      <c r="Q174" s="26" t="n">
        <f aca="false">IF(O174="", IF(I174="", "Neither", "Symmetry"), IF(I174="","Harpe", O174-I174))</f>
        <v>464</v>
      </c>
    </row>
    <row r="175" customFormat="false" ht="12.8" hidden="false" customHeight="false" outlineLevel="0" collapsed="false">
      <c r="A175" s="0" t="s">
        <v>50</v>
      </c>
      <c r="B175" s="0" t="n">
        <v>15</v>
      </c>
      <c r="C175" s="0" t="n">
        <v>87967</v>
      </c>
      <c r="D175" s="25" t="n">
        <f aca="false">IF(NOT(ISBLANK(C175)), ROUND(C175/60,0), "")</f>
        <v>1466</v>
      </c>
      <c r="F175" s="0" t="s">
        <v>50</v>
      </c>
      <c r="G175" s="0" t="n">
        <v>15</v>
      </c>
      <c r="H175" s="0" t="n">
        <v>76358</v>
      </c>
      <c r="I175" s="0" t="n">
        <f aca="false">IF(NOT(ISBLANK(H175)), ROUND(H175/60,0), "")</f>
        <v>1273</v>
      </c>
      <c r="J175" s="26" t="n">
        <f aca="false">IF(I175="", IF(D175="", "Neither", "Parallelobox"), IF(D175="","Symmetry", I175-D175))</f>
        <v>-193</v>
      </c>
      <c r="K175" s="26"/>
      <c r="L175" s="0" t="s">
        <v>50</v>
      </c>
      <c r="M175" s="0" t="n">
        <v>15</v>
      </c>
      <c r="N175" s="0" t="n">
        <v>108633</v>
      </c>
      <c r="O175" s="0" t="n">
        <f aca="false">IF(NOT(ISBLANK(N175)), ROUND(N175/60,0), "")</f>
        <v>1811</v>
      </c>
      <c r="P175" s="26" t="n">
        <f aca="false">IF(O175="", IF(D175="", "Neither", "Parallelobox"), IF(D175="","Harpe", O175-D175))</f>
        <v>345</v>
      </c>
      <c r="Q175" s="26" t="n">
        <f aca="false">IF(O175="", IF(I175="", "Neither", "Symmetry"), IF(I175="","Harpe", O175-I175))</f>
        <v>538</v>
      </c>
    </row>
    <row r="176" customFormat="false" ht="12.8" hidden="false" customHeight="false" outlineLevel="0" collapsed="false">
      <c r="A176" s="0" t="s">
        <v>50</v>
      </c>
      <c r="B176" s="0" t="n">
        <v>20</v>
      </c>
      <c r="C176" s="0" t="n">
        <v>57918</v>
      </c>
      <c r="D176" s="25" t="n">
        <f aca="false">IF(NOT(ISBLANK(C176)), ROUND(C176/60,0), "")</f>
        <v>965</v>
      </c>
      <c r="F176" s="0" t="s">
        <v>50</v>
      </c>
      <c r="G176" s="0" t="n">
        <v>20</v>
      </c>
      <c r="H176" s="0" t="n">
        <v>87060</v>
      </c>
      <c r="I176" s="0" t="n">
        <f aca="false">IF(NOT(ISBLANK(H176)), ROUND(H176/60,0), "")</f>
        <v>1451</v>
      </c>
      <c r="J176" s="26" t="n">
        <f aca="false">IF(I176="", IF(D176="", "Neither", "Parallelobox"), IF(D176="","Symmetry", I176-D176))</f>
        <v>486</v>
      </c>
      <c r="K176" s="26"/>
      <c r="L176" s="0" t="s">
        <v>50</v>
      </c>
      <c r="M176" s="0" t="n">
        <v>20</v>
      </c>
      <c r="N176" s="0" t="n">
        <v>100213</v>
      </c>
      <c r="O176" s="0" t="n">
        <f aca="false">IF(NOT(ISBLANK(N176)), ROUND(N176/60,0), "")</f>
        <v>1670</v>
      </c>
      <c r="P176" s="26" t="n">
        <f aca="false">IF(O176="", IF(D176="", "Neither", "Parallelobox"), IF(D176="","Harpe", O176-D176))</f>
        <v>705</v>
      </c>
      <c r="Q176" s="26" t="n">
        <f aca="false">IF(O176="", IF(I176="", "Neither", "Symmetry"), IF(I176="","Harpe", O176-I176))</f>
        <v>219</v>
      </c>
    </row>
    <row r="177" customFormat="false" ht="12.8" hidden="false" customHeight="false" outlineLevel="0" collapsed="false">
      <c r="A177" s="0" t="s">
        <v>50</v>
      </c>
      <c r="B177" s="0" t="n">
        <v>30</v>
      </c>
      <c r="C177" s="0" t="n">
        <v>39989</v>
      </c>
      <c r="D177" s="25" t="n">
        <f aca="false">IF(NOT(ISBLANK(C177)), ROUND(C177/60,0), "")</f>
        <v>666</v>
      </c>
      <c r="F177" s="0" t="s">
        <v>50</v>
      </c>
      <c r="G177" s="0" t="n">
        <v>30</v>
      </c>
      <c r="H177" s="0" t="n">
        <v>56244</v>
      </c>
      <c r="I177" s="0" t="n">
        <f aca="false">IF(NOT(ISBLANK(H177)), ROUND(H177/60,0), "")</f>
        <v>937</v>
      </c>
      <c r="J177" s="26" t="n">
        <f aca="false">IF(I177="", IF(D177="", "Neither", "Parallelobox"), IF(D177="","Symmetry", I177-D177))</f>
        <v>271</v>
      </c>
      <c r="K177" s="26"/>
      <c r="L177" s="0" t="s">
        <v>50</v>
      </c>
      <c r="M177" s="0" t="n">
        <v>30</v>
      </c>
      <c r="N177" s="0" t="n">
        <v>86478</v>
      </c>
      <c r="O177" s="0" t="n">
        <f aca="false">IF(NOT(ISBLANK(N177)), ROUND(N177/60,0), "")</f>
        <v>1441</v>
      </c>
      <c r="P177" s="26" t="n">
        <f aca="false">IF(O177="", IF(D177="", "Neither", "Parallelobox"), IF(D177="","Harpe", O177-D177))</f>
        <v>775</v>
      </c>
      <c r="Q177" s="26" t="n">
        <f aca="false">IF(O177="", IF(I177="", "Neither", "Symmetry"), IF(I177="","Harpe", O177-I177))</f>
        <v>504</v>
      </c>
    </row>
    <row r="178" customFormat="false" ht="12.8" hidden="false" customHeight="false" outlineLevel="0" collapsed="false">
      <c r="A178" s="0" t="s">
        <v>50</v>
      </c>
      <c r="B178" s="0" t="n">
        <v>40</v>
      </c>
      <c r="C178" s="0" t="n">
        <v>32504</v>
      </c>
      <c r="D178" s="25" t="n">
        <f aca="false">IF(NOT(ISBLANK(C178)), ROUND(C178/60,0), "")</f>
        <v>542</v>
      </c>
      <c r="F178" s="0" t="s">
        <v>50</v>
      </c>
      <c r="G178" s="0" t="n">
        <v>40</v>
      </c>
      <c r="H178" s="0" t="n">
        <v>57694</v>
      </c>
      <c r="I178" s="0" t="n">
        <f aca="false">IF(NOT(ISBLANK(H178)), ROUND(H178/60,0), "")</f>
        <v>962</v>
      </c>
      <c r="J178" s="26" t="n">
        <f aca="false">IF(I178="", IF(D178="", "Neither", "Parallelobox"), IF(D178="","Symmetry", I178-D178))</f>
        <v>420</v>
      </c>
      <c r="K178" s="26"/>
      <c r="L178" s="0" t="s">
        <v>50</v>
      </c>
      <c r="M178" s="0" t="n">
        <v>40</v>
      </c>
      <c r="N178" s="0" t="n">
        <v>75635</v>
      </c>
      <c r="O178" s="0" t="n">
        <f aca="false">IF(NOT(ISBLANK(N178)), ROUND(N178/60,0), "")</f>
        <v>1261</v>
      </c>
      <c r="P178" s="26" t="n">
        <f aca="false">IF(O178="", IF(D178="", "Neither", "Parallelobox"), IF(D178="","Harpe", O178-D178))</f>
        <v>719</v>
      </c>
      <c r="Q178" s="26" t="n">
        <f aca="false">IF(O178="", IF(I178="", "Neither", "Symmetry"), IF(I178="","Harpe", O178-I178))</f>
        <v>299</v>
      </c>
    </row>
    <row r="179" customFormat="false" ht="12.8" hidden="false" customHeight="false" outlineLevel="0" collapsed="false">
      <c r="A179" s="0" t="s">
        <v>50</v>
      </c>
      <c r="B179" s="0" t="n">
        <v>50</v>
      </c>
      <c r="C179" s="0" t="n">
        <v>32864</v>
      </c>
      <c r="D179" s="25" t="n">
        <f aca="false">IF(NOT(ISBLANK(C179)), ROUND(C179/60,0), "")</f>
        <v>548</v>
      </c>
      <c r="F179" s="0" t="s">
        <v>50</v>
      </c>
      <c r="G179" s="0" t="n">
        <v>50</v>
      </c>
      <c r="H179" s="0" t="n">
        <v>60625</v>
      </c>
      <c r="I179" s="0" t="n">
        <f aca="false">IF(NOT(ISBLANK(H179)), ROUND(H179/60,0), "")</f>
        <v>1010</v>
      </c>
      <c r="J179" s="26" t="n">
        <f aca="false">IF(I179="", IF(D179="", "Neither", "Parallelobox"), IF(D179="","Symmetry", I179-D179))</f>
        <v>462</v>
      </c>
      <c r="K179" s="26"/>
      <c r="L179" s="0" t="s">
        <v>50</v>
      </c>
      <c r="M179" s="0" t="n">
        <v>50</v>
      </c>
      <c r="N179" s="0" t="n">
        <v>77388</v>
      </c>
      <c r="O179" s="0" t="n">
        <f aca="false">IF(NOT(ISBLANK(N179)), ROUND(N179/60,0), "")</f>
        <v>1290</v>
      </c>
      <c r="P179" s="26" t="n">
        <f aca="false">IF(O179="", IF(D179="", "Neither", "Parallelobox"), IF(D179="","Harpe", O179-D179))</f>
        <v>742</v>
      </c>
      <c r="Q179" s="26" t="n">
        <f aca="false">IF(O179="", IF(I179="", "Neither", "Symmetry"), IF(I179="","Harpe", O179-I179))</f>
        <v>280</v>
      </c>
    </row>
    <row r="180" customFormat="false" ht="12.8" hidden="false" customHeight="false" outlineLevel="0" collapsed="false">
      <c r="A180" s="0" t="s">
        <v>50</v>
      </c>
      <c r="B180" s="0" t="n">
        <v>64</v>
      </c>
      <c r="C180" s="0" t="n">
        <v>28421</v>
      </c>
      <c r="D180" s="25" t="n">
        <f aca="false">IF(NOT(ISBLANK(C180)), ROUND(C180/60,0), "")</f>
        <v>474</v>
      </c>
      <c r="F180" s="0" t="s">
        <v>50</v>
      </c>
      <c r="G180" s="0" t="n">
        <v>64</v>
      </c>
      <c r="H180" s="0" t="n">
        <v>48421</v>
      </c>
      <c r="I180" s="0" t="n">
        <f aca="false">IF(NOT(ISBLANK(H180)), ROUND(H180/60,0), "")</f>
        <v>807</v>
      </c>
      <c r="J180" s="26" t="n">
        <f aca="false">IF(I180="", IF(D180="", "Neither", "Parallelobox"), IF(D180="","Symmetry", I180-D180))</f>
        <v>333</v>
      </c>
      <c r="K180" s="26"/>
      <c r="L180" s="0" t="s">
        <v>50</v>
      </c>
      <c r="M180" s="0" t="n">
        <v>64</v>
      </c>
      <c r="P180" s="26" t="str">
        <f aca="false">IF(O180="", IF(D180="", "Neither", "Parallelobox"), IF(D180="","Harpe", O180-D180))</f>
        <v>Parallelobox</v>
      </c>
      <c r="Q180" s="26" t="str">
        <f aca="false">IF(O180="", IF(I180="", "Neither", "Symmetry"), IF(I180="","Harpe", O180-I180))</f>
        <v>Symmetry</v>
      </c>
    </row>
    <row r="181" customFormat="false" ht="12.8" hidden="false" customHeight="false" outlineLevel="0" collapsed="false">
      <c r="A181" s="0" t="s">
        <v>50</v>
      </c>
      <c r="B181" s="0" t="n">
        <v>82</v>
      </c>
      <c r="C181" s="0" t="n">
        <v>21828</v>
      </c>
      <c r="D181" s="25" t="n">
        <f aca="false">IF(NOT(ISBLANK(C181)), ROUND(C181/60,0), "")</f>
        <v>364</v>
      </c>
      <c r="F181" s="0" t="s">
        <v>50</v>
      </c>
      <c r="G181" s="0" t="n">
        <v>82</v>
      </c>
      <c r="H181" s="0" t="n">
        <v>34957</v>
      </c>
      <c r="I181" s="0" t="n">
        <f aca="false">IF(NOT(ISBLANK(H181)), ROUND(H181/60,0), "")</f>
        <v>583</v>
      </c>
      <c r="J181" s="26" t="n">
        <f aca="false">IF(I181="", IF(D181="", "Neither", "Parallelobox"), IF(D181="","Symmetry", I181-D181))</f>
        <v>219</v>
      </c>
      <c r="K181" s="26"/>
      <c r="L181" s="0" t="s">
        <v>50</v>
      </c>
      <c r="M181" s="0" t="n">
        <v>82</v>
      </c>
      <c r="P181" s="26" t="str">
        <f aca="false">IF(O181="", IF(D181="", "Neither", "Parallelobox"), IF(D181="","Harpe", O181-D181))</f>
        <v>Parallelobox</v>
      </c>
      <c r="Q181" s="26" t="str">
        <f aca="false">IF(O181="", IF(I181="", "Neither", "Symmetry"), IF(I181="","Harpe", O181-I181))</f>
        <v>Symmetry</v>
      </c>
    </row>
    <row r="182" customFormat="false" ht="12.8" hidden="false" customHeight="false" outlineLevel="0" collapsed="false">
      <c r="A182" s="0" t="s">
        <v>50</v>
      </c>
      <c r="B182" s="0" t="n">
        <v>100</v>
      </c>
      <c r="C182" s="0" t="n">
        <v>19669</v>
      </c>
      <c r="D182" s="25" t="n">
        <f aca="false">IF(NOT(ISBLANK(C182)), ROUND(C182/60,0), "")</f>
        <v>328</v>
      </c>
      <c r="F182" s="0" t="s">
        <v>50</v>
      </c>
      <c r="G182" s="0" t="n">
        <v>100</v>
      </c>
      <c r="H182" s="0" t="n">
        <v>37286</v>
      </c>
      <c r="I182" s="0" t="n">
        <f aca="false">IF(NOT(ISBLANK(H182)), ROUND(H182/60,0), "")</f>
        <v>621</v>
      </c>
      <c r="J182" s="26" t="n">
        <f aca="false">IF(I182="", IF(D182="", "Neither", "Parallelobox"), IF(D182="","Symmetry", I182-D182))</f>
        <v>293</v>
      </c>
      <c r="K182" s="26"/>
      <c r="L182" s="0" t="s">
        <v>50</v>
      </c>
      <c r="M182" s="0" t="n">
        <v>100</v>
      </c>
      <c r="N182" s="0" t="n">
        <v>62527</v>
      </c>
      <c r="O182" s="0" t="n">
        <f aca="false">IF(NOT(ISBLANK(N182)), ROUND(N182/60,0), "")</f>
        <v>1042</v>
      </c>
      <c r="P182" s="26" t="n">
        <f aca="false">IF(O182="", IF(D182="", "Neither", "Parallelobox"), IF(D182="","Harpe", O182-D182))</f>
        <v>714</v>
      </c>
      <c r="Q182" s="26" t="n">
        <f aca="false">IF(O182="", IF(I182="", "Neither", "Symmetry"), IF(I182="","Harpe", O182-I182))</f>
        <v>421</v>
      </c>
    </row>
    <row r="183" customFormat="false" ht="12.8" hidden="false" customHeight="false" outlineLevel="0" collapsed="false">
      <c r="J183" s="26"/>
      <c r="K183" s="26"/>
      <c r="O183" s="0" t="str">
        <f aca="false">IF(NOT(ISBLANK(N183)), ROUND(N183/60,0), "")</f>
        <v/>
      </c>
      <c r="P183" s="26"/>
      <c r="Q183" s="26"/>
    </row>
    <row r="184" customFormat="false" ht="12.8" hidden="false" customHeight="false" outlineLevel="0" collapsed="false">
      <c r="J184" s="26"/>
      <c r="K184" s="26"/>
      <c r="O184" s="0" t="str">
        <f aca="false">IF(NOT(ISBLANK(N184)), ROUND(N184/60,0), "")</f>
        <v/>
      </c>
      <c r="P184" s="26"/>
      <c r="Q184" s="26"/>
    </row>
    <row r="185" customFormat="false" ht="12.8" hidden="false" customHeight="false" outlineLevel="0" collapsed="false">
      <c r="J185" s="26"/>
      <c r="K185" s="26"/>
      <c r="O185" s="0" t="str">
        <f aca="false">IF(NOT(ISBLANK(N185)), ROUND(N185/60,0), "")</f>
        <v/>
      </c>
      <c r="P185" s="26"/>
      <c r="Q185" s="26"/>
    </row>
    <row r="186" customFormat="false" ht="12.8" hidden="false" customHeight="false" outlineLevel="0" collapsed="false">
      <c r="J186" s="26"/>
      <c r="K186" s="26"/>
      <c r="O186" s="0" t="str">
        <f aca="false">IF(NOT(ISBLANK(N186)), ROUND(N186/60,0), "")</f>
        <v/>
      </c>
      <c r="P186" s="26"/>
      <c r="Q186" s="26"/>
    </row>
    <row r="187" customFormat="false" ht="12.8" hidden="false" customHeight="false" outlineLevel="0" collapsed="false">
      <c r="J187" s="26"/>
      <c r="K187" s="26"/>
      <c r="O187" s="0" t="str">
        <f aca="false">IF(NOT(ISBLANK(N187)), ROUND(N187/60,0), "")</f>
        <v/>
      </c>
      <c r="P187" s="26"/>
      <c r="Q187" s="26"/>
    </row>
    <row r="188" customFormat="false" ht="12.8" hidden="false" customHeight="false" outlineLevel="0" collapsed="false">
      <c r="J188" s="26"/>
      <c r="K188" s="26"/>
      <c r="O188" s="0" t="str">
        <f aca="false">IF(NOT(ISBLANK(N188)), ROUND(N188/60,0), "")</f>
        <v/>
      </c>
      <c r="P188" s="26"/>
      <c r="Q188" s="26"/>
    </row>
    <row r="189" customFormat="false" ht="12.8" hidden="false" customHeight="false" outlineLevel="0" collapsed="false">
      <c r="J189" s="26"/>
      <c r="K189" s="26"/>
      <c r="O189" s="0" t="str">
        <f aca="false">IF(NOT(ISBLANK(N189)), ROUND(N189/60,0), "")</f>
        <v/>
      </c>
      <c r="P189" s="26"/>
      <c r="Q189" s="26"/>
    </row>
    <row r="190" customFormat="false" ht="12.8" hidden="false" customHeight="false" outlineLevel="0" collapsed="false">
      <c r="J190" s="26"/>
      <c r="K190" s="26"/>
      <c r="O190" s="0" t="str">
        <f aca="false">IF(NOT(ISBLANK(N190)), ROUND(N190/60,0), "")</f>
        <v/>
      </c>
      <c r="P190" s="26"/>
      <c r="Q190" s="26"/>
    </row>
    <row r="191" customFormat="false" ht="12.8" hidden="false" customHeight="false" outlineLevel="0" collapsed="false">
      <c r="J191" s="26"/>
      <c r="K191" s="26"/>
      <c r="O191" s="0" t="str">
        <f aca="false">IF(NOT(ISBLANK(N191)), ROUND(N191/60,0), "")</f>
        <v/>
      </c>
      <c r="P191" s="26"/>
      <c r="Q191" s="26"/>
    </row>
    <row r="192" customFormat="false" ht="12.8" hidden="false" customHeight="false" outlineLevel="0" collapsed="false">
      <c r="J192" s="26"/>
      <c r="K192" s="26"/>
      <c r="O192" s="0" t="str">
        <f aca="false">IF(NOT(ISBLANK(N192)), ROUND(N192/60,0), "")</f>
        <v/>
      </c>
      <c r="P192" s="26"/>
      <c r="Q192" s="26"/>
    </row>
    <row r="193" customFormat="false" ht="12.8" hidden="false" customHeight="false" outlineLevel="0" collapsed="false">
      <c r="J193" s="26"/>
      <c r="K193" s="26"/>
      <c r="O193" s="0" t="str">
        <f aca="false">IF(NOT(ISBLANK(N193)), ROUND(N193/60,0), "")</f>
        <v/>
      </c>
      <c r="P193" s="26"/>
      <c r="Q193" s="26"/>
    </row>
    <row r="194" customFormat="false" ht="12.8" hidden="false" customHeight="false" outlineLevel="0" collapsed="false">
      <c r="J194" s="26"/>
      <c r="K194" s="26"/>
      <c r="O194" s="0" t="str">
        <f aca="false">IF(NOT(ISBLANK(N194)), ROUND(N194/60,0), "")</f>
        <v/>
      </c>
      <c r="P194" s="26"/>
      <c r="Q194" s="26"/>
    </row>
    <row r="195" customFormat="false" ht="12.8" hidden="false" customHeight="false" outlineLevel="0" collapsed="false">
      <c r="J195" s="26"/>
      <c r="K195" s="26"/>
      <c r="O195" s="0" t="str">
        <f aca="false">IF(NOT(ISBLANK(N195)), ROUND(N195/60,0), "")</f>
        <v/>
      </c>
      <c r="P195" s="26"/>
      <c r="Q195" s="26"/>
    </row>
    <row r="196" customFormat="false" ht="12.8" hidden="false" customHeight="false" outlineLevel="0" collapsed="false">
      <c r="J196" s="26"/>
      <c r="K196" s="26"/>
      <c r="O196" s="0" t="str">
        <f aca="false">IF(NOT(ISBLANK(N196)), ROUND(N196/60,0), "")</f>
        <v/>
      </c>
      <c r="P196" s="26"/>
      <c r="Q196" s="26"/>
    </row>
    <row r="197" customFormat="false" ht="12.8" hidden="false" customHeight="false" outlineLevel="0" collapsed="false">
      <c r="J197" s="26"/>
      <c r="K197" s="26"/>
      <c r="O197" s="0" t="str">
        <f aca="false">IF(NOT(ISBLANK(N197)), ROUND(N197/60,0), "")</f>
        <v/>
      </c>
      <c r="P197" s="26"/>
      <c r="Q197" s="26"/>
    </row>
    <row r="198" customFormat="false" ht="12.8" hidden="false" customHeight="false" outlineLevel="0" collapsed="false">
      <c r="J198" s="26"/>
      <c r="K198" s="26"/>
      <c r="O198" s="0" t="str">
        <f aca="false">IF(NOT(ISBLANK(N198)), ROUND(N198/60,0), "")</f>
        <v/>
      </c>
      <c r="P198" s="26"/>
      <c r="Q198" s="26"/>
    </row>
    <row r="199" customFormat="false" ht="12.8" hidden="false" customHeight="false" outlineLevel="0" collapsed="false">
      <c r="J199" s="26"/>
      <c r="K199" s="26"/>
      <c r="O199" s="0" t="str">
        <f aca="false">IF(NOT(ISBLANK(N199)), ROUND(N199/60,0), "")</f>
        <v/>
      </c>
      <c r="P199" s="26"/>
      <c r="Q199" s="26"/>
    </row>
    <row r="200" customFormat="false" ht="12.8" hidden="false" customHeight="false" outlineLevel="0" collapsed="false">
      <c r="J200" s="26"/>
      <c r="K200" s="26"/>
      <c r="O200" s="0" t="str">
        <f aca="false">IF(NOT(ISBLANK(N200)), ROUND(N200/60,0), "")</f>
        <v/>
      </c>
      <c r="P200" s="26"/>
      <c r="Q200" s="26"/>
    </row>
    <row r="201" customFormat="false" ht="12.8" hidden="false" customHeight="false" outlineLevel="0" collapsed="false">
      <c r="J201" s="26"/>
      <c r="K201" s="26"/>
      <c r="O201" s="0" t="str">
        <f aca="false">IF(NOT(ISBLANK(N201)), ROUND(N201/60,0), "")</f>
        <v/>
      </c>
      <c r="P201" s="26"/>
      <c r="Q201" s="26"/>
    </row>
    <row r="202" customFormat="false" ht="14.35" hidden="false" customHeight="false" outlineLevel="0" collapsed="false">
      <c r="J202" s="26"/>
      <c r="K202" s="26"/>
      <c r="O202" s="0" t="str">
        <f aca="false">IF(NOT(ISBLANK(N202)), ROUND(N202/60,0), "")</f>
        <v/>
      </c>
      <c r="P202" s="26"/>
      <c r="Q202" s="26"/>
    </row>
    <row r="203" customFormat="false" ht="14.35" hidden="false" customHeight="false" outlineLevel="0" collapsed="false">
      <c r="J203" s="26"/>
      <c r="K203" s="26"/>
      <c r="O203" s="0" t="str">
        <f aca="false">IF(NOT(ISBLANK(N203)), ROUND(N203/60,0), "")</f>
        <v/>
      </c>
      <c r="P203" s="26"/>
      <c r="Q203" s="26"/>
    </row>
    <row r="204" customFormat="false" ht="14.35" hidden="false" customHeight="false" outlineLevel="0" collapsed="false">
      <c r="J204" s="26"/>
      <c r="K204" s="26"/>
      <c r="O204" s="0" t="str">
        <f aca="false">IF(NOT(ISBLANK(N204)), ROUND(N204/60,0), "")</f>
        <v/>
      </c>
      <c r="P204" s="26"/>
      <c r="Q204" s="26"/>
    </row>
    <row r="205" customFormat="false" ht="14.35" hidden="false" customHeight="false" outlineLevel="0" collapsed="false">
      <c r="J205" s="26"/>
      <c r="K205" s="26"/>
      <c r="O205" s="0" t="str">
        <f aca="false">IF(NOT(ISBLANK(N205)), ROUND(N205/60,0), "")</f>
        <v/>
      </c>
      <c r="P205" s="26"/>
      <c r="Q205" s="26"/>
    </row>
    <row r="206" customFormat="false" ht="14.35" hidden="false" customHeight="false" outlineLevel="0" collapsed="false">
      <c r="O206" s="0" t="str">
        <f aca="false">IF(NOT(ISBLANK(N206)), ROUND(N206/60,0), "")</f>
        <v/>
      </c>
    </row>
    <row r="207" customFormat="false" ht="14.35" hidden="false" customHeight="false" outlineLevel="0" collapsed="false">
      <c r="O207" s="0" t="str">
        <f aca="false">IF(NOT(ISBLANK(N207)), ROUND(N207/60,0), "")</f>
        <v/>
      </c>
    </row>
    <row r="208" customFormat="false" ht="14.35" hidden="false" customHeight="false" outlineLevel="0" collapsed="false">
      <c r="O208" s="0" t="str">
        <f aca="false">IF(NOT(ISBLANK(N208)), ROUND(N208/60,0), "")</f>
        <v/>
      </c>
    </row>
    <row r="209" customFormat="false" ht="14.35" hidden="false" customHeight="false" outlineLevel="0" collapsed="false">
      <c r="O209" s="0" t="str">
        <f aca="false">IF(NOT(ISBLANK(N209)), ROUND(N209/60,0), "")</f>
        <v/>
      </c>
    </row>
    <row r="210" customFormat="false" ht="14.35" hidden="false" customHeight="false" outlineLevel="0" collapsed="false">
      <c r="O210" s="0" t="str">
        <f aca="false">IF(NOT(ISBLANK(N210)), ROUND(N210/60,0), "")</f>
        <v/>
      </c>
    </row>
    <row r="211" customFormat="false" ht="14.35" hidden="false" customHeight="false" outlineLevel="0" collapsed="false">
      <c r="O211" s="0" t="str">
        <f aca="false">IF(NOT(ISBLANK(N211)), ROUND(N211/60,0), "")</f>
        <v/>
      </c>
    </row>
    <row r="212" customFormat="false" ht="14.35" hidden="false" customHeight="false" outlineLevel="0" collapsed="false">
      <c r="O212" s="0" t="str">
        <f aca="false">IF(NOT(ISBLANK(N212)), ROUND(N212/60,0), "")</f>
        <v/>
      </c>
    </row>
    <row r="213" customFormat="false" ht="14.35" hidden="false" customHeight="false" outlineLevel="0" collapsed="false">
      <c r="O213" s="0" t="str">
        <f aca="false">IF(NOT(ISBLANK(N213)), ROUND(N213/60,0), "")</f>
        <v/>
      </c>
    </row>
    <row r="214" customFormat="false" ht="14.35" hidden="false" customHeight="false" outlineLevel="0" collapsed="false">
      <c r="O214" s="0" t="str">
        <f aca="false">IF(NOT(ISBLANK(N214)), ROUND(N214/60,0), "")</f>
        <v/>
      </c>
    </row>
    <row r="215" customFormat="false" ht="14.35" hidden="false" customHeight="false" outlineLevel="0" collapsed="false">
      <c r="O215" s="0" t="str">
        <f aca="false">IF(NOT(ISBLANK(N215)), ROUND(N215/60,0), "")</f>
        <v/>
      </c>
    </row>
    <row r="216" customFormat="false" ht="14.35" hidden="false" customHeight="false" outlineLevel="0" collapsed="false">
      <c r="O216" s="0" t="str">
        <f aca="false">IF(NOT(ISBLANK(N216)), ROUND(N216/60,0), "")</f>
        <v/>
      </c>
    </row>
    <row r="217" customFormat="false" ht="14.35" hidden="false" customHeight="false" outlineLevel="0" collapsed="false">
      <c r="O217" s="0" t="str">
        <f aca="false">IF(NOT(ISBLANK(N217)), ROUND(N217/60,0), "")</f>
        <v/>
      </c>
    </row>
    <row r="218" customFormat="false" ht="14.35" hidden="false" customHeight="false" outlineLevel="0" collapsed="false">
      <c r="O218" s="0" t="str">
        <f aca="false">IF(NOT(ISBLANK(N218)), ROUND(N218/60,0), "")</f>
        <v/>
      </c>
    </row>
    <row r="219" customFormat="false" ht="14.35" hidden="false" customHeight="false" outlineLevel="0" collapsed="false">
      <c r="O219" s="0" t="str">
        <f aca="false">IF(NOT(ISBLANK(N219)), ROUND(N219/60,0), "")</f>
        <v/>
      </c>
    </row>
    <row r="220" customFormat="false" ht="14.35" hidden="false" customHeight="false" outlineLevel="0" collapsed="false">
      <c r="O220" s="0" t="str">
        <f aca="false">IF(NOT(ISBLANK(N220)), ROUND(N220/60,0), "")</f>
        <v/>
      </c>
    </row>
    <row r="221" customFormat="false" ht="14.35" hidden="false" customHeight="false" outlineLevel="0" collapsed="false">
      <c r="O221" s="0" t="str">
        <f aca="false">IF(NOT(ISBLANK(N221)), ROUND(N221/60,0), "")</f>
        <v/>
      </c>
    </row>
    <row r="222" customFormat="false" ht="14.35" hidden="false" customHeight="false" outlineLevel="0" collapsed="false">
      <c r="O222" s="0" t="str">
        <f aca="false">IF(NOT(ISBLANK(N222)), ROUND(N222/60,0), "")</f>
        <v/>
      </c>
    </row>
    <row r="223" customFormat="false" ht="14.35" hidden="false" customHeight="false" outlineLevel="0" collapsed="false">
      <c r="O223" s="0" t="str">
        <f aca="false">IF(NOT(ISBLANK(N223)), ROUND(N223/60,0), "")</f>
        <v/>
      </c>
    </row>
    <row r="224" customFormat="false" ht="14.35" hidden="false" customHeight="false" outlineLevel="0" collapsed="false">
      <c r="O224" s="0" t="str">
        <f aca="false">IF(NOT(ISBLANK(N224)), ROUND(N224/60,0), "")</f>
        <v/>
      </c>
    </row>
    <row r="225" customFormat="false" ht="14.35" hidden="false" customHeight="false" outlineLevel="0" collapsed="false">
      <c r="O225" s="0" t="str">
        <f aca="false">IF(NOT(ISBLANK(N225)), ROUND(N225/60,0), "")</f>
        <v/>
      </c>
    </row>
    <row r="226" customFormat="false" ht="14.35" hidden="false" customHeight="false" outlineLevel="0" collapsed="false">
      <c r="O226" s="0" t="str">
        <f aca="false">IF(NOT(ISBLANK(N226)), ROUND(N226/60,0), "")</f>
        <v/>
      </c>
    </row>
    <row r="227" customFormat="false" ht="14.35" hidden="false" customHeight="false" outlineLevel="0" collapsed="false">
      <c r="O227" s="0" t="str">
        <f aca="false">IF(NOT(ISBLANK(N227)), ROUND(N227/60,0), "")</f>
        <v/>
      </c>
    </row>
    <row r="228" customFormat="false" ht="14.35" hidden="false" customHeight="false" outlineLevel="0" collapsed="false">
      <c r="O228" s="0" t="str">
        <f aca="false">IF(NOT(ISBLANK(N228)), ROUND(N228/60,0), "")</f>
        <v/>
      </c>
    </row>
    <row r="229" customFormat="false" ht="14.35" hidden="false" customHeight="false" outlineLevel="0" collapsed="false">
      <c r="O229" s="0" t="str">
        <f aca="false">IF(NOT(ISBLANK(N229)), ROUND(N229/60,0), "")</f>
        <v/>
      </c>
    </row>
    <row r="230" customFormat="false" ht="14.35" hidden="false" customHeight="false" outlineLevel="0" collapsed="false">
      <c r="O230" s="0" t="str">
        <f aca="false">IF(NOT(ISBLANK(N230)), ROUND(N230/60,0), "")</f>
        <v/>
      </c>
    </row>
    <row r="231" customFormat="false" ht="14.35" hidden="false" customHeight="false" outlineLevel="0" collapsed="false">
      <c r="O231" s="0" t="str">
        <f aca="false">IF(NOT(ISBLANK(N231)), ROUND(N231/60,0), "")</f>
        <v/>
      </c>
    </row>
    <row r="232" customFormat="false" ht="14.35" hidden="false" customHeight="false" outlineLevel="0" collapsed="false">
      <c r="O232" s="0" t="str">
        <f aca="false">IF(NOT(ISBLANK(N232)), ROUND(N232/60,0), "")</f>
        <v/>
      </c>
    </row>
    <row r="233" customFormat="false" ht="14.35" hidden="false" customHeight="false" outlineLevel="0" collapsed="false">
      <c r="O233" s="0" t="str">
        <f aca="false">IF(NOT(ISBLANK(N233)), ROUND(N233/60,0), "")</f>
        <v/>
      </c>
    </row>
    <row r="234" customFormat="false" ht="14.35" hidden="false" customHeight="false" outlineLevel="0" collapsed="false">
      <c r="O234" s="0" t="str">
        <f aca="false">IF(NOT(ISBLANK(N234)), ROUND(N234/60,0), "")</f>
        <v/>
      </c>
    </row>
    <row r="235" customFormat="false" ht="14.35" hidden="false" customHeight="false" outlineLevel="0" collapsed="false">
      <c r="O235" s="0" t="str">
        <f aca="false">IF(NOT(ISBLANK(N235)), ROUND(N235/60,0), "")</f>
        <v/>
      </c>
    </row>
    <row r="236" customFormat="false" ht="14.35" hidden="false" customHeight="false" outlineLevel="0" collapsed="false">
      <c r="O236" s="0" t="str">
        <f aca="false">IF(NOT(ISBLANK(N236)), ROUND(N236/60,0), "")</f>
        <v/>
      </c>
    </row>
    <row r="237" customFormat="false" ht="14.35" hidden="false" customHeight="false" outlineLevel="0" collapsed="false">
      <c r="O237" s="0" t="str">
        <f aca="false">IF(NOT(ISBLANK(N237)), ROUND(N237/60,0), "")</f>
        <v/>
      </c>
    </row>
    <row r="238" customFormat="false" ht="14.35" hidden="false" customHeight="false" outlineLevel="0" collapsed="false">
      <c r="O238" s="0" t="str">
        <f aca="false">IF(NOT(ISBLANK(N238)), ROUND(N238/60,0), "")</f>
        <v/>
      </c>
    </row>
    <row r="239" customFormat="false" ht="14.35" hidden="false" customHeight="false" outlineLevel="0" collapsed="false">
      <c r="O239" s="0" t="str">
        <f aca="false">IF(NOT(ISBLANK(N239)), ROUND(N239/60,0), "")</f>
        <v/>
      </c>
    </row>
    <row r="240" customFormat="false" ht="14.35" hidden="false" customHeight="false" outlineLevel="0" collapsed="false">
      <c r="O240" s="0" t="str">
        <f aca="false">IF(NOT(ISBLANK(N240)), ROUND(N240/60,0), "")</f>
        <v/>
      </c>
    </row>
    <row r="241" customFormat="false" ht="14.35" hidden="false" customHeight="false" outlineLevel="0" collapsed="false">
      <c r="O241" s="0" t="str">
        <f aca="false">IF(NOT(ISBLANK(N241)), ROUND(N241/60,0), "")</f>
        <v/>
      </c>
    </row>
    <row r="242" customFormat="false" ht="14.35" hidden="false" customHeight="false" outlineLevel="0" collapsed="false">
      <c r="O242" s="0" t="str">
        <f aca="false">IF(NOT(ISBLANK(N242)), ROUND(N242/60,0), "")</f>
        <v/>
      </c>
    </row>
    <row r="243" customFormat="false" ht="14.35" hidden="false" customHeight="false" outlineLevel="0" collapsed="false">
      <c r="O243" s="0" t="str">
        <f aca="false">IF(NOT(ISBLANK(N243)), ROUND(N243/60,0), "")</f>
        <v/>
      </c>
    </row>
    <row r="244" customFormat="false" ht="14.35" hidden="false" customHeight="false" outlineLevel="0" collapsed="false">
      <c r="O244" s="0" t="str">
        <f aca="false">IF(NOT(ISBLANK(N244)), ROUND(N244/60,0), "")</f>
        <v/>
      </c>
    </row>
    <row r="245" customFormat="false" ht="14.35" hidden="false" customHeight="false" outlineLevel="0" collapsed="false">
      <c r="O245" s="0" t="str">
        <f aca="false">IF(NOT(ISBLANK(N245)), ROUND(N245/60,0), "")</f>
        <v/>
      </c>
    </row>
    <row r="246" customFormat="false" ht="14.35" hidden="false" customHeight="false" outlineLevel="0" collapsed="false">
      <c r="O246" s="0" t="str">
        <f aca="false">IF(NOT(ISBLANK(N246)), ROUND(N246/60,0), "")</f>
        <v/>
      </c>
    </row>
    <row r="247" customFormat="false" ht="14.35" hidden="false" customHeight="false" outlineLevel="0" collapsed="false">
      <c r="O247" s="0" t="str">
        <f aca="false">IF(NOT(ISBLANK(N247)), ROUND(N247/60,0), "")</f>
        <v/>
      </c>
    </row>
    <row r="248" customFormat="false" ht="14.35" hidden="false" customHeight="false" outlineLevel="0" collapsed="false">
      <c r="O248" s="0" t="str">
        <f aca="false">IF(NOT(ISBLANK(N248)), ROUND(N248/60,0), "")</f>
        <v/>
      </c>
    </row>
    <row r="249" customFormat="false" ht="14.35" hidden="false" customHeight="false" outlineLevel="0" collapsed="false">
      <c r="O249" s="0" t="str">
        <f aca="false">IF(NOT(ISBLANK(N249)), ROUND(N249/60,0), "")</f>
        <v/>
      </c>
    </row>
    <row r="250" customFormat="false" ht="14.35" hidden="false" customHeight="false" outlineLevel="0" collapsed="false">
      <c r="O250" s="0" t="str">
        <f aca="false">IF(NOT(ISBLANK(N250)), ROUND(N250/60,0), "")</f>
        <v/>
      </c>
    </row>
    <row r="251" customFormat="false" ht="14.35" hidden="false" customHeight="false" outlineLevel="0" collapsed="false">
      <c r="O251" s="0" t="str">
        <f aca="false">IF(NOT(ISBLANK(N251)), ROUND(N251/60,0), "")</f>
        <v/>
      </c>
    </row>
    <row r="252" customFormat="false" ht="14.35" hidden="false" customHeight="false" outlineLevel="0" collapsed="false">
      <c r="O252" s="0" t="str">
        <f aca="false">IF(NOT(ISBLANK(N252)), ROUND(N252/60,0), "")</f>
        <v/>
      </c>
    </row>
    <row r="253" customFormat="false" ht="14.35" hidden="false" customHeight="false" outlineLevel="0" collapsed="false">
      <c r="O253" s="0" t="str">
        <f aca="false">IF(NOT(ISBLANK(N253)), ROUND(N253/60,0), "")</f>
        <v/>
      </c>
    </row>
    <row r="254" customFormat="false" ht="14.35" hidden="false" customHeight="false" outlineLevel="0" collapsed="false">
      <c r="O254" s="0" t="str">
        <f aca="false">IF(NOT(ISBLANK(N254)), ROUND(N254/60,0), "")</f>
        <v/>
      </c>
    </row>
    <row r="255" customFormat="false" ht="14.35" hidden="false" customHeight="false" outlineLevel="0" collapsed="false">
      <c r="O255" s="0" t="str">
        <f aca="false">IF(NOT(ISBLANK(N255)), ROUND(N255/60,0), "")</f>
        <v/>
      </c>
    </row>
    <row r="256" customFormat="false" ht="14.35" hidden="false" customHeight="false" outlineLevel="0" collapsed="false">
      <c r="O256" s="0" t="str">
        <f aca="false">IF(NOT(ISBLANK(N256)), ROUND(N256/60,0), "")</f>
        <v/>
      </c>
    </row>
    <row r="257" customFormat="false" ht="14.35" hidden="false" customHeight="false" outlineLevel="0" collapsed="false">
      <c r="O257" s="0" t="str">
        <f aca="false">IF(NOT(ISBLANK(N257)), ROUND(N257/60,0), "")</f>
        <v/>
      </c>
    </row>
    <row r="258" customFormat="false" ht="14.35" hidden="false" customHeight="false" outlineLevel="0" collapsed="false">
      <c r="O258" s="0" t="str">
        <f aca="false">IF(NOT(ISBLANK(N258)), ROUND(N258/60,0), "")</f>
        <v/>
      </c>
    </row>
    <row r="259" customFormat="false" ht="14.35" hidden="false" customHeight="false" outlineLevel="0" collapsed="false">
      <c r="O259" s="0" t="str">
        <f aca="false">IF(NOT(ISBLANK(N259)), ROUND(N259/60,0), "")</f>
        <v/>
      </c>
    </row>
    <row r="260" customFormat="false" ht="14.35" hidden="false" customHeight="false" outlineLevel="0" collapsed="false">
      <c r="O260" s="0" t="str">
        <f aca="false">IF(NOT(ISBLANK(N260)), ROUND(N260/60,0), "")</f>
        <v/>
      </c>
    </row>
    <row r="261" customFormat="false" ht="14.35" hidden="false" customHeight="false" outlineLevel="0" collapsed="false">
      <c r="O261" s="0" t="str">
        <f aca="false">IF(NOT(ISBLANK(N261)), ROUND(N261/60,0), "")</f>
        <v/>
      </c>
    </row>
    <row r="262" customFormat="false" ht="14.35" hidden="false" customHeight="false" outlineLevel="0" collapsed="false">
      <c r="O262" s="0" t="str">
        <f aca="false">IF(NOT(ISBLANK(N262)), ROUND(N262/60,0), "")</f>
        <v/>
      </c>
    </row>
    <row r="263" customFormat="false" ht="14.35" hidden="false" customHeight="false" outlineLevel="0" collapsed="false">
      <c r="O263" s="0" t="str">
        <f aca="false">IF(NOT(ISBLANK(N263)), ROUND(N263/60,0), "")</f>
        <v/>
      </c>
    </row>
    <row r="264" customFormat="false" ht="14.35" hidden="false" customHeight="false" outlineLevel="0" collapsed="false">
      <c r="O264" s="0" t="str">
        <f aca="false">IF(NOT(ISBLANK(N264)), ROUND(N264/60,0), "")</f>
        <v/>
      </c>
    </row>
    <row r="265" customFormat="false" ht="14.35" hidden="false" customHeight="false" outlineLevel="0" collapsed="false">
      <c r="O265" s="0" t="str">
        <f aca="false">IF(NOT(ISBLANK(N265)), ROUND(N265/60,0), "")</f>
        <v/>
      </c>
    </row>
    <row r="266" customFormat="false" ht="14.35" hidden="false" customHeight="false" outlineLevel="0" collapsed="false">
      <c r="O266" s="0" t="str">
        <f aca="false">IF(NOT(ISBLANK(N266)), ROUND(N266/60,0), "")</f>
        <v/>
      </c>
    </row>
    <row r="267" customFormat="false" ht="14.35" hidden="false" customHeight="false" outlineLevel="0" collapsed="false">
      <c r="O267" s="0" t="str">
        <f aca="false">IF(NOT(ISBLANK(N267)), ROUND(N267/60,0), "")</f>
        <v/>
      </c>
    </row>
    <row r="268" customFormat="false" ht="14.35" hidden="false" customHeight="false" outlineLevel="0" collapsed="false">
      <c r="O268" s="0" t="str">
        <f aca="false">IF(NOT(ISBLANK(N268)), ROUND(N268/60,0), "")</f>
        <v/>
      </c>
    </row>
    <row r="269" customFormat="false" ht="14.35" hidden="false" customHeight="false" outlineLevel="0" collapsed="false">
      <c r="O269" s="0" t="str">
        <f aca="false">IF(NOT(ISBLANK(N269)), ROUND(N269/60,0), "")</f>
        <v/>
      </c>
    </row>
    <row r="270" customFormat="false" ht="14.35" hidden="false" customHeight="false" outlineLevel="0" collapsed="false">
      <c r="O270" s="0" t="str">
        <f aca="false">IF(NOT(ISBLANK(N270)), ROUND(N270/60,0), "")</f>
        <v/>
      </c>
    </row>
    <row r="271" customFormat="false" ht="14.35" hidden="false" customHeight="false" outlineLevel="0" collapsed="false">
      <c r="O271" s="0" t="str">
        <f aca="false">IF(NOT(ISBLANK(N271)), ROUND(N271/60,0), "")</f>
        <v/>
      </c>
    </row>
    <row r="272" customFormat="false" ht="14.35" hidden="false" customHeight="false" outlineLevel="0" collapsed="false">
      <c r="O272" s="0" t="str">
        <f aca="false">IF(NOT(ISBLANK(N272)), ROUND(N272/60,0), "")</f>
        <v/>
      </c>
    </row>
    <row r="273" customFormat="false" ht="14.35" hidden="false" customHeight="false" outlineLevel="0" collapsed="false">
      <c r="O273" s="0" t="str">
        <f aca="false">IF(NOT(ISBLANK(N273)), ROUND(N273/60,0), "")</f>
        <v/>
      </c>
    </row>
    <row r="274" customFormat="false" ht="14.35" hidden="false" customHeight="false" outlineLevel="0" collapsed="false">
      <c r="O274" s="0" t="str">
        <f aca="false">IF(NOT(ISBLANK(N274)), ROUND(N274/60,0), "")</f>
        <v/>
      </c>
    </row>
    <row r="275" customFormat="false" ht="14.35" hidden="false" customHeight="false" outlineLevel="0" collapsed="false">
      <c r="O275" s="0" t="str">
        <f aca="false">IF(NOT(ISBLANK(N275)), ROUND(N275/60,0), "")</f>
        <v/>
      </c>
    </row>
    <row r="276" customFormat="false" ht="14.35" hidden="false" customHeight="false" outlineLevel="0" collapsed="false">
      <c r="O276" s="0" t="str">
        <f aca="false">IF(NOT(ISBLANK(N276)), ROUND(N276/60,0), "")</f>
        <v/>
      </c>
    </row>
    <row r="277" customFormat="false" ht="14.35" hidden="false" customHeight="false" outlineLevel="0" collapsed="false">
      <c r="O277" s="0" t="str">
        <f aca="false">IF(NOT(ISBLANK(N277)), ROUND(N277/60,0), "")</f>
        <v/>
      </c>
    </row>
    <row r="278" customFormat="false" ht="14.35" hidden="false" customHeight="false" outlineLevel="0" collapsed="false">
      <c r="O278" s="0" t="str">
        <f aca="false">IF(NOT(ISBLANK(N278)), ROUND(N278/60,0), "")</f>
        <v/>
      </c>
    </row>
    <row r="279" customFormat="false" ht="14.35" hidden="false" customHeight="false" outlineLevel="0" collapsed="false">
      <c r="O279" s="0" t="str">
        <f aca="false">IF(NOT(ISBLANK(N279)), ROUND(N279/60,0), "")</f>
        <v/>
      </c>
    </row>
    <row r="280" customFormat="false" ht="14.35" hidden="false" customHeight="false" outlineLevel="0" collapsed="false">
      <c r="O280" s="0" t="str">
        <f aca="false">IF(NOT(ISBLANK(N280)), ROUND(N280/60,0), "")</f>
        <v/>
      </c>
    </row>
    <row r="281" customFormat="false" ht="14.35" hidden="false" customHeight="false" outlineLevel="0" collapsed="false">
      <c r="O281" s="0" t="str">
        <f aca="false">IF(NOT(ISBLANK(N281)), ROUND(N281/60,0), "")</f>
        <v/>
      </c>
    </row>
    <row r="282" customFormat="false" ht="14.35" hidden="false" customHeight="false" outlineLevel="0" collapsed="false">
      <c r="O282" s="0" t="str">
        <f aca="false">IF(NOT(ISBLANK(N282)), ROUND(N282/60,0), "")</f>
        <v/>
      </c>
    </row>
    <row r="283" customFormat="false" ht="14.35" hidden="false" customHeight="false" outlineLevel="0" collapsed="false">
      <c r="O283" s="0" t="str">
        <f aca="false">IF(NOT(ISBLANK(N283)), ROUND(N283/60,0), "")</f>
        <v/>
      </c>
    </row>
    <row r="284" customFormat="false" ht="14.35" hidden="false" customHeight="false" outlineLevel="0" collapsed="false">
      <c r="O284" s="0" t="str">
        <f aca="false">IF(NOT(ISBLANK(N284)), ROUND(N284/60,0), "")</f>
        <v/>
      </c>
    </row>
    <row r="285" customFormat="false" ht="14.35" hidden="false" customHeight="false" outlineLevel="0" collapsed="false">
      <c r="O285" s="0" t="str">
        <f aca="false">IF(NOT(ISBLANK(N285)), ROUND(N285/60,0), "")</f>
        <v/>
      </c>
    </row>
    <row r="286" customFormat="false" ht="14.35" hidden="false" customHeight="false" outlineLevel="0" collapsed="false">
      <c r="O286" s="0" t="str">
        <f aca="false">IF(NOT(ISBLANK(N286)), ROUND(N286/60,0), "")</f>
        <v/>
      </c>
    </row>
    <row r="287" customFormat="false" ht="14.35" hidden="false" customHeight="false" outlineLevel="0" collapsed="false">
      <c r="O287" s="0" t="str">
        <f aca="false">IF(NOT(ISBLANK(N287)), ROUND(N287/60,0), "")</f>
        <v/>
      </c>
    </row>
    <row r="288" customFormat="false" ht="14.35" hidden="false" customHeight="false" outlineLevel="0" collapsed="false">
      <c r="O288" s="0" t="str">
        <f aca="false">IF(NOT(ISBLANK(N288)), ROUND(N288/60,0), "")</f>
        <v/>
      </c>
    </row>
    <row r="289" customFormat="false" ht="14.35" hidden="false" customHeight="false" outlineLevel="0" collapsed="false">
      <c r="O289" s="0" t="str">
        <f aca="false">IF(NOT(ISBLANK(N289)), ROUND(N289/60,0), "")</f>
        <v/>
      </c>
    </row>
    <row r="290" customFormat="false" ht="14.35" hidden="false" customHeight="false" outlineLevel="0" collapsed="false">
      <c r="O290" s="0" t="str">
        <f aca="false">IF(NOT(ISBLANK(N290)), ROUND(N290/60,0), "")</f>
        <v/>
      </c>
    </row>
    <row r="291" customFormat="false" ht="14.35" hidden="false" customHeight="false" outlineLevel="0" collapsed="false">
      <c r="O291" s="0" t="str">
        <f aca="false">IF(NOT(ISBLANK(N291)), ROUND(N291/60,0), "")</f>
        <v/>
      </c>
    </row>
  </sheetData>
  <mergeCells count="4">
    <mergeCell ref="A1:D1"/>
    <mergeCell ref="F1:I1"/>
    <mergeCell ref="L1:O1"/>
    <mergeCell ref="S1:X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D18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S24" activeCellId="0" sqref="S24"/>
    </sheetView>
  </sheetViews>
  <sheetFormatPr defaultColWidth="11.23046875" defaultRowHeight="12.8" customHeight="false" zeroHeight="false" outlineLevelRow="0" outlineLevelCol="0"/>
  <cols>
    <col collapsed="false" customWidth="true" hidden="false" outlineLevel="0" max="1" min="1" style="0" width="18.39"/>
    <col collapsed="false" customWidth="true" hidden="false" outlineLevel="0" max="2" min="2" style="0" width="10.38"/>
    <col collapsed="false" customWidth="true" hidden="false" outlineLevel="0" max="5" min="3" style="0" width="13.96"/>
    <col collapsed="false" customWidth="true" hidden="false" outlineLevel="0" max="8" min="8" style="0" width="20.04"/>
    <col collapsed="false" customWidth="true" hidden="false" outlineLevel="0" max="18" min="9" style="0" width="4.55"/>
    <col collapsed="false" customWidth="true" hidden="false" outlineLevel="0" max="20" min="20" style="0" width="20.04"/>
    <col collapsed="false" customWidth="true" hidden="false" outlineLevel="0" max="30" min="21" style="0" width="4.55"/>
  </cols>
  <sheetData>
    <row r="2" customFormat="false" ht="15" hidden="false" customHeight="false" outlineLevel="0" collapsed="false">
      <c r="A2" s="19" t="s">
        <v>21</v>
      </c>
      <c r="B2" s="19" t="s">
        <v>22</v>
      </c>
      <c r="C2" s="19"/>
      <c r="D2" s="19" t="s">
        <v>51</v>
      </c>
      <c r="E2" s="19" t="s">
        <v>52</v>
      </c>
      <c r="H2" s="27" t="s">
        <v>21</v>
      </c>
      <c r="I2" s="28" t="s">
        <v>53</v>
      </c>
      <c r="J2" s="28"/>
      <c r="K2" s="28"/>
      <c r="L2" s="28"/>
      <c r="M2" s="28"/>
      <c r="N2" s="28"/>
      <c r="O2" s="28"/>
      <c r="P2" s="28"/>
      <c r="Q2" s="28"/>
      <c r="R2" s="28"/>
      <c r="T2" s="27" t="s">
        <v>21</v>
      </c>
      <c r="U2" s="28" t="s">
        <v>53</v>
      </c>
      <c r="V2" s="28"/>
      <c r="W2" s="28"/>
      <c r="X2" s="28"/>
      <c r="Y2" s="28"/>
      <c r="Z2" s="28"/>
      <c r="AA2" s="28"/>
      <c r="AB2" s="28"/>
      <c r="AC2" s="28"/>
      <c r="AD2" s="28"/>
    </row>
    <row r="3" customFormat="false" ht="15" hidden="false" customHeight="false" outlineLevel="0" collapsed="false">
      <c r="A3" s="0" t="s">
        <v>31</v>
      </c>
      <c r="B3" s="0" t="n">
        <v>5</v>
      </c>
      <c r="C3" s="19"/>
      <c r="D3" s="26" t="s">
        <v>2</v>
      </c>
      <c r="E3" s="26" t="s">
        <v>19</v>
      </c>
      <c r="H3" s="27"/>
      <c r="I3" s="29" t="n">
        <v>5</v>
      </c>
      <c r="J3" s="29" t="n">
        <v>10</v>
      </c>
      <c r="K3" s="29" t="n">
        <v>15</v>
      </c>
      <c r="L3" s="29" t="n">
        <v>20</v>
      </c>
      <c r="M3" s="29" t="n">
        <v>30</v>
      </c>
      <c r="N3" s="29" t="n">
        <v>40</v>
      </c>
      <c r="O3" s="29" t="n">
        <v>50</v>
      </c>
      <c r="P3" s="29" t="n">
        <v>64</v>
      </c>
      <c r="Q3" s="29" t="n">
        <v>82</v>
      </c>
      <c r="R3" s="30" t="n">
        <v>100</v>
      </c>
      <c r="T3" s="27"/>
      <c r="U3" s="29" t="n">
        <v>5</v>
      </c>
      <c r="V3" s="29" t="n">
        <v>10</v>
      </c>
      <c r="W3" s="29" t="n">
        <v>15</v>
      </c>
      <c r="X3" s="29" t="n">
        <v>20</v>
      </c>
      <c r="Y3" s="29" t="n">
        <v>30</v>
      </c>
      <c r="Z3" s="29" t="n">
        <v>40</v>
      </c>
      <c r="AA3" s="29" t="n">
        <v>50</v>
      </c>
      <c r="AB3" s="29" t="n">
        <v>64</v>
      </c>
      <c r="AC3" s="29" t="n">
        <v>82</v>
      </c>
      <c r="AD3" s="30" t="n">
        <v>100</v>
      </c>
    </row>
    <row r="4" customFormat="false" ht="15" hidden="false" customHeight="false" outlineLevel="0" collapsed="false">
      <c r="A4" s="0" t="s">
        <v>31</v>
      </c>
      <c r="B4" s="0" t="n">
        <v>10</v>
      </c>
      <c r="C4" s="0" t="n">
        <v>2056</v>
      </c>
      <c r="D4" s="26"/>
      <c r="E4" s="26"/>
      <c r="H4" s="31" t="s">
        <v>54</v>
      </c>
      <c r="I4" s="32"/>
      <c r="J4" s="33"/>
      <c r="K4" s="33"/>
      <c r="L4" s="33"/>
      <c r="M4" s="33"/>
      <c r="N4" s="33"/>
      <c r="O4" s="33"/>
      <c r="P4" s="33"/>
      <c r="Q4" s="33"/>
      <c r="R4" s="34"/>
      <c r="T4" s="31" t="s">
        <v>54</v>
      </c>
      <c r="U4" s="32"/>
      <c r="V4" s="33"/>
      <c r="W4" s="33"/>
      <c r="X4" s="33"/>
      <c r="Y4" s="33"/>
      <c r="Z4" s="33"/>
      <c r="AA4" s="33"/>
      <c r="AB4" s="33"/>
      <c r="AC4" s="33"/>
      <c r="AD4" s="34"/>
    </row>
    <row r="5" customFormat="false" ht="15" hidden="false" customHeight="false" outlineLevel="0" collapsed="false">
      <c r="A5" s="0" t="s">
        <v>31</v>
      </c>
      <c r="B5" s="0" t="n">
        <v>15</v>
      </c>
      <c r="C5" s="0" t="n">
        <v>1016</v>
      </c>
      <c r="D5" s="26"/>
      <c r="E5" s="26"/>
      <c r="H5" s="31" t="s">
        <v>55</v>
      </c>
      <c r="I5" s="32"/>
      <c r="J5" s="33"/>
      <c r="K5" s="33"/>
      <c r="L5" s="33"/>
      <c r="M5" s="33"/>
      <c r="N5" s="33"/>
      <c r="O5" s="33"/>
      <c r="P5" s="33"/>
      <c r="Q5" s="33"/>
      <c r="R5" s="34"/>
      <c r="T5" s="31" t="s">
        <v>55</v>
      </c>
      <c r="U5" s="32"/>
      <c r="V5" s="33"/>
      <c r="W5" s="33"/>
      <c r="X5" s="33"/>
      <c r="Y5" s="33"/>
      <c r="Z5" s="35"/>
      <c r="AA5" s="33"/>
      <c r="AB5" s="33"/>
      <c r="AC5" s="33"/>
      <c r="AD5" s="36"/>
    </row>
    <row r="6" customFormat="false" ht="15" hidden="false" customHeight="false" outlineLevel="0" collapsed="false">
      <c r="A6" s="0" t="s">
        <v>31</v>
      </c>
      <c r="B6" s="0" t="n">
        <v>20</v>
      </c>
      <c r="C6" s="0" t="n">
        <v>755</v>
      </c>
      <c r="D6" s="26"/>
      <c r="E6" s="26"/>
      <c r="H6" s="31" t="s">
        <v>56</v>
      </c>
      <c r="I6" s="32"/>
      <c r="J6" s="32"/>
      <c r="K6" s="33"/>
      <c r="L6" s="33"/>
      <c r="M6" s="33"/>
      <c r="N6" s="33"/>
      <c r="O6" s="33"/>
      <c r="P6" s="33"/>
      <c r="Q6" s="33"/>
      <c r="R6" s="34"/>
      <c r="T6" s="31" t="s">
        <v>56</v>
      </c>
      <c r="U6" s="32"/>
      <c r="V6" s="32"/>
      <c r="W6" s="33"/>
      <c r="X6" s="33"/>
      <c r="Y6" s="33"/>
      <c r="Z6" s="35"/>
      <c r="AA6" s="35"/>
      <c r="AB6" s="33"/>
      <c r="AC6" s="33"/>
      <c r="AD6" s="36"/>
    </row>
    <row r="7" customFormat="false" ht="15" hidden="false" customHeight="false" outlineLevel="0" collapsed="false">
      <c r="A7" s="0" t="s">
        <v>31</v>
      </c>
      <c r="B7" s="0" t="n">
        <v>30</v>
      </c>
      <c r="C7" s="0" t="n">
        <v>645</v>
      </c>
      <c r="D7" s="26"/>
      <c r="E7" s="26"/>
      <c r="H7" s="31" t="s">
        <v>57</v>
      </c>
      <c r="I7" s="32"/>
      <c r="J7" s="33"/>
      <c r="K7" s="33"/>
      <c r="L7" s="33"/>
      <c r="M7" s="33"/>
      <c r="N7" s="33"/>
      <c r="O7" s="33"/>
      <c r="P7" s="33"/>
      <c r="Q7" s="33"/>
      <c r="R7" s="34"/>
      <c r="T7" s="31" t="s">
        <v>57</v>
      </c>
      <c r="U7" s="32"/>
      <c r="V7" s="33"/>
      <c r="W7" s="32"/>
      <c r="X7" s="33"/>
      <c r="Y7" s="33"/>
      <c r="Z7" s="33"/>
      <c r="AA7" s="33"/>
      <c r="AB7" s="33"/>
      <c r="AC7" s="33"/>
      <c r="AD7" s="34"/>
    </row>
    <row r="8" customFormat="false" ht="15" hidden="false" customHeight="false" outlineLevel="0" collapsed="false">
      <c r="A8" s="0" t="s">
        <v>31</v>
      </c>
      <c r="B8" s="0" t="n">
        <v>40</v>
      </c>
      <c r="C8" s="0" t="n">
        <v>500</v>
      </c>
      <c r="D8" s="26"/>
      <c r="E8" s="26"/>
      <c r="H8" s="31" t="s">
        <v>58</v>
      </c>
      <c r="I8" s="32"/>
      <c r="J8" s="32"/>
      <c r="K8" s="32"/>
      <c r="L8" s="32"/>
      <c r="M8" s="33"/>
      <c r="N8" s="33"/>
      <c r="O8" s="33"/>
      <c r="P8" s="33"/>
      <c r="Q8" s="33"/>
      <c r="R8" s="34"/>
      <c r="T8" s="31" t="s">
        <v>58</v>
      </c>
      <c r="U8" s="37"/>
      <c r="V8" s="32"/>
      <c r="W8" s="37"/>
      <c r="X8" s="32"/>
      <c r="Y8" s="33"/>
      <c r="Z8" s="33"/>
      <c r="AA8" s="33"/>
      <c r="AB8" s="35"/>
      <c r="AC8" s="33"/>
      <c r="AD8" s="36"/>
    </row>
    <row r="9" customFormat="false" ht="15" hidden="false" customHeight="false" outlineLevel="0" collapsed="false">
      <c r="A9" s="0" t="s">
        <v>31</v>
      </c>
      <c r="B9" s="0" t="n">
        <v>50</v>
      </c>
      <c r="C9" s="0" t="n">
        <v>405</v>
      </c>
      <c r="D9" s="26"/>
      <c r="E9" s="26"/>
      <c r="H9" s="31" t="s">
        <v>59</v>
      </c>
      <c r="I9" s="33"/>
      <c r="J9" s="33"/>
      <c r="K9" s="33"/>
      <c r="L9" s="33"/>
      <c r="M9" s="33"/>
      <c r="N9" s="33"/>
      <c r="O9" s="33"/>
      <c r="P9" s="33"/>
      <c r="Q9" s="33"/>
      <c r="R9" s="34"/>
      <c r="T9" s="31" t="s">
        <v>59</v>
      </c>
      <c r="U9" s="33"/>
      <c r="V9" s="33"/>
      <c r="W9" s="33"/>
      <c r="X9" s="35"/>
      <c r="Y9" s="35"/>
      <c r="Z9" s="35"/>
      <c r="AA9" s="35"/>
      <c r="AB9" s="35"/>
      <c r="AC9" s="35"/>
      <c r="AD9" s="36"/>
    </row>
    <row r="10" customFormat="false" ht="15" hidden="false" customHeight="false" outlineLevel="0" collapsed="false">
      <c r="A10" s="0" t="s">
        <v>31</v>
      </c>
      <c r="B10" s="0" t="n">
        <v>64</v>
      </c>
      <c r="C10" s="0" t="n">
        <v>389</v>
      </c>
      <c r="D10" s="26"/>
      <c r="E10" s="26"/>
      <c r="H10" s="31" t="s">
        <v>60</v>
      </c>
      <c r="I10" s="33"/>
      <c r="J10" s="33"/>
      <c r="K10" s="33"/>
      <c r="L10" s="33"/>
      <c r="M10" s="33"/>
      <c r="N10" s="33"/>
      <c r="O10" s="33"/>
      <c r="P10" s="33"/>
      <c r="Q10" s="33"/>
      <c r="R10" s="34"/>
      <c r="T10" s="31" t="s">
        <v>60</v>
      </c>
      <c r="U10" s="33"/>
      <c r="V10" s="33"/>
      <c r="W10" s="33"/>
      <c r="X10" s="33"/>
      <c r="Y10" s="33"/>
      <c r="Z10" s="33"/>
      <c r="AA10" s="33"/>
      <c r="AB10" s="33"/>
      <c r="AC10" s="33"/>
      <c r="AD10" s="34"/>
    </row>
    <row r="11" customFormat="false" ht="15" hidden="false" customHeight="false" outlineLevel="0" collapsed="false">
      <c r="A11" s="0" t="s">
        <v>31</v>
      </c>
      <c r="B11" s="0" t="n">
        <v>82</v>
      </c>
      <c r="C11" s="0" t="n">
        <v>363</v>
      </c>
      <c r="D11" s="26"/>
      <c r="E11" s="26"/>
      <c r="H11" s="31" t="s">
        <v>61</v>
      </c>
      <c r="I11" s="33"/>
      <c r="J11" s="33"/>
      <c r="K11" s="33"/>
      <c r="L11" s="33"/>
      <c r="M11" s="33"/>
      <c r="N11" s="33"/>
      <c r="O11" s="33"/>
      <c r="P11" s="33"/>
      <c r="Q11" s="33"/>
      <c r="R11" s="34"/>
      <c r="T11" s="31" t="s">
        <v>61</v>
      </c>
      <c r="U11" s="33"/>
      <c r="V11" s="33"/>
      <c r="W11" s="33"/>
      <c r="X11" s="33"/>
      <c r="Y11" s="35"/>
      <c r="Z11" s="35"/>
      <c r="AA11" s="38"/>
      <c r="AB11" s="35"/>
      <c r="AC11" s="35"/>
      <c r="AD11" s="36"/>
    </row>
    <row r="12" customFormat="false" ht="15" hidden="false" customHeight="false" outlineLevel="0" collapsed="false">
      <c r="A12" s="0" t="s">
        <v>31</v>
      </c>
      <c r="B12" s="0" t="n">
        <v>100</v>
      </c>
      <c r="C12" s="0" t="n">
        <v>278</v>
      </c>
      <c r="D12" s="26"/>
      <c r="E12" s="26"/>
      <c r="H12" s="31" t="s">
        <v>62</v>
      </c>
      <c r="I12" s="33"/>
      <c r="J12" s="33"/>
      <c r="K12" s="33"/>
      <c r="L12" s="33"/>
      <c r="M12" s="33"/>
      <c r="N12" s="33"/>
      <c r="O12" s="33"/>
      <c r="P12" s="33"/>
      <c r="Q12" s="33"/>
      <c r="R12" s="34"/>
      <c r="T12" s="31" t="s">
        <v>62</v>
      </c>
      <c r="U12" s="33"/>
      <c r="V12" s="33"/>
      <c r="W12" s="33"/>
      <c r="X12" s="33"/>
      <c r="Y12" s="33"/>
      <c r="Z12" s="33"/>
      <c r="AA12" s="33"/>
      <c r="AB12" s="33"/>
      <c r="AC12" s="33"/>
      <c r="AD12" s="34"/>
    </row>
    <row r="13" customFormat="false" ht="15" hidden="false" customHeight="false" outlineLevel="0" collapsed="false">
      <c r="A13" s="0" t="s">
        <v>32</v>
      </c>
      <c r="B13" s="0" t="n">
        <v>5</v>
      </c>
      <c r="D13" s="26" t="s">
        <v>2</v>
      </c>
      <c r="E13" s="26" t="s">
        <v>19</v>
      </c>
      <c r="H13" s="31" t="s">
        <v>63</v>
      </c>
      <c r="I13" s="32"/>
      <c r="J13" s="33"/>
      <c r="K13" s="33"/>
      <c r="L13" s="33"/>
      <c r="M13" s="33"/>
      <c r="N13" s="33"/>
      <c r="O13" s="33"/>
      <c r="P13" s="33"/>
      <c r="Q13" s="33"/>
      <c r="R13" s="34"/>
      <c r="T13" s="31" t="s">
        <v>63</v>
      </c>
      <c r="U13" s="32"/>
      <c r="V13" s="35"/>
      <c r="W13" s="35"/>
      <c r="X13" s="33"/>
      <c r="Y13" s="33"/>
      <c r="Z13" s="33"/>
      <c r="AA13" s="33"/>
      <c r="AB13" s="33"/>
      <c r="AC13" s="33"/>
      <c r="AD13" s="34"/>
    </row>
    <row r="14" customFormat="false" ht="15" hidden="false" customHeight="false" outlineLevel="0" collapsed="false">
      <c r="A14" s="0" t="s">
        <v>32</v>
      </c>
      <c r="B14" s="0" t="n">
        <v>10</v>
      </c>
      <c r="C14" s="0" t="n">
        <v>1594</v>
      </c>
      <c r="D14" s="26"/>
      <c r="E14" s="26"/>
      <c r="H14" s="31" t="s">
        <v>64</v>
      </c>
      <c r="I14" s="32"/>
      <c r="J14" s="33"/>
      <c r="K14" s="33"/>
      <c r="L14" s="33"/>
      <c r="M14" s="33"/>
      <c r="N14" s="33"/>
      <c r="O14" s="33"/>
      <c r="P14" s="33"/>
      <c r="Q14" s="33"/>
      <c r="R14" s="34"/>
      <c r="T14" s="31" t="s">
        <v>64</v>
      </c>
      <c r="U14" s="32"/>
      <c r="V14" s="33"/>
      <c r="W14" s="33"/>
      <c r="X14" s="33"/>
      <c r="Y14" s="33"/>
      <c r="Z14" s="33"/>
      <c r="AA14" s="33"/>
      <c r="AB14" s="33"/>
      <c r="AC14" s="33"/>
      <c r="AD14" s="36"/>
    </row>
    <row r="15" customFormat="false" ht="15" hidden="false" customHeight="false" outlineLevel="0" collapsed="false">
      <c r="A15" s="0" t="s">
        <v>32</v>
      </c>
      <c r="B15" s="0" t="n">
        <v>15</v>
      </c>
      <c r="C15" s="0" t="n">
        <v>1115</v>
      </c>
      <c r="D15" s="26"/>
      <c r="E15" s="26"/>
      <c r="H15" s="31" t="s">
        <v>65</v>
      </c>
      <c r="I15" s="32"/>
      <c r="J15" s="32"/>
      <c r="K15" s="32"/>
      <c r="L15" s="32"/>
      <c r="M15" s="32"/>
      <c r="N15" s="33"/>
      <c r="O15" s="33"/>
      <c r="P15" s="33"/>
      <c r="Q15" s="33"/>
      <c r="R15" s="34"/>
      <c r="T15" s="31" t="s">
        <v>65</v>
      </c>
      <c r="U15" s="37"/>
      <c r="V15" s="37"/>
      <c r="W15" s="37"/>
      <c r="X15" s="37"/>
      <c r="Y15" s="37"/>
      <c r="Z15" s="35"/>
      <c r="AA15" s="35"/>
      <c r="AB15" s="35"/>
      <c r="AC15" s="35"/>
      <c r="AD15" s="36"/>
    </row>
    <row r="16" customFormat="false" ht="15" hidden="false" customHeight="false" outlineLevel="0" collapsed="false">
      <c r="A16" s="0" t="s">
        <v>32</v>
      </c>
      <c r="B16" s="0" t="n">
        <v>20</v>
      </c>
      <c r="C16" s="0" t="n">
        <v>797</v>
      </c>
      <c r="D16" s="26"/>
      <c r="E16" s="26"/>
      <c r="H16" s="31" t="s">
        <v>66</v>
      </c>
      <c r="I16" s="33"/>
      <c r="J16" s="33"/>
      <c r="K16" s="33"/>
      <c r="L16" s="33"/>
      <c r="M16" s="33"/>
      <c r="N16" s="33"/>
      <c r="O16" s="33"/>
      <c r="P16" s="33"/>
      <c r="Q16" s="33"/>
      <c r="R16" s="34"/>
      <c r="T16" s="31" t="s">
        <v>66</v>
      </c>
      <c r="U16" s="33"/>
      <c r="V16" s="33"/>
      <c r="W16" s="33"/>
      <c r="X16" s="33"/>
      <c r="Y16" s="33"/>
      <c r="Z16" s="33"/>
      <c r="AA16" s="33"/>
      <c r="AB16" s="33"/>
      <c r="AC16" s="33"/>
      <c r="AD16" s="34"/>
    </row>
    <row r="17" customFormat="false" ht="15" hidden="false" customHeight="false" outlineLevel="0" collapsed="false">
      <c r="A17" s="0" t="s">
        <v>32</v>
      </c>
      <c r="B17" s="0" t="n">
        <v>30</v>
      </c>
      <c r="C17" s="0" t="n">
        <v>610</v>
      </c>
      <c r="D17" s="26"/>
      <c r="E17" s="26"/>
      <c r="H17" s="31" t="s">
        <v>46</v>
      </c>
      <c r="I17" s="38"/>
      <c r="J17" s="33"/>
      <c r="K17" s="33"/>
      <c r="L17" s="33"/>
      <c r="M17" s="33"/>
      <c r="N17" s="33"/>
      <c r="O17" s="33"/>
      <c r="P17" s="33"/>
      <c r="Q17" s="33"/>
      <c r="R17" s="34"/>
      <c r="T17" s="31" t="s">
        <v>46</v>
      </c>
      <c r="U17" s="38"/>
      <c r="V17" s="33"/>
      <c r="W17" s="33"/>
      <c r="X17" s="33"/>
      <c r="Y17" s="33"/>
      <c r="Z17" s="33"/>
      <c r="AA17" s="33"/>
      <c r="AB17" s="33"/>
      <c r="AC17" s="33"/>
      <c r="AD17" s="34"/>
    </row>
    <row r="18" customFormat="false" ht="15" hidden="false" customHeight="false" outlineLevel="0" collapsed="false">
      <c r="A18" s="0" t="s">
        <v>32</v>
      </c>
      <c r="B18" s="0" t="n">
        <v>40</v>
      </c>
      <c r="C18" s="0" t="n">
        <v>487</v>
      </c>
      <c r="D18" s="26"/>
      <c r="E18" s="26" t="s">
        <v>17</v>
      </c>
      <c r="H18" s="31" t="s">
        <v>67</v>
      </c>
      <c r="I18" s="32"/>
      <c r="J18" s="33"/>
      <c r="K18" s="33"/>
      <c r="L18" s="33"/>
      <c r="M18" s="33"/>
      <c r="N18" s="33"/>
      <c r="O18" s="33"/>
      <c r="P18" s="33"/>
      <c r="Q18" s="33"/>
      <c r="R18" s="34"/>
      <c r="T18" s="31" t="s">
        <v>67</v>
      </c>
      <c r="U18" s="32"/>
      <c r="V18" s="33"/>
      <c r="W18" s="33"/>
      <c r="X18" s="33"/>
      <c r="Y18" s="33"/>
      <c r="Z18" s="33"/>
      <c r="AA18" s="35"/>
      <c r="AB18" s="35"/>
      <c r="AC18" s="35"/>
      <c r="AD18" s="34"/>
    </row>
    <row r="19" customFormat="false" ht="15" hidden="false" customHeight="false" outlineLevel="0" collapsed="false">
      <c r="A19" s="0" t="s">
        <v>32</v>
      </c>
      <c r="B19" s="0" t="n">
        <v>50</v>
      </c>
      <c r="C19" s="0" t="n">
        <v>424</v>
      </c>
      <c r="D19" s="26"/>
      <c r="E19" s="26"/>
      <c r="H19" s="31" t="s">
        <v>68</v>
      </c>
      <c r="I19" s="32"/>
      <c r="J19" s="33"/>
      <c r="K19" s="33"/>
      <c r="L19" s="33"/>
      <c r="M19" s="33"/>
      <c r="N19" s="33"/>
      <c r="O19" s="33"/>
      <c r="P19" s="33"/>
      <c r="Q19" s="33"/>
      <c r="R19" s="34"/>
      <c r="T19" s="31" t="s">
        <v>68</v>
      </c>
      <c r="U19" s="32"/>
      <c r="V19" s="33"/>
      <c r="W19" s="33"/>
      <c r="X19" s="33"/>
      <c r="Y19" s="33"/>
      <c r="Z19" s="35"/>
      <c r="AA19" s="33"/>
      <c r="AB19" s="35"/>
      <c r="AC19" s="35"/>
      <c r="AD19" s="36"/>
    </row>
    <row r="20" customFormat="false" ht="15" hidden="false" customHeight="false" outlineLevel="0" collapsed="false">
      <c r="A20" s="0" t="s">
        <v>32</v>
      </c>
      <c r="B20" s="0" t="n">
        <v>64</v>
      </c>
      <c r="C20" s="0" t="n">
        <v>374</v>
      </c>
      <c r="D20" s="26"/>
      <c r="E20" s="26"/>
      <c r="H20" s="31" t="s">
        <v>69</v>
      </c>
      <c r="I20" s="32"/>
      <c r="J20" s="33"/>
      <c r="K20" s="33"/>
      <c r="L20" s="33"/>
      <c r="M20" s="33"/>
      <c r="N20" s="33"/>
      <c r="O20" s="33"/>
      <c r="P20" s="33"/>
      <c r="Q20" s="33"/>
      <c r="R20" s="34"/>
      <c r="T20" s="31" t="s">
        <v>69</v>
      </c>
      <c r="U20" s="32"/>
      <c r="V20" s="33"/>
      <c r="W20" s="33"/>
      <c r="X20" s="33"/>
      <c r="Y20" s="33"/>
      <c r="Z20" s="33"/>
      <c r="AA20" s="33"/>
      <c r="AB20" s="33"/>
      <c r="AC20" s="33"/>
      <c r="AD20" s="34"/>
    </row>
    <row r="21" customFormat="false" ht="15" hidden="false" customHeight="false" outlineLevel="0" collapsed="false">
      <c r="A21" s="0" t="s">
        <v>32</v>
      </c>
      <c r="B21" s="0" t="n">
        <v>82</v>
      </c>
      <c r="C21" s="0" t="n">
        <v>328</v>
      </c>
      <c r="D21" s="26"/>
      <c r="E21" s="26"/>
      <c r="H21" s="39" t="s">
        <v>50</v>
      </c>
      <c r="I21" s="40"/>
      <c r="J21" s="41"/>
      <c r="K21" s="41"/>
      <c r="L21" s="41"/>
      <c r="M21" s="41"/>
      <c r="N21" s="41"/>
      <c r="O21" s="41"/>
      <c r="P21" s="41"/>
      <c r="Q21" s="41"/>
      <c r="R21" s="42"/>
      <c r="T21" s="39" t="s">
        <v>50</v>
      </c>
      <c r="U21" s="40"/>
      <c r="V21" s="41"/>
      <c r="W21" s="41"/>
      <c r="X21" s="41"/>
      <c r="Y21" s="41"/>
      <c r="Z21" s="41"/>
      <c r="AA21" s="41"/>
      <c r="AB21" s="43"/>
      <c r="AC21" s="43"/>
      <c r="AD21" s="42"/>
    </row>
    <row r="22" customFormat="false" ht="12.8" hidden="false" customHeight="false" outlineLevel="0" collapsed="false">
      <c r="A22" s="0" t="s">
        <v>32</v>
      </c>
      <c r="B22" s="0" t="n">
        <v>100</v>
      </c>
      <c r="C22" s="0" t="n">
        <v>266</v>
      </c>
      <c r="D22" s="26"/>
      <c r="E22" s="26" t="s">
        <v>17</v>
      </c>
    </row>
    <row r="23" customFormat="false" ht="12.8" hidden="false" customHeight="false" outlineLevel="0" collapsed="false">
      <c r="A23" s="0" t="s">
        <v>33</v>
      </c>
      <c r="B23" s="0" t="n">
        <v>5</v>
      </c>
      <c r="D23" s="26" t="s">
        <v>2</v>
      </c>
      <c r="E23" s="26" t="s">
        <v>19</v>
      </c>
    </row>
    <row r="24" customFormat="false" ht="12.8" hidden="false" customHeight="false" outlineLevel="0" collapsed="false">
      <c r="A24" s="0" t="s">
        <v>33</v>
      </c>
      <c r="B24" s="0" t="n">
        <v>10</v>
      </c>
      <c r="D24" s="26" t="s">
        <v>2</v>
      </c>
      <c r="E24" s="26" t="s">
        <v>19</v>
      </c>
    </row>
    <row r="25" customFormat="false" ht="12.8" hidden="false" customHeight="false" outlineLevel="0" collapsed="false">
      <c r="A25" s="0" t="s">
        <v>33</v>
      </c>
      <c r="B25" s="0" t="n">
        <v>15</v>
      </c>
      <c r="C25" s="0" t="n">
        <v>1746</v>
      </c>
      <c r="D25" s="26"/>
      <c r="E25" s="26"/>
    </row>
    <row r="26" customFormat="false" ht="12.8" hidden="false" customHeight="false" outlineLevel="0" collapsed="false">
      <c r="A26" s="0" t="s">
        <v>33</v>
      </c>
      <c r="B26" s="0" t="n">
        <v>20</v>
      </c>
      <c r="C26" s="0" t="n">
        <v>1579</v>
      </c>
      <c r="D26" s="26"/>
      <c r="E26" s="26"/>
    </row>
    <row r="27" customFormat="false" ht="12.8" hidden="false" customHeight="false" outlineLevel="0" collapsed="false">
      <c r="A27" s="0" t="s">
        <v>33</v>
      </c>
      <c r="B27" s="0" t="n">
        <v>30</v>
      </c>
      <c r="C27" s="0" t="n">
        <v>1277</v>
      </c>
      <c r="D27" s="26"/>
      <c r="E27" s="26"/>
    </row>
    <row r="28" customFormat="false" ht="12.8" hidden="false" customHeight="false" outlineLevel="0" collapsed="false">
      <c r="A28" s="0" t="s">
        <v>33</v>
      </c>
      <c r="B28" s="0" t="n">
        <v>40</v>
      </c>
      <c r="C28" s="0" t="n">
        <v>979</v>
      </c>
      <c r="D28" s="26"/>
      <c r="E28" s="26" t="s">
        <v>17</v>
      </c>
    </row>
    <row r="29" customFormat="false" ht="12.8" hidden="false" customHeight="false" outlineLevel="0" collapsed="false">
      <c r="A29" s="0" t="s">
        <v>33</v>
      </c>
      <c r="B29" s="0" t="n">
        <v>50</v>
      </c>
      <c r="C29" s="0" t="n">
        <v>707</v>
      </c>
      <c r="D29" s="26"/>
      <c r="E29" s="26" t="s">
        <v>17</v>
      </c>
    </row>
    <row r="30" customFormat="false" ht="12.8" hidden="false" customHeight="false" outlineLevel="0" collapsed="false">
      <c r="A30" s="0" t="s">
        <v>33</v>
      </c>
      <c r="B30" s="0" t="n">
        <v>64</v>
      </c>
      <c r="C30" s="0" t="n">
        <v>529</v>
      </c>
      <c r="D30" s="26"/>
      <c r="E30" s="26"/>
    </row>
    <row r="31" customFormat="false" ht="12.8" hidden="false" customHeight="false" outlineLevel="0" collapsed="false">
      <c r="A31" s="0" t="s">
        <v>33</v>
      </c>
      <c r="B31" s="0" t="n">
        <v>82</v>
      </c>
      <c r="C31" s="0" t="n">
        <v>493</v>
      </c>
      <c r="D31" s="26"/>
      <c r="E31" s="26"/>
    </row>
    <row r="32" customFormat="false" ht="12.8" hidden="false" customHeight="false" outlineLevel="0" collapsed="false">
      <c r="A32" s="0" t="s">
        <v>33</v>
      </c>
      <c r="B32" s="0" t="n">
        <v>100</v>
      </c>
      <c r="C32" s="0" t="n">
        <v>440</v>
      </c>
      <c r="D32" s="26"/>
      <c r="E32" s="26" t="s">
        <v>17</v>
      </c>
    </row>
    <row r="33" customFormat="false" ht="12.8" hidden="false" customHeight="false" outlineLevel="0" collapsed="false">
      <c r="A33" s="0" t="s">
        <v>34</v>
      </c>
      <c r="B33" s="0" t="n">
        <v>5</v>
      </c>
      <c r="D33" s="26" t="s">
        <v>2</v>
      </c>
      <c r="E33" s="26" t="s">
        <v>19</v>
      </c>
    </row>
    <row r="34" customFormat="false" ht="12.8" hidden="false" customHeight="false" outlineLevel="0" collapsed="false">
      <c r="A34" s="0" t="s">
        <v>34</v>
      </c>
      <c r="B34" s="0" t="n">
        <v>10</v>
      </c>
      <c r="C34" s="0" t="n">
        <v>1157</v>
      </c>
      <c r="D34" s="26"/>
      <c r="E34" s="26"/>
    </row>
    <row r="35" customFormat="false" ht="12.8" hidden="false" customHeight="false" outlineLevel="0" collapsed="false">
      <c r="A35" s="0" t="s">
        <v>34</v>
      </c>
      <c r="B35" s="0" t="n">
        <v>15</v>
      </c>
      <c r="C35" s="0" t="n">
        <v>833</v>
      </c>
      <c r="D35" s="26"/>
      <c r="E35" s="26" t="s">
        <v>19</v>
      </c>
    </row>
    <row r="36" customFormat="false" ht="12.8" hidden="false" customHeight="false" outlineLevel="0" collapsed="false">
      <c r="A36" s="0" t="s">
        <v>34</v>
      </c>
      <c r="B36" s="0" t="n">
        <v>20</v>
      </c>
      <c r="C36" s="0" t="n">
        <v>670</v>
      </c>
      <c r="D36" s="26"/>
      <c r="E36" s="26"/>
    </row>
    <row r="37" customFormat="false" ht="12.8" hidden="false" customHeight="false" outlineLevel="0" collapsed="false">
      <c r="A37" s="0" t="s">
        <v>34</v>
      </c>
      <c r="B37" s="0" t="n">
        <v>30</v>
      </c>
      <c r="C37" s="0" t="n">
        <v>506</v>
      </c>
      <c r="D37" s="26"/>
      <c r="E37" s="26"/>
    </row>
    <row r="38" customFormat="false" ht="12.8" hidden="false" customHeight="false" outlineLevel="0" collapsed="false">
      <c r="A38" s="0" t="s">
        <v>34</v>
      </c>
      <c r="B38" s="0" t="n">
        <v>40</v>
      </c>
      <c r="C38" s="0" t="n">
        <v>405</v>
      </c>
      <c r="D38" s="26"/>
      <c r="E38" s="26"/>
    </row>
    <row r="39" customFormat="false" ht="12.8" hidden="false" customHeight="false" outlineLevel="0" collapsed="false">
      <c r="A39" s="0" t="s">
        <v>34</v>
      </c>
      <c r="B39" s="0" t="n">
        <v>50</v>
      </c>
      <c r="C39" s="0" t="n">
        <v>336</v>
      </c>
      <c r="D39" s="26"/>
      <c r="E39" s="26"/>
    </row>
    <row r="40" customFormat="false" ht="12.8" hidden="false" customHeight="false" outlineLevel="0" collapsed="false">
      <c r="A40" s="0" t="s">
        <v>34</v>
      </c>
      <c r="B40" s="0" t="n">
        <v>64</v>
      </c>
      <c r="C40" s="0" t="n">
        <v>271</v>
      </c>
      <c r="D40" s="26"/>
      <c r="E40" s="26"/>
    </row>
    <row r="41" customFormat="false" ht="12.8" hidden="false" customHeight="false" outlineLevel="0" collapsed="false">
      <c r="A41" s="0" t="s">
        <v>34</v>
      </c>
      <c r="B41" s="0" t="n">
        <v>82</v>
      </c>
      <c r="C41" s="0" t="n">
        <v>235</v>
      </c>
      <c r="D41" s="26"/>
      <c r="E41" s="26"/>
    </row>
    <row r="42" customFormat="false" ht="12.8" hidden="false" customHeight="false" outlineLevel="0" collapsed="false">
      <c r="A42" s="0" t="s">
        <v>34</v>
      </c>
      <c r="B42" s="0" t="n">
        <v>100</v>
      </c>
      <c r="C42" s="0" t="n">
        <v>237</v>
      </c>
      <c r="D42" s="26"/>
      <c r="E42" s="26"/>
    </row>
    <row r="43" customFormat="false" ht="12.8" hidden="false" customHeight="false" outlineLevel="0" collapsed="false">
      <c r="A43" s="0" t="s">
        <v>36</v>
      </c>
      <c r="B43" s="0" t="n">
        <v>5</v>
      </c>
      <c r="D43" s="26" t="s">
        <v>2</v>
      </c>
      <c r="E43" s="26" t="s">
        <v>70</v>
      </c>
    </row>
    <row r="44" customFormat="false" ht="12.8" hidden="false" customHeight="false" outlineLevel="0" collapsed="false">
      <c r="A44" s="0" t="s">
        <v>36</v>
      </c>
      <c r="B44" s="0" t="n">
        <v>10</v>
      </c>
      <c r="D44" s="26" t="s">
        <v>2</v>
      </c>
      <c r="E44" s="26" t="s">
        <v>19</v>
      </c>
    </row>
    <row r="45" customFormat="false" ht="12.8" hidden="false" customHeight="false" outlineLevel="0" collapsed="false">
      <c r="A45" s="0" t="s">
        <v>36</v>
      </c>
      <c r="B45" s="0" t="n">
        <v>15</v>
      </c>
      <c r="D45" s="26" t="s">
        <v>2</v>
      </c>
      <c r="E45" s="26" t="s">
        <v>70</v>
      </c>
    </row>
    <row r="46" customFormat="false" ht="12.8" hidden="false" customHeight="false" outlineLevel="0" collapsed="false">
      <c r="A46" s="0" t="s">
        <v>36</v>
      </c>
      <c r="B46" s="0" t="n">
        <v>20</v>
      </c>
      <c r="D46" s="26" t="s">
        <v>2</v>
      </c>
      <c r="E46" s="26" t="s">
        <v>19</v>
      </c>
    </row>
    <row r="47" customFormat="false" ht="12.8" hidden="false" customHeight="false" outlineLevel="0" collapsed="false">
      <c r="A47" s="0" t="s">
        <v>36</v>
      </c>
      <c r="B47" s="0" t="n">
        <v>30</v>
      </c>
      <c r="C47" s="0" t="n">
        <v>2195</v>
      </c>
      <c r="D47" s="26"/>
      <c r="E47" s="26"/>
    </row>
    <row r="48" customFormat="false" ht="12.8" hidden="false" customHeight="false" outlineLevel="0" collapsed="false">
      <c r="A48" s="0" t="s">
        <v>36</v>
      </c>
      <c r="B48" s="0" t="n">
        <v>40</v>
      </c>
      <c r="C48" s="0" t="n">
        <v>1610</v>
      </c>
      <c r="D48" s="26"/>
      <c r="E48" s="26"/>
    </row>
    <row r="49" customFormat="false" ht="12.8" hidden="false" customHeight="false" outlineLevel="0" collapsed="false">
      <c r="A49" s="0" t="s">
        <v>36</v>
      </c>
      <c r="B49" s="0" t="n">
        <v>50</v>
      </c>
      <c r="C49" s="0" t="n">
        <v>1315</v>
      </c>
      <c r="D49" s="26"/>
      <c r="E49" s="26"/>
    </row>
    <row r="50" customFormat="false" ht="12.8" hidden="false" customHeight="false" outlineLevel="0" collapsed="false">
      <c r="A50" s="0" t="s">
        <v>36</v>
      </c>
      <c r="B50" s="0" t="n">
        <v>64</v>
      </c>
      <c r="C50" s="0" t="n">
        <v>963</v>
      </c>
      <c r="D50" s="26"/>
      <c r="E50" s="26" t="s">
        <v>17</v>
      </c>
    </row>
    <row r="51" customFormat="false" ht="12.8" hidden="false" customHeight="false" outlineLevel="0" collapsed="false">
      <c r="A51" s="0" t="s">
        <v>36</v>
      </c>
      <c r="B51" s="0" t="n">
        <v>82</v>
      </c>
      <c r="C51" s="0" t="n">
        <v>903</v>
      </c>
      <c r="D51" s="26"/>
      <c r="E51" s="26"/>
    </row>
    <row r="52" customFormat="false" ht="12.8" hidden="false" customHeight="false" outlineLevel="0" collapsed="false">
      <c r="A52" s="0" t="s">
        <v>36</v>
      </c>
      <c r="B52" s="0" t="n">
        <v>100</v>
      </c>
      <c r="C52" s="0" t="n">
        <v>683</v>
      </c>
      <c r="D52" s="26"/>
      <c r="E52" s="26" t="s">
        <v>17</v>
      </c>
    </row>
    <row r="53" customFormat="false" ht="12.8" hidden="false" customHeight="false" outlineLevel="0" collapsed="false">
      <c r="A53" s="0" t="s">
        <v>37</v>
      </c>
      <c r="B53" s="0" t="n">
        <v>5</v>
      </c>
      <c r="C53" s="0" t="n">
        <v>609</v>
      </c>
      <c r="D53" s="26"/>
      <c r="E53" s="26"/>
    </row>
    <row r="54" customFormat="false" ht="12.8" hidden="false" customHeight="false" outlineLevel="0" collapsed="false">
      <c r="A54" s="0" t="s">
        <v>37</v>
      </c>
      <c r="B54" s="0" t="n">
        <v>10</v>
      </c>
      <c r="C54" s="0" t="n">
        <v>570</v>
      </c>
      <c r="D54" s="26"/>
      <c r="E54" s="26"/>
    </row>
    <row r="55" customFormat="false" ht="12.8" hidden="false" customHeight="false" outlineLevel="0" collapsed="false">
      <c r="A55" s="0" t="s">
        <v>37</v>
      </c>
      <c r="B55" s="0" t="n">
        <v>15</v>
      </c>
      <c r="C55" s="0" t="n">
        <v>480</v>
      </c>
      <c r="D55" s="26"/>
      <c r="E55" s="26"/>
    </row>
    <row r="56" customFormat="false" ht="12.8" hidden="false" customHeight="false" outlineLevel="0" collapsed="false">
      <c r="A56" s="0" t="s">
        <v>37</v>
      </c>
      <c r="B56" s="0" t="n">
        <v>20</v>
      </c>
      <c r="C56" s="0" t="n">
        <v>453</v>
      </c>
      <c r="D56" s="26"/>
      <c r="E56" s="26" t="s">
        <v>17</v>
      </c>
    </row>
    <row r="57" customFormat="false" ht="12.8" hidden="false" customHeight="false" outlineLevel="0" collapsed="false">
      <c r="A57" s="0" t="s">
        <v>37</v>
      </c>
      <c r="B57" s="0" t="n">
        <v>30</v>
      </c>
      <c r="C57" s="0" t="n">
        <v>321</v>
      </c>
      <c r="D57" s="26"/>
      <c r="E57" s="26" t="s">
        <v>17</v>
      </c>
    </row>
    <row r="58" customFormat="false" ht="12.8" hidden="false" customHeight="false" outlineLevel="0" collapsed="false">
      <c r="A58" s="0" t="s">
        <v>37</v>
      </c>
      <c r="B58" s="0" t="n">
        <v>40</v>
      </c>
      <c r="C58" s="0" t="n">
        <v>250</v>
      </c>
      <c r="D58" s="26"/>
      <c r="E58" s="26" t="s">
        <v>17</v>
      </c>
    </row>
    <row r="59" customFormat="false" ht="12.8" hidden="false" customHeight="false" outlineLevel="0" collapsed="false">
      <c r="A59" s="0" t="s">
        <v>37</v>
      </c>
      <c r="B59" s="0" t="n">
        <v>50</v>
      </c>
      <c r="C59" s="0" t="n">
        <v>229</v>
      </c>
      <c r="D59" s="26"/>
      <c r="E59" s="26" t="s">
        <v>17</v>
      </c>
    </row>
    <row r="60" customFormat="false" ht="12.8" hidden="false" customHeight="false" outlineLevel="0" collapsed="false">
      <c r="A60" s="0" t="s">
        <v>37</v>
      </c>
      <c r="B60" s="0" t="n">
        <v>64</v>
      </c>
      <c r="C60" s="0" t="n">
        <v>333</v>
      </c>
      <c r="D60" s="26"/>
      <c r="E60" s="26" t="s">
        <v>17</v>
      </c>
    </row>
    <row r="61" customFormat="false" ht="12.8" hidden="false" customHeight="false" outlineLevel="0" collapsed="false">
      <c r="A61" s="0" t="s">
        <v>37</v>
      </c>
      <c r="B61" s="0" t="n">
        <v>82</v>
      </c>
      <c r="C61" s="0" t="n">
        <v>309</v>
      </c>
      <c r="D61" s="26"/>
      <c r="E61" s="26" t="s">
        <v>17</v>
      </c>
    </row>
    <row r="62" customFormat="false" ht="12.8" hidden="false" customHeight="false" outlineLevel="0" collapsed="false">
      <c r="A62" s="0" t="s">
        <v>37</v>
      </c>
      <c r="B62" s="0" t="n">
        <v>100</v>
      </c>
      <c r="C62" s="0" t="n">
        <v>237</v>
      </c>
      <c r="D62" s="26"/>
      <c r="E62" s="26" t="s">
        <v>17</v>
      </c>
    </row>
    <row r="63" customFormat="false" ht="12.8" hidden="false" customHeight="false" outlineLevel="0" collapsed="false">
      <c r="A63" s="0" t="s">
        <v>38</v>
      </c>
      <c r="B63" s="0" t="n">
        <v>5</v>
      </c>
      <c r="C63" s="0" t="n">
        <v>717</v>
      </c>
      <c r="D63" s="26"/>
      <c r="E63" s="26"/>
    </row>
    <row r="64" customFormat="false" ht="12.8" hidden="false" customHeight="false" outlineLevel="0" collapsed="false">
      <c r="A64" s="0" t="s">
        <v>38</v>
      </c>
      <c r="B64" s="0" t="n">
        <v>10</v>
      </c>
      <c r="C64" s="0" t="n">
        <v>266</v>
      </c>
      <c r="D64" s="26"/>
      <c r="E64" s="26"/>
    </row>
    <row r="65" customFormat="false" ht="12.8" hidden="false" customHeight="false" outlineLevel="0" collapsed="false">
      <c r="A65" s="0" t="s">
        <v>38</v>
      </c>
      <c r="B65" s="0" t="n">
        <v>15</v>
      </c>
      <c r="C65" s="0" t="n">
        <v>210</v>
      </c>
      <c r="D65" s="26"/>
      <c r="E65" s="26"/>
    </row>
    <row r="66" customFormat="false" ht="12.8" hidden="false" customHeight="false" outlineLevel="0" collapsed="false">
      <c r="A66" s="0" t="s">
        <v>38</v>
      </c>
      <c r="B66" s="0" t="n">
        <v>20</v>
      </c>
      <c r="C66" s="0" t="n">
        <v>150</v>
      </c>
      <c r="D66" s="26"/>
      <c r="E66" s="26"/>
    </row>
    <row r="67" customFormat="false" ht="12.8" hidden="false" customHeight="false" outlineLevel="0" collapsed="false">
      <c r="A67" s="0" t="s">
        <v>38</v>
      </c>
      <c r="B67" s="0" t="n">
        <v>30</v>
      </c>
      <c r="C67" s="0" t="n">
        <v>101</v>
      </c>
      <c r="D67" s="26"/>
      <c r="E67" s="26"/>
    </row>
    <row r="68" customFormat="false" ht="12.8" hidden="false" customHeight="false" outlineLevel="0" collapsed="false">
      <c r="A68" s="0" t="s">
        <v>38</v>
      </c>
      <c r="B68" s="0" t="n">
        <v>40</v>
      </c>
      <c r="C68" s="0" t="n">
        <v>92</v>
      </c>
      <c r="D68" s="26"/>
      <c r="E68" s="26"/>
    </row>
    <row r="69" customFormat="false" ht="12.8" hidden="false" customHeight="false" outlineLevel="0" collapsed="false">
      <c r="A69" s="0" t="s">
        <v>38</v>
      </c>
      <c r="B69" s="0" t="n">
        <v>50</v>
      </c>
      <c r="C69" s="0" t="n">
        <v>79</v>
      </c>
      <c r="D69" s="26"/>
      <c r="E69" s="26"/>
    </row>
    <row r="70" customFormat="false" ht="12.8" hidden="false" customHeight="false" outlineLevel="0" collapsed="false">
      <c r="A70" s="0" t="s">
        <v>38</v>
      </c>
      <c r="B70" s="0" t="n">
        <v>64</v>
      </c>
      <c r="C70" s="0" t="n">
        <v>55</v>
      </c>
      <c r="D70" s="26"/>
      <c r="E70" s="26"/>
    </row>
    <row r="71" customFormat="false" ht="12.8" hidden="false" customHeight="false" outlineLevel="0" collapsed="false">
      <c r="A71" s="0" t="s">
        <v>38</v>
      </c>
      <c r="B71" s="0" t="n">
        <v>82</v>
      </c>
      <c r="C71" s="0" t="n">
        <v>50</v>
      </c>
      <c r="D71" s="26"/>
      <c r="E71" s="26"/>
    </row>
    <row r="72" customFormat="false" ht="12.8" hidden="false" customHeight="false" outlineLevel="0" collapsed="false">
      <c r="A72" s="0" t="s">
        <v>38</v>
      </c>
      <c r="B72" s="0" t="n">
        <v>100</v>
      </c>
      <c r="C72" s="0" t="n">
        <v>43</v>
      </c>
      <c r="D72" s="26"/>
      <c r="E72" s="26"/>
    </row>
    <row r="73" customFormat="false" ht="12.8" hidden="false" customHeight="false" outlineLevel="0" collapsed="false">
      <c r="A73" s="0" t="s">
        <v>39</v>
      </c>
      <c r="B73" s="0" t="n">
        <v>5</v>
      </c>
      <c r="C73" s="0" t="n">
        <v>1756</v>
      </c>
      <c r="D73" s="26"/>
      <c r="E73" s="26"/>
    </row>
    <row r="74" customFormat="false" ht="12.8" hidden="false" customHeight="false" outlineLevel="0" collapsed="false">
      <c r="A74" s="0" t="s">
        <v>39</v>
      </c>
      <c r="B74" s="0" t="n">
        <v>10</v>
      </c>
      <c r="C74" s="0" t="n">
        <v>1352</v>
      </c>
      <c r="D74" s="26"/>
      <c r="E74" s="26"/>
    </row>
    <row r="75" customFormat="false" ht="12.8" hidden="false" customHeight="false" outlineLevel="0" collapsed="false">
      <c r="A75" s="0" t="s">
        <v>39</v>
      </c>
      <c r="B75" s="0" t="n">
        <v>15</v>
      </c>
      <c r="C75" s="0" t="n">
        <v>845</v>
      </c>
      <c r="D75" s="26"/>
      <c r="E75" s="26"/>
    </row>
    <row r="76" customFormat="false" ht="12.8" hidden="false" customHeight="false" outlineLevel="0" collapsed="false">
      <c r="A76" s="0" t="s">
        <v>39</v>
      </c>
      <c r="B76" s="0" t="n">
        <v>20</v>
      </c>
      <c r="C76" s="0" t="n">
        <v>762</v>
      </c>
      <c r="D76" s="26"/>
      <c r="E76" s="26"/>
    </row>
    <row r="77" customFormat="false" ht="12.8" hidden="false" customHeight="false" outlineLevel="0" collapsed="false">
      <c r="A77" s="0" t="s">
        <v>39</v>
      </c>
      <c r="B77" s="0" t="n">
        <v>30</v>
      </c>
      <c r="C77" s="0" t="n">
        <v>508</v>
      </c>
      <c r="D77" s="26"/>
      <c r="E77" s="26" t="s">
        <v>17</v>
      </c>
    </row>
    <row r="78" customFormat="false" ht="12.8" hidden="false" customHeight="false" outlineLevel="0" collapsed="false">
      <c r="A78" s="0" t="s">
        <v>39</v>
      </c>
      <c r="B78" s="0" t="n">
        <v>40</v>
      </c>
      <c r="C78" s="0" t="n">
        <v>475</v>
      </c>
      <c r="D78" s="26"/>
      <c r="E78" s="26" t="s">
        <v>17</v>
      </c>
    </row>
    <row r="79" customFormat="false" ht="12.8" hidden="false" customHeight="false" outlineLevel="0" collapsed="false">
      <c r="A79" s="0" t="s">
        <v>39</v>
      </c>
      <c r="B79" s="0" t="n">
        <v>50</v>
      </c>
      <c r="C79" s="0" t="n">
        <v>346</v>
      </c>
      <c r="D79" s="26"/>
      <c r="E79" s="26"/>
    </row>
    <row r="80" customFormat="false" ht="12.8" hidden="false" customHeight="false" outlineLevel="0" collapsed="false">
      <c r="A80" s="0" t="s">
        <v>39</v>
      </c>
      <c r="B80" s="0" t="n">
        <v>64</v>
      </c>
      <c r="C80" s="0" t="n">
        <v>246</v>
      </c>
      <c r="D80" s="26"/>
      <c r="E80" s="26" t="s">
        <v>17</v>
      </c>
    </row>
    <row r="81" customFormat="false" ht="12.8" hidden="false" customHeight="false" outlineLevel="0" collapsed="false">
      <c r="A81" s="0" t="s">
        <v>39</v>
      </c>
      <c r="B81" s="0" t="n">
        <v>82</v>
      </c>
      <c r="C81" s="0" t="n">
        <v>212</v>
      </c>
      <c r="D81" s="26"/>
      <c r="E81" s="26" t="s">
        <v>17</v>
      </c>
    </row>
    <row r="82" customFormat="false" ht="12.8" hidden="false" customHeight="false" outlineLevel="0" collapsed="false">
      <c r="A82" s="0" t="s">
        <v>39</v>
      </c>
      <c r="B82" s="0" t="n">
        <v>100</v>
      </c>
      <c r="C82" s="0" t="n">
        <v>185</v>
      </c>
      <c r="D82" s="26"/>
      <c r="E82" s="26" t="s">
        <v>17</v>
      </c>
    </row>
    <row r="83" customFormat="false" ht="12.8" hidden="false" customHeight="false" outlineLevel="0" collapsed="false">
      <c r="A83" s="0" t="s">
        <v>41</v>
      </c>
      <c r="B83" s="0" t="n">
        <v>5</v>
      </c>
      <c r="C83" s="0" t="n">
        <v>174</v>
      </c>
      <c r="D83" s="26"/>
      <c r="E83" s="26"/>
    </row>
    <row r="84" customFormat="false" ht="12.8" hidden="false" customHeight="false" outlineLevel="0" collapsed="false">
      <c r="A84" s="0" t="s">
        <v>41</v>
      </c>
      <c r="B84" s="0" t="n">
        <v>10</v>
      </c>
      <c r="C84" s="0" t="n">
        <v>106</v>
      </c>
      <c r="D84" s="26"/>
      <c r="E84" s="26"/>
    </row>
    <row r="85" customFormat="false" ht="12.8" hidden="false" customHeight="false" outlineLevel="0" collapsed="false">
      <c r="A85" s="0" t="s">
        <v>41</v>
      </c>
      <c r="B85" s="0" t="n">
        <v>15</v>
      </c>
      <c r="C85" s="0" t="n">
        <v>83</v>
      </c>
      <c r="D85" s="26"/>
      <c r="E85" s="26"/>
    </row>
    <row r="86" customFormat="false" ht="12.8" hidden="false" customHeight="false" outlineLevel="0" collapsed="false">
      <c r="A86" s="0" t="s">
        <v>41</v>
      </c>
      <c r="B86" s="0" t="n">
        <v>20</v>
      </c>
      <c r="C86" s="0" t="n">
        <v>66</v>
      </c>
      <c r="D86" s="26"/>
      <c r="E86" s="26"/>
    </row>
    <row r="87" customFormat="false" ht="12.8" hidden="false" customHeight="false" outlineLevel="0" collapsed="false">
      <c r="A87" s="0" t="s">
        <v>41</v>
      </c>
      <c r="B87" s="0" t="n">
        <v>30</v>
      </c>
      <c r="C87" s="0" t="n">
        <v>54</v>
      </c>
      <c r="D87" s="26"/>
      <c r="E87" s="26"/>
    </row>
    <row r="88" customFormat="false" ht="12.8" hidden="false" customHeight="false" outlineLevel="0" collapsed="false">
      <c r="A88" s="0" t="s">
        <v>41</v>
      </c>
      <c r="B88" s="0" t="n">
        <v>40</v>
      </c>
      <c r="C88" s="0" t="n">
        <v>47</v>
      </c>
      <c r="D88" s="26"/>
      <c r="E88" s="26"/>
    </row>
    <row r="89" customFormat="false" ht="12.8" hidden="false" customHeight="false" outlineLevel="0" collapsed="false">
      <c r="A89" s="0" t="s">
        <v>41</v>
      </c>
      <c r="B89" s="0" t="n">
        <v>50</v>
      </c>
      <c r="C89" s="0" t="n">
        <v>35</v>
      </c>
      <c r="D89" s="26"/>
      <c r="E89" s="26"/>
    </row>
    <row r="90" customFormat="false" ht="12.8" hidden="false" customHeight="false" outlineLevel="0" collapsed="false">
      <c r="A90" s="0" t="s">
        <v>41</v>
      </c>
      <c r="B90" s="0" t="n">
        <v>64</v>
      </c>
      <c r="C90" s="0" t="n">
        <v>36</v>
      </c>
      <c r="D90" s="26"/>
      <c r="E90" s="26"/>
    </row>
    <row r="91" customFormat="false" ht="12.8" hidden="false" customHeight="false" outlineLevel="0" collapsed="false">
      <c r="A91" s="0" t="s">
        <v>41</v>
      </c>
      <c r="B91" s="0" t="n">
        <v>82</v>
      </c>
      <c r="C91" s="0" t="n">
        <v>30</v>
      </c>
      <c r="D91" s="26"/>
      <c r="E91" s="26"/>
    </row>
    <row r="92" customFormat="false" ht="12.8" hidden="false" customHeight="false" outlineLevel="0" collapsed="false">
      <c r="A92" s="0" t="s">
        <v>41</v>
      </c>
      <c r="B92" s="0" t="n">
        <v>100</v>
      </c>
      <c r="C92" s="0" t="n">
        <v>29</v>
      </c>
      <c r="D92" s="26"/>
      <c r="E92" s="26"/>
    </row>
    <row r="93" customFormat="false" ht="12.8" hidden="false" customHeight="false" outlineLevel="0" collapsed="false">
      <c r="A93" s="0" t="s">
        <v>42</v>
      </c>
      <c r="B93" s="0" t="n">
        <v>5</v>
      </c>
      <c r="D93" s="26" t="s">
        <v>2</v>
      </c>
      <c r="E93" s="26" t="s">
        <v>19</v>
      </c>
    </row>
    <row r="94" customFormat="false" ht="12.8" hidden="false" customHeight="false" outlineLevel="0" collapsed="false">
      <c r="A94" s="0" t="s">
        <v>42</v>
      </c>
      <c r="B94" s="0" t="n">
        <v>10</v>
      </c>
      <c r="C94" s="0" t="n">
        <v>556</v>
      </c>
      <c r="D94" s="26"/>
      <c r="E94" s="26" t="s">
        <v>17</v>
      </c>
    </row>
    <row r="95" customFormat="false" ht="12.8" hidden="false" customHeight="false" outlineLevel="0" collapsed="false">
      <c r="A95" s="0" t="s">
        <v>42</v>
      </c>
      <c r="B95" s="0" t="n">
        <v>15</v>
      </c>
      <c r="C95" s="0" t="n">
        <v>375</v>
      </c>
      <c r="D95" s="26"/>
      <c r="E95" s="26" t="s">
        <v>17</v>
      </c>
    </row>
    <row r="96" customFormat="false" ht="12.8" hidden="false" customHeight="false" outlineLevel="0" collapsed="false">
      <c r="A96" s="0" t="s">
        <v>42</v>
      </c>
      <c r="B96" s="0" t="n">
        <v>20</v>
      </c>
      <c r="C96" s="0" t="n">
        <v>281</v>
      </c>
      <c r="D96" s="26"/>
      <c r="E96" s="26"/>
    </row>
    <row r="97" customFormat="false" ht="12.8" hidden="false" customHeight="false" outlineLevel="0" collapsed="false">
      <c r="A97" s="0" t="s">
        <v>42</v>
      </c>
      <c r="B97" s="0" t="n">
        <v>30</v>
      </c>
      <c r="C97" s="0" t="n">
        <v>231</v>
      </c>
      <c r="D97" s="26"/>
      <c r="E97" s="26"/>
    </row>
    <row r="98" customFormat="false" ht="12.8" hidden="false" customHeight="false" outlineLevel="0" collapsed="false">
      <c r="A98" s="0" t="s">
        <v>42</v>
      </c>
      <c r="B98" s="0" t="n">
        <v>40</v>
      </c>
      <c r="C98" s="0" t="n">
        <v>180</v>
      </c>
      <c r="D98" s="26"/>
      <c r="E98" s="26"/>
    </row>
    <row r="99" customFormat="false" ht="12.8" hidden="false" customHeight="false" outlineLevel="0" collapsed="false">
      <c r="A99" s="0" t="s">
        <v>42</v>
      </c>
      <c r="B99" s="0" t="n">
        <v>50</v>
      </c>
      <c r="C99" s="0" t="n">
        <v>168</v>
      </c>
      <c r="D99" s="26"/>
      <c r="E99" s="26"/>
    </row>
    <row r="100" customFormat="false" ht="12.8" hidden="false" customHeight="false" outlineLevel="0" collapsed="false">
      <c r="A100" s="0" t="s">
        <v>42</v>
      </c>
      <c r="B100" s="0" t="n">
        <v>64</v>
      </c>
      <c r="C100" s="0" t="n">
        <v>142</v>
      </c>
      <c r="D100" s="26"/>
      <c r="E100" s="26"/>
    </row>
    <row r="101" customFormat="false" ht="12.8" hidden="false" customHeight="false" outlineLevel="0" collapsed="false">
      <c r="A101" s="0" t="s">
        <v>42</v>
      </c>
      <c r="B101" s="0" t="n">
        <v>82</v>
      </c>
      <c r="C101" s="0" t="n">
        <v>138</v>
      </c>
      <c r="D101" s="26"/>
      <c r="E101" s="26"/>
    </row>
    <row r="102" customFormat="false" ht="12.8" hidden="false" customHeight="false" outlineLevel="0" collapsed="false">
      <c r="A102" s="0" t="s">
        <v>42</v>
      </c>
      <c r="B102" s="0" t="n">
        <v>100</v>
      </c>
      <c r="C102" s="0" t="n">
        <v>98</v>
      </c>
      <c r="D102" s="26"/>
      <c r="E102" s="26"/>
    </row>
    <row r="103" customFormat="false" ht="12.8" hidden="false" customHeight="false" outlineLevel="0" collapsed="false">
      <c r="A103" s="0" t="s">
        <v>43</v>
      </c>
      <c r="B103" s="0" t="n">
        <v>5</v>
      </c>
      <c r="D103" s="26" t="s">
        <v>2</v>
      </c>
      <c r="E103" s="26" t="s">
        <v>19</v>
      </c>
    </row>
    <row r="104" customFormat="false" ht="12.8" hidden="false" customHeight="false" outlineLevel="0" collapsed="false">
      <c r="A104" s="0" t="s">
        <v>43</v>
      </c>
      <c r="B104" s="0" t="n">
        <v>10</v>
      </c>
      <c r="C104" s="0" t="n">
        <v>2035</v>
      </c>
      <c r="D104" s="26"/>
      <c r="E104" s="26"/>
    </row>
    <row r="105" customFormat="false" ht="12.8" hidden="false" customHeight="false" outlineLevel="0" collapsed="false">
      <c r="A105" s="0" t="s">
        <v>43</v>
      </c>
      <c r="B105" s="0" t="n">
        <v>15</v>
      </c>
      <c r="C105" s="0" t="n">
        <v>1552</v>
      </c>
      <c r="D105" s="26"/>
      <c r="E105" s="26"/>
    </row>
    <row r="106" customFormat="false" ht="12.8" hidden="false" customHeight="false" outlineLevel="0" collapsed="false">
      <c r="A106" s="0" t="s">
        <v>43</v>
      </c>
      <c r="B106" s="0" t="n">
        <v>20</v>
      </c>
      <c r="C106" s="0" t="n">
        <v>1109</v>
      </c>
      <c r="D106" s="26"/>
      <c r="E106" s="26"/>
    </row>
    <row r="107" customFormat="false" ht="12.8" hidden="false" customHeight="false" outlineLevel="0" collapsed="false">
      <c r="A107" s="0" t="s">
        <v>43</v>
      </c>
      <c r="B107" s="0" t="n">
        <v>30</v>
      </c>
      <c r="C107" s="0" t="n">
        <v>781</v>
      </c>
      <c r="D107" s="26"/>
      <c r="E107" s="26"/>
    </row>
    <row r="108" customFormat="false" ht="12.8" hidden="false" customHeight="false" outlineLevel="0" collapsed="false">
      <c r="A108" s="0" t="s">
        <v>43</v>
      </c>
      <c r="B108" s="0" t="n">
        <v>40</v>
      </c>
      <c r="C108" s="0" t="n">
        <v>626</v>
      </c>
      <c r="D108" s="26"/>
      <c r="E108" s="26"/>
    </row>
    <row r="109" customFormat="false" ht="12.8" hidden="false" customHeight="false" outlineLevel="0" collapsed="false">
      <c r="A109" s="0" t="s">
        <v>43</v>
      </c>
      <c r="B109" s="0" t="n">
        <v>50</v>
      </c>
      <c r="C109" s="0" t="n">
        <v>521</v>
      </c>
      <c r="D109" s="26"/>
      <c r="E109" s="26"/>
    </row>
    <row r="110" customFormat="false" ht="12.8" hidden="false" customHeight="false" outlineLevel="0" collapsed="false">
      <c r="A110" s="0" t="s">
        <v>43</v>
      </c>
      <c r="B110" s="0" t="n">
        <v>64</v>
      </c>
      <c r="C110" s="0" t="n">
        <v>442</v>
      </c>
      <c r="D110" s="26"/>
      <c r="E110" s="26"/>
    </row>
    <row r="111" customFormat="false" ht="12.8" hidden="false" customHeight="false" outlineLevel="0" collapsed="false">
      <c r="A111" s="0" t="s">
        <v>43</v>
      </c>
      <c r="B111" s="0" t="n">
        <v>82</v>
      </c>
      <c r="C111" s="0" t="n">
        <v>335</v>
      </c>
      <c r="D111" s="26"/>
      <c r="E111" s="26"/>
    </row>
    <row r="112" customFormat="false" ht="12.8" hidden="false" customHeight="false" outlineLevel="0" collapsed="false">
      <c r="A112" s="0" t="s">
        <v>43</v>
      </c>
      <c r="B112" s="0" t="n">
        <v>100</v>
      </c>
      <c r="C112" s="0" t="n">
        <v>348</v>
      </c>
      <c r="D112" s="26"/>
      <c r="E112" s="26" t="s">
        <v>17</v>
      </c>
    </row>
    <row r="113" customFormat="false" ht="12.8" hidden="false" customHeight="false" outlineLevel="0" collapsed="false">
      <c r="A113" s="0" t="s">
        <v>44</v>
      </c>
      <c r="B113" s="0" t="n">
        <v>5</v>
      </c>
      <c r="D113" s="26" t="s">
        <v>2</v>
      </c>
      <c r="E113" s="26" t="s">
        <v>70</v>
      </c>
    </row>
    <row r="114" customFormat="false" ht="12.8" hidden="false" customHeight="false" outlineLevel="0" collapsed="false">
      <c r="A114" s="0" t="s">
        <v>44</v>
      </c>
      <c r="B114" s="0" t="n">
        <v>10</v>
      </c>
      <c r="D114" s="26" t="s">
        <v>2</v>
      </c>
      <c r="E114" s="26" t="s">
        <v>70</v>
      </c>
    </row>
    <row r="115" customFormat="false" ht="12.8" hidden="false" customHeight="false" outlineLevel="0" collapsed="false">
      <c r="A115" s="0" t="s">
        <v>44</v>
      </c>
      <c r="B115" s="0" t="n">
        <v>15</v>
      </c>
      <c r="D115" s="26" t="s">
        <v>2</v>
      </c>
      <c r="E115" s="26" t="s">
        <v>70</v>
      </c>
    </row>
    <row r="116" customFormat="false" ht="12.8" hidden="false" customHeight="false" outlineLevel="0" collapsed="false">
      <c r="A116" s="0" t="s">
        <v>44</v>
      </c>
      <c r="B116" s="0" t="n">
        <v>20</v>
      </c>
      <c r="D116" s="26" t="s">
        <v>2</v>
      </c>
      <c r="E116" s="26" t="s">
        <v>70</v>
      </c>
    </row>
    <row r="117" customFormat="false" ht="12.8" hidden="false" customHeight="false" outlineLevel="0" collapsed="false">
      <c r="A117" s="0" t="s">
        <v>44</v>
      </c>
      <c r="B117" s="0" t="n">
        <v>30</v>
      </c>
      <c r="D117" s="26" t="s">
        <v>2</v>
      </c>
      <c r="E117" s="26" t="s">
        <v>70</v>
      </c>
    </row>
    <row r="118" customFormat="false" ht="12.8" hidden="false" customHeight="false" outlineLevel="0" collapsed="false">
      <c r="A118" s="0" t="s">
        <v>44</v>
      </c>
      <c r="B118" s="0" t="n">
        <v>40</v>
      </c>
      <c r="C118" s="0" t="n">
        <v>2649</v>
      </c>
      <c r="D118" s="26"/>
      <c r="E118" s="26" t="s">
        <v>17</v>
      </c>
    </row>
    <row r="119" customFormat="false" ht="12.8" hidden="false" customHeight="false" outlineLevel="0" collapsed="false">
      <c r="A119" s="0" t="s">
        <v>44</v>
      </c>
      <c r="B119" s="0" t="n">
        <v>50</v>
      </c>
      <c r="C119" s="0" t="n">
        <v>1861</v>
      </c>
      <c r="D119" s="26"/>
      <c r="E119" s="26" t="s">
        <v>17</v>
      </c>
    </row>
    <row r="120" customFormat="false" ht="12.8" hidden="false" customHeight="false" outlineLevel="0" collapsed="false">
      <c r="A120" s="0" t="s">
        <v>44</v>
      </c>
      <c r="B120" s="0" t="n">
        <v>64</v>
      </c>
      <c r="C120" s="0" t="n">
        <v>1786</v>
      </c>
      <c r="D120" s="26"/>
      <c r="E120" s="26" t="s">
        <v>17</v>
      </c>
    </row>
    <row r="121" customFormat="false" ht="12.8" hidden="false" customHeight="false" outlineLevel="0" collapsed="false">
      <c r="A121" s="0" t="s">
        <v>44</v>
      </c>
      <c r="B121" s="0" t="n">
        <v>82</v>
      </c>
      <c r="C121" s="0" t="n">
        <v>1104</v>
      </c>
      <c r="D121" s="26"/>
      <c r="E121" s="26" t="s">
        <v>17</v>
      </c>
    </row>
    <row r="122" customFormat="false" ht="12.8" hidden="false" customHeight="false" outlineLevel="0" collapsed="false">
      <c r="A122" s="0" t="s">
        <v>44</v>
      </c>
      <c r="B122" s="0" t="n">
        <v>100</v>
      </c>
      <c r="C122" s="0" t="n">
        <v>915</v>
      </c>
      <c r="D122" s="26"/>
      <c r="E122" s="26" t="s">
        <v>17</v>
      </c>
    </row>
    <row r="123" customFormat="false" ht="12.8" hidden="false" customHeight="false" outlineLevel="0" collapsed="false">
      <c r="A123" s="0" t="s">
        <v>46</v>
      </c>
      <c r="B123" s="0" t="n">
        <v>5</v>
      </c>
      <c r="C123" s="0" t="n">
        <v>774</v>
      </c>
      <c r="D123" s="26"/>
      <c r="E123" s="26"/>
    </row>
    <row r="124" customFormat="false" ht="12.8" hidden="false" customHeight="false" outlineLevel="0" collapsed="false">
      <c r="A124" s="0" t="s">
        <v>46</v>
      </c>
      <c r="B124" s="0" t="n">
        <v>10</v>
      </c>
      <c r="C124" s="0" t="n">
        <v>386</v>
      </c>
      <c r="D124" s="26"/>
      <c r="E124" s="26"/>
    </row>
    <row r="125" customFormat="false" ht="12.8" hidden="false" customHeight="false" outlineLevel="0" collapsed="false">
      <c r="A125" s="0" t="s">
        <v>46</v>
      </c>
      <c r="B125" s="0" t="n">
        <v>15</v>
      </c>
      <c r="C125" s="0" t="n">
        <v>291</v>
      </c>
      <c r="D125" s="26"/>
      <c r="E125" s="26"/>
    </row>
    <row r="126" customFormat="false" ht="12.8" hidden="false" customHeight="false" outlineLevel="0" collapsed="false">
      <c r="A126" s="0" t="s">
        <v>46</v>
      </c>
      <c r="B126" s="0" t="n">
        <v>20</v>
      </c>
      <c r="C126" s="0" t="n">
        <v>220</v>
      </c>
      <c r="D126" s="26"/>
      <c r="E126" s="26"/>
    </row>
    <row r="127" customFormat="false" ht="12.8" hidden="false" customHeight="false" outlineLevel="0" collapsed="false">
      <c r="A127" s="0" t="s">
        <v>46</v>
      </c>
      <c r="B127" s="0" t="n">
        <v>30</v>
      </c>
      <c r="C127" s="0" t="n">
        <v>169</v>
      </c>
      <c r="D127" s="26"/>
      <c r="E127" s="26"/>
    </row>
    <row r="128" customFormat="false" ht="12.8" hidden="false" customHeight="false" outlineLevel="0" collapsed="false">
      <c r="A128" s="0" t="s">
        <v>46</v>
      </c>
      <c r="B128" s="0" t="n">
        <v>40</v>
      </c>
      <c r="C128" s="0" t="n">
        <v>153</v>
      </c>
      <c r="D128" s="26"/>
      <c r="E128" s="26"/>
    </row>
    <row r="129" customFormat="false" ht="12.8" hidden="false" customHeight="false" outlineLevel="0" collapsed="false">
      <c r="A129" s="0" t="s">
        <v>46</v>
      </c>
      <c r="B129" s="0" t="n">
        <v>50</v>
      </c>
      <c r="C129" s="0" t="n">
        <v>112</v>
      </c>
      <c r="D129" s="26"/>
      <c r="E129" s="26"/>
    </row>
    <row r="130" customFormat="false" ht="12.8" hidden="false" customHeight="false" outlineLevel="0" collapsed="false">
      <c r="A130" s="0" t="s">
        <v>46</v>
      </c>
      <c r="B130" s="0" t="n">
        <v>64</v>
      </c>
      <c r="C130" s="0" t="n">
        <v>96</v>
      </c>
      <c r="D130" s="26"/>
      <c r="E130" s="26"/>
    </row>
    <row r="131" customFormat="false" ht="12.8" hidden="false" customHeight="false" outlineLevel="0" collapsed="false">
      <c r="A131" s="0" t="s">
        <v>46</v>
      </c>
      <c r="B131" s="0" t="n">
        <v>82</v>
      </c>
      <c r="C131" s="0" t="n">
        <v>79</v>
      </c>
      <c r="D131" s="26"/>
      <c r="E131" s="26"/>
    </row>
    <row r="132" customFormat="false" ht="12.8" hidden="false" customHeight="false" outlineLevel="0" collapsed="false">
      <c r="A132" s="0" t="s">
        <v>46</v>
      </c>
      <c r="B132" s="0" t="n">
        <v>100</v>
      </c>
      <c r="C132" s="0" t="n">
        <v>68</v>
      </c>
      <c r="D132" s="26"/>
      <c r="E132" s="26"/>
    </row>
    <row r="133" customFormat="false" ht="12.8" hidden="false" customHeight="false" outlineLevel="0" collapsed="false">
      <c r="A133" s="0" t="s">
        <v>47</v>
      </c>
      <c r="B133" s="0" t="n">
        <v>5</v>
      </c>
      <c r="D133" s="26" t="s">
        <v>2</v>
      </c>
      <c r="E133" s="26" t="s">
        <v>19</v>
      </c>
    </row>
    <row r="134" customFormat="false" ht="12.8" hidden="false" customHeight="false" outlineLevel="0" collapsed="false">
      <c r="A134" s="0" t="s">
        <v>47</v>
      </c>
      <c r="B134" s="0" t="n">
        <v>10</v>
      </c>
      <c r="C134" s="0" t="n">
        <v>3024</v>
      </c>
      <c r="D134" s="26"/>
      <c r="E134" s="26"/>
    </row>
    <row r="135" customFormat="false" ht="12.8" hidden="false" customHeight="false" outlineLevel="0" collapsed="false">
      <c r="A135" s="0" t="s">
        <v>47</v>
      </c>
      <c r="B135" s="0" t="n">
        <v>15</v>
      </c>
      <c r="C135" s="0" t="n">
        <v>1732</v>
      </c>
      <c r="D135" s="26"/>
      <c r="E135" s="26"/>
    </row>
    <row r="136" customFormat="false" ht="12.8" hidden="false" customHeight="false" outlineLevel="0" collapsed="false">
      <c r="A136" s="0" t="s">
        <v>47</v>
      </c>
      <c r="B136" s="0" t="n">
        <v>20</v>
      </c>
      <c r="C136" s="0" t="n">
        <v>1276</v>
      </c>
      <c r="D136" s="26"/>
      <c r="E136" s="26"/>
    </row>
    <row r="137" customFormat="false" ht="12.8" hidden="false" customHeight="false" outlineLevel="0" collapsed="false">
      <c r="A137" s="0" t="s">
        <v>47</v>
      </c>
      <c r="B137" s="0" t="n">
        <v>30</v>
      </c>
      <c r="C137" s="0" t="n">
        <v>827</v>
      </c>
      <c r="D137" s="26"/>
      <c r="E137" s="26"/>
    </row>
    <row r="138" customFormat="false" ht="12.8" hidden="false" customHeight="false" outlineLevel="0" collapsed="false">
      <c r="A138" s="0" t="s">
        <v>47</v>
      </c>
      <c r="B138" s="0" t="n">
        <v>40</v>
      </c>
      <c r="C138" s="0" t="n">
        <v>633</v>
      </c>
      <c r="D138" s="26"/>
      <c r="E138" s="26"/>
    </row>
    <row r="139" customFormat="false" ht="12.8" hidden="false" customHeight="false" outlineLevel="0" collapsed="false">
      <c r="A139" s="0" t="s">
        <v>47</v>
      </c>
      <c r="B139" s="0" t="n">
        <v>50</v>
      </c>
      <c r="C139" s="0" t="n">
        <v>512</v>
      </c>
      <c r="D139" s="26"/>
      <c r="E139" s="26" t="s">
        <v>17</v>
      </c>
    </row>
    <row r="140" customFormat="false" ht="12.8" hidden="false" customHeight="false" outlineLevel="0" collapsed="false">
      <c r="A140" s="0" t="s">
        <v>47</v>
      </c>
      <c r="B140" s="0" t="n">
        <v>64</v>
      </c>
      <c r="C140" s="0" t="n">
        <v>531</v>
      </c>
      <c r="D140" s="26"/>
      <c r="E140" s="26" t="s">
        <v>17</v>
      </c>
    </row>
    <row r="141" customFormat="false" ht="12.8" hidden="false" customHeight="false" outlineLevel="0" collapsed="false">
      <c r="A141" s="0" t="s">
        <v>47</v>
      </c>
      <c r="B141" s="0" t="n">
        <v>82</v>
      </c>
      <c r="C141" s="0" t="n">
        <v>372</v>
      </c>
      <c r="D141" s="26"/>
      <c r="E141" s="26" t="s">
        <v>17</v>
      </c>
    </row>
    <row r="142" customFormat="false" ht="12.8" hidden="false" customHeight="false" outlineLevel="0" collapsed="false">
      <c r="A142" s="0" t="s">
        <v>47</v>
      </c>
      <c r="B142" s="0" t="n">
        <v>100</v>
      </c>
      <c r="C142" s="0" t="n">
        <v>341</v>
      </c>
      <c r="D142" s="26"/>
      <c r="E142" s="26"/>
    </row>
    <row r="143" customFormat="false" ht="12.8" hidden="false" customHeight="false" outlineLevel="0" collapsed="false">
      <c r="A143" s="0" t="s">
        <v>45</v>
      </c>
      <c r="B143" s="0" t="n">
        <v>5</v>
      </c>
      <c r="D143" s="26"/>
      <c r="E143" s="26"/>
    </row>
    <row r="144" customFormat="false" ht="12.8" hidden="false" customHeight="false" outlineLevel="0" collapsed="false">
      <c r="A144" s="0" t="s">
        <v>45</v>
      </c>
      <c r="B144" s="0" t="n">
        <v>10</v>
      </c>
      <c r="C144" s="0" t="n">
        <v>1394</v>
      </c>
      <c r="D144" s="26"/>
      <c r="E144" s="26"/>
    </row>
    <row r="145" customFormat="false" ht="12.8" hidden="false" customHeight="false" outlineLevel="0" collapsed="false">
      <c r="A145" s="0" t="s">
        <v>45</v>
      </c>
      <c r="B145" s="0" t="n">
        <v>15</v>
      </c>
      <c r="C145" s="0" t="n">
        <v>2635</v>
      </c>
      <c r="D145" s="26"/>
      <c r="E145" s="26"/>
    </row>
    <row r="146" customFormat="false" ht="12.8" hidden="false" customHeight="false" outlineLevel="0" collapsed="false">
      <c r="A146" s="0" t="s">
        <v>45</v>
      </c>
      <c r="B146" s="0" t="n">
        <v>20</v>
      </c>
      <c r="C146" s="0" t="n">
        <v>1767</v>
      </c>
      <c r="D146" s="26"/>
      <c r="E146" s="26"/>
    </row>
    <row r="147" customFormat="false" ht="12.8" hidden="false" customHeight="false" outlineLevel="0" collapsed="false">
      <c r="A147" s="0" t="s">
        <v>45</v>
      </c>
      <c r="B147" s="0" t="n">
        <v>30</v>
      </c>
      <c r="C147" s="0" t="n">
        <v>1455</v>
      </c>
      <c r="D147" s="26"/>
      <c r="E147" s="26"/>
    </row>
    <row r="148" customFormat="false" ht="12.8" hidden="false" customHeight="false" outlineLevel="0" collapsed="false">
      <c r="A148" s="0" t="s">
        <v>45</v>
      </c>
      <c r="B148" s="0" t="n">
        <v>40</v>
      </c>
      <c r="C148" s="0" t="n">
        <v>1158</v>
      </c>
      <c r="D148" s="26"/>
      <c r="E148" s="26"/>
    </row>
    <row r="149" customFormat="false" ht="12.8" hidden="false" customHeight="false" outlineLevel="0" collapsed="false">
      <c r="A149" s="0" t="s">
        <v>45</v>
      </c>
      <c r="B149" s="0" t="n">
        <v>50</v>
      </c>
      <c r="C149" s="0" t="n">
        <v>882</v>
      </c>
      <c r="D149" s="26"/>
      <c r="E149" s="26"/>
    </row>
    <row r="150" customFormat="false" ht="12.8" hidden="false" customHeight="false" outlineLevel="0" collapsed="false">
      <c r="A150" s="0" t="s">
        <v>45</v>
      </c>
      <c r="B150" s="0" t="n">
        <v>64</v>
      </c>
      <c r="C150" s="0" t="n">
        <v>657</v>
      </c>
      <c r="D150" s="26"/>
      <c r="E150" s="26"/>
    </row>
    <row r="151" customFormat="false" ht="12.8" hidden="false" customHeight="false" outlineLevel="0" collapsed="false">
      <c r="A151" s="0" t="s">
        <v>45</v>
      </c>
      <c r="B151" s="0" t="n">
        <v>82</v>
      </c>
      <c r="C151" s="0" t="n">
        <v>593</v>
      </c>
      <c r="D151" s="26"/>
      <c r="E151" s="26"/>
    </row>
    <row r="152" customFormat="false" ht="12.8" hidden="false" customHeight="false" outlineLevel="0" collapsed="false">
      <c r="A152" s="0" t="s">
        <v>45</v>
      </c>
      <c r="B152" s="0" t="n">
        <v>100</v>
      </c>
      <c r="C152" s="0" t="n">
        <v>463</v>
      </c>
      <c r="D152" s="26"/>
      <c r="E152" s="26"/>
    </row>
    <row r="153" customFormat="false" ht="12.8" hidden="false" customHeight="false" outlineLevel="0" collapsed="false">
      <c r="A153" s="0" t="s">
        <v>48</v>
      </c>
      <c r="B153" s="0" t="n">
        <v>5</v>
      </c>
      <c r="D153" s="26" t="s">
        <v>2</v>
      </c>
      <c r="E153" s="26" t="s">
        <v>19</v>
      </c>
    </row>
    <row r="154" customFormat="false" ht="12.8" hidden="false" customHeight="false" outlineLevel="0" collapsed="false">
      <c r="A154" s="0" t="s">
        <v>48</v>
      </c>
      <c r="B154" s="0" t="n">
        <v>10</v>
      </c>
      <c r="C154" s="0" t="n">
        <v>1308</v>
      </c>
      <c r="D154" s="26"/>
      <c r="E154" s="26"/>
    </row>
    <row r="155" customFormat="false" ht="12.8" hidden="false" customHeight="false" outlineLevel="0" collapsed="false">
      <c r="A155" s="0" t="s">
        <v>48</v>
      </c>
      <c r="B155" s="0" t="n">
        <v>15</v>
      </c>
      <c r="C155" s="0" t="n">
        <v>1132</v>
      </c>
      <c r="D155" s="26"/>
      <c r="E155" s="26"/>
    </row>
    <row r="156" customFormat="false" ht="12.8" hidden="false" customHeight="false" outlineLevel="0" collapsed="false">
      <c r="A156" s="0" t="s">
        <v>48</v>
      </c>
      <c r="B156" s="0" t="n">
        <v>20</v>
      </c>
      <c r="C156" s="0" t="n">
        <v>772</v>
      </c>
      <c r="D156" s="26"/>
      <c r="E156" s="26"/>
    </row>
    <row r="157" customFormat="false" ht="12.8" hidden="false" customHeight="false" outlineLevel="0" collapsed="false">
      <c r="A157" s="0" t="s">
        <v>48</v>
      </c>
      <c r="B157" s="0" t="n">
        <v>30</v>
      </c>
      <c r="C157" s="0" t="n">
        <v>616</v>
      </c>
      <c r="D157" s="26"/>
      <c r="E157" s="26"/>
    </row>
    <row r="158" customFormat="false" ht="12.8" hidden="false" customHeight="false" outlineLevel="0" collapsed="false">
      <c r="A158" s="0" t="s">
        <v>48</v>
      </c>
      <c r="B158" s="0" t="n">
        <v>40</v>
      </c>
      <c r="C158" s="0" t="n">
        <v>474</v>
      </c>
      <c r="D158" s="26"/>
      <c r="E158" s="26" t="s">
        <v>17</v>
      </c>
    </row>
    <row r="159" customFormat="false" ht="12.8" hidden="false" customHeight="false" outlineLevel="0" collapsed="false">
      <c r="A159" s="0" t="s">
        <v>48</v>
      </c>
      <c r="B159" s="0" t="n">
        <v>50</v>
      </c>
      <c r="C159" s="0" t="n">
        <v>361</v>
      </c>
      <c r="D159" s="26"/>
      <c r="E159" s="26"/>
    </row>
    <row r="160" customFormat="false" ht="12.8" hidden="false" customHeight="false" outlineLevel="0" collapsed="false">
      <c r="A160" s="0" t="s">
        <v>48</v>
      </c>
      <c r="B160" s="0" t="n">
        <v>64</v>
      </c>
      <c r="C160" s="0" t="n">
        <v>292</v>
      </c>
      <c r="D160" s="26"/>
      <c r="E160" s="26" t="s">
        <v>17</v>
      </c>
    </row>
    <row r="161" customFormat="false" ht="12.8" hidden="false" customHeight="false" outlineLevel="0" collapsed="false">
      <c r="A161" s="0" t="s">
        <v>48</v>
      </c>
      <c r="B161" s="0" t="n">
        <v>82</v>
      </c>
      <c r="C161" s="0" t="n">
        <v>226</v>
      </c>
      <c r="D161" s="26"/>
      <c r="E161" s="26" t="s">
        <v>17</v>
      </c>
    </row>
    <row r="162" customFormat="false" ht="12.8" hidden="false" customHeight="false" outlineLevel="0" collapsed="false">
      <c r="A162" s="0" t="s">
        <v>48</v>
      </c>
      <c r="B162" s="0" t="n">
        <v>100</v>
      </c>
      <c r="C162" s="0" t="n">
        <v>210</v>
      </c>
      <c r="D162" s="26"/>
      <c r="E162" s="26" t="s">
        <v>17</v>
      </c>
    </row>
    <row r="163" customFormat="false" ht="12.8" hidden="false" customHeight="false" outlineLevel="0" collapsed="false">
      <c r="A163" s="0" t="s">
        <v>49</v>
      </c>
      <c r="B163" s="0" t="n">
        <v>5</v>
      </c>
      <c r="D163" s="26" t="s">
        <v>2</v>
      </c>
      <c r="E163" s="26" t="s">
        <v>19</v>
      </c>
    </row>
    <row r="164" customFormat="false" ht="12.8" hidden="false" customHeight="false" outlineLevel="0" collapsed="false">
      <c r="A164" s="0" t="s">
        <v>49</v>
      </c>
      <c r="B164" s="0" t="n">
        <v>10</v>
      </c>
      <c r="C164" s="0" t="n">
        <v>824</v>
      </c>
      <c r="D164" s="26"/>
      <c r="E164" s="26"/>
    </row>
    <row r="165" customFormat="false" ht="12.8" hidden="false" customHeight="false" outlineLevel="0" collapsed="false">
      <c r="A165" s="0" t="s">
        <v>49</v>
      </c>
      <c r="B165" s="0" t="n">
        <v>15</v>
      </c>
      <c r="C165" s="0" t="n">
        <v>589</v>
      </c>
      <c r="D165" s="26"/>
      <c r="E165" s="26"/>
    </row>
    <row r="166" customFormat="false" ht="12.8" hidden="false" customHeight="false" outlineLevel="0" collapsed="false">
      <c r="A166" s="0" t="s">
        <v>49</v>
      </c>
      <c r="B166" s="0" t="n">
        <v>20</v>
      </c>
      <c r="C166" s="0" t="n">
        <v>490</v>
      </c>
      <c r="D166" s="26"/>
      <c r="E166" s="26"/>
    </row>
    <row r="167" customFormat="false" ht="12.8" hidden="false" customHeight="false" outlineLevel="0" collapsed="false">
      <c r="A167" s="0" t="s">
        <v>49</v>
      </c>
      <c r="B167" s="0" t="n">
        <v>30</v>
      </c>
      <c r="C167" s="0" t="n">
        <v>400</v>
      </c>
      <c r="D167" s="26"/>
      <c r="E167" s="26"/>
    </row>
    <row r="168" customFormat="false" ht="12.8" hidden="false" customHeight="false" outlineLevel="0" collapsed="false">
      <c r="A168" s="0" t="s">
        <v>49</v>
      </c>
      <c r="B168" s="0" t="n">
        <v>40</v>
      </c>
      <c r="C168" s="0" t="n">
        <v>262</v>
      </c>
      <c r="D168" s="26"/>
      <c r="E168" s="26"/>
    </row>
    <row r="169" customFormat="false" ht="12.8" hidden="false" customHeight="false" outlineLevel="0" collapsed="false">
      <c r="A169" s="0" t="s">
        <v>49</v>
      </c>
      <c r="B169" s="0" t="n">
        <v>50</v>
      </c>
      <c r="C169" s="0" t="n">
        <v>290</v>
      </c>
      <c r="D169" s="26"/>
      <c r="E169" s="26"/>
    </row>
    <row r="170" customFormat="false" ht="12.8" hidden="false" customHeight="false" outlineLevel="0" collapsed="false">
      <c r="A170" s="0" t="s">
        <v>49</v>
      </c>
      <c r="B170" s="0" t="n">
        <v>64</v>
      </c>
      <c r="C170" s="0" t="n">
        <v>240</v>
      </c>
      <c r="D170" s="26"/>
      <c r="E170" s="26"/>
    </row>
    <row r="171" customFormat="false" ht="12.8" hidden="false" customHeight="false" outlineLevel="0" collapsed="false">
      <c r="A171" s="0" t="s">
        <v>49</v>
      </c>
      <c r="B171" s="0" t="n">
        <v>82</v>
      </c>
      <c r="C171" s="0" t="n">
        <v>167</v>
      </c>
      <c r="D171" s="26"/>
      <c r="E171" s="26"/>
    </row>
    <row r="172" customFormat="false" ht="12.8" hidden="false" customHeight="false" outlineLevel="0" collapsed="false">
      <c r="A172" s="0" t="s">
        <v>49</v>
      </c>
      <c r="B172" s="0" t="n">
        <v>100</v>
      </c>
      <c r="C172" s="0" t="n">
        <v>139</v>
      </c>
      <c r="D172" s="26"/>
      <c r="E172" s="26"/>
    </row>
    <row r="173" customFormat="false" ht="12.8" hidden="false" customHeight="false" outlineLevel="0" collapsed="false">
      <c r="A173" s="0" t="s">
        <v>50</v>
      </c>
      <c r="B173" s="0" t="n">
        <v>5</v>
      </c>
      <c r="D173" s="26" t="s">
        <v>2</v>
      </c>
      <c r="E173" s="26" t="s">
        <v>19</v>
      </c>
    </row>
    <row r="174" customFormat="false" ht="12.8" hidden="false" customHeight="false" outlineLevel="0" collapsed="false">
      <c r="A174" s="0" t="s">
        <v>50</v>
      </c>
      <c r="B174" s="0" t="n">
        <v>10</v>
      </c>
      <c r="C174" s="0" t="n">
        <v>2214</v>
      </c>
      <c r="D174" s="26"/>
      <c r="E174" s="26"/>
    </row>
    <row r="175" customFormat="false" ht="12.8" hidden="false" customHeight="false" outlineLevel="0" collapsed="false">
      <c r="A175" s="0" t="s">
        <v>50</v>
      </c>
      <c r="B175" s="0" t="n">
        <v>15</v>
      </c>
      <c r="C175" s="0" t="n">
        <v>1429</v>
      </c>
      <c r="D175" s="26"/>
      <c r="E175" s="26"/>
    </row>
    <row r="176" customFormat="false" ht="12.8" hidden="false" customHeight="false" outlineLevel="0" collapsed="false">
      <c r="A176" s="0" t="s">
        <v>50</v>
      </c>
      <c r="B176" s="0" t="n">
        <v>20</v>
      </c>
      <c r="C176" s="0" t="n">
        <v>1078</v>
      </c>
      <c r="D176" s="26"/>
      <c r="E176" s="26"/>
    </row>
    <row r="177" customFormat="false" ht="12.8" hidden="false" customHeight="false" outlineLevel="0" collapsed="false">
      <c r="A177" s="0" t="s">
        <v>50</v>
      </c>
      <c r="B177" s="0" t="n">
        <v>30</v>
      </c>
      <c r="C177" s="0" t="n">
        <v>717</v>
      </c>
      <c r="D177" s="26"/>
      <c r="E177" s="26"/>
    </row>
    <row r="178" customFormat="false" ht="12.8" hidden="false" customHeight="false" outlineLevel="0" collapsed="false">
      <c r="A178" s="0" t="s">
        <v>50</v>
      </c>
      <c r="B178" s="0" t="n">
        <v>40</v>
      </c>
      <c r="C178" s="0" t="n">
        <v>616</v>
      </c>
      <c r="D178" s="26"/>
      <c r="E178" s="26"/>
    </row>
    <row r="179" customFormat="false" ht="12.8" hidden="false" customHeight="false" outlineLevel="0" collapsed="false">
      <c r="A179" s="0" t="s">
        <v>50</v>
      </c>
      <c r="B179" s="0" t="n">
        <v>50</v>
      </c>
      <c r="C179" s="0" t="n">
        <v>501</v>
      </c>
      <c r="D179" s="26"/>
      <c r="E179" s="26"/>
    </row>
    <row r="180" customFormat="false" ht="12.8" hidden="false" customHeight="false" outlineLevel="0" collapsed="false">
      <c r="A180" s="0" t="s">
        <v>50</v>
      </c>
      <c r="B180" s="0" t="n">
        <v>64</v>
      </c>
      <c r="C180" s="0" t="n">
        <v>402</v>
      </c>
      <c r="D180" s="26"/>
      <c r="E180" s="26" t="s">
        <v>17</v>
      </c>
    </row>
    <row r="181" customFormat="false" ht="12.8" hidden="false" customHeight="false" outlineLevel="0" collapsed="false">
      <c r="A181" s="0" t="s">
        <v>50</v>
      </c>
      <c r="B181" s="0" t="n">
        <v>82</v>
      </c>
      <c r="C181" s="0" t="n">
        <v>324</v>
      </c>
      <c r="D181" s="26"/>
      <c r="E181" s="26" t="s">
        <v>17</v>
      </c>
    </row>
    <row r="182" customFormat="false" ht="12.8" hidden="false" customHeight="false" outlineLevel="0" collapsed="false">
      <c r="A182" s="0" t="s">
        <v>50</v>
      </c>
      <c r="B182" s="0" t="n">
        <v>100</v>
      </c>
      <c r="C182" s="0" t="n">
        <v>285</v>
      </c>
      <c r="D182" s="26"/>
      <c r="E182" s="26"/>
    </row>
  </sheetData>
  <mergeCells count="4">
    <mergeCell ref="H2:H3"/>
    <mergeCell ref="I2:R2"/>
    <mergeCell ref="T2:T3"/>
    <mergeCell ref="U2:AD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305"/>
  <sheetViews>
    <sheetView showFormulas="false" showGridLines="true" showRowColHeaders="true" showZeros="true" rightToLeft="false" tabSelected="false" showOutlineSymbols="true" defaultGridColor="true" view="normal" topLeftCell="A121" colorId="64" zoomScale="100" zoomScaleNormal="100" zoomScalePageLayoutView="100" workbookViewId="0">
      <selection pane="topLeft" activeCell="L147" activeCellId="0" sqref="L147"/>
    </sheetView>
  </sheetViews>
  <sheetFormatPr defaultColWidth="11.23046875" defaultRowHeight="12.8" customHeight="false" zeroHeight="false" outlineLevelRow="0" outlineLevelCol="0"/>
  <cols>
    <col collapsed="false" customWidth="true" hidden="false" outlineLevel="0" max="1" min="1" style="0" width="18.39"/>
    <col collapsed="false" customWidth="true" hidden="false" outlineLevel="0" max="2" min="2" style="0" width="10.38"/>
    <col collapsed="false" customWidth="true" hidden="false" outlineLevel="0" max="3" min="3" style="0" width="13.14"/>
    <col collapsed="false" customWidth="true" hidden="false" outlineLevel="0" max="4" min="4" style="0" width="18.39"/>
    <col collapsed="false" customWidth="true" hidden="false" outlineLevel="0" max="15" min="5" style="0" width="13.14"/>
    <col collapsed="false" customWidth="true" hidden="false" outlineLevel="0" max="16" min="16" style="0" width="13.55"/>
    <col collapsed="false" customWidth="true" hidden="false" outlineLevel="0" max="17" min="17" style="0" width="13.14"/>
    <col collapsed="false" customWidth="true" hidden="false" outlineLevel="0" max="18" min="18" style="0" width="13.96"/>
    <col collapsed="false" customWidth="true" hidden="false" outlineLevel="0" max="23" min="19" style="0" width="13.14"/>
    <col collapsed="false" customWidth="true" hidden="false" outlineLevel="0" max="24" min="24" style="0" width="13.96"/>
    <col collapsed="false" customWidth="true" hidden="true" outlineLevel="0" max="25" min="25" style="0" width="10.11"/>
    <col collapsed="false" customWidth="true" hidden="false" outlineLevel="0" max="26" min="26" style="0" width="13.14"/>
    <col collapsed="false" customWidth="true" hidden="false" outlineLevel="0" max="27" min="27" style="0" width="18.39"/>
    <col collapsed="false" customWidth="true" hidden="false" outlineLevel="0" max="28" min="28" style="0" width="7.9"/>
    <col collapsed="false" customWidth="true" hidden="false" outlineLevel="0" max="30" min="29" style="0" width="13.14"/>
    <col collapsed="false" customWidth="true" hidden="false" outlineLevel="0" max="32" min="31" style="0" width="12.73"/>
    <col collapsed="false" customWidth="true" hidden="false" outlineLevel="0" max="34" min="33" style="0" width="13.41"/>
    <col collapsed="false" customWidth="true" hidden="false" outlineLevel="0" max="35" min="35" style="0" width="19.63"/>
    <col collapsed="false" customWidth="true" hidden="false" outlineLevel="0" max="36" min="36" style="0" width="13.14"/>
    <col collapsed="false" customWidth="false" hidden="false" outlineLevel="0" max="38" min="38" style="17" width="11.23"/>
    <col collapsed="false" customWidth="true" hidden="false" outlineLevel="0" max="40" min="40" style="0" width="15.07"/>
  </cols>
  <sheetData>
    <row r="1" customFormat="false" ht="12.8" hidden="false" customHeight="false" outlineLevel="0" collapsed="false">
      <c r="A1" s="18" t="s">
        <v>17</v>
      </c>
      <c r="C1" s="18" t="n">
        <v>632456723</v>
      </c>
      <c r="D1" s="18"/>
      <c r="E1" s="18" t="s">
        <v>71</v>
      </c>
      <c r="F1" s="18"/>
      <c r="G1" s="18" t="s">
        <v>72</v>
      </c>
      <c r="H1" s="18"/>
      <c r="I1" s="18" t="s">
        <v>73</v>
      </c>
      <c r="J1" s="18"/>
      <c r="K1" s="18" t="n">
        <v>102370435</v>
      </c>
      <c r="L1" s="18"/>
      <c r="M1" s="18" t="s">
        <v>74</v>
      </c>
      <c r="N1" s="18"/>
      <c r="O1" s="18" t="s">
        <v>75</v>
      </c>
      <c r="P1" s="18"/>
      <c r="Q1" s="18" t="s">
        <v>76</v>
      </c>
      <c r="R1" s="18"/>
      <c r="S1" s="18" t="n">
        <v>914023457</v>
      </c>
      <c r="T1" s="18"/>
      <c r="U1" s="18" t="s">
        <v>77</v>
      </c>
      <c r="V1" s="18"/>
      <c r="W1" s="18" t="s">
        <v>78</v>
      </c>
      <c r="X1" s="18"/>
      <c r="Z1" s="18" t="s">
        <v>79</v>
      </c>
      <c r="AA1" s="18"/>
    </row>
    <row r="2" customFormat="false" ht="28.35" hidden="false" customHeight="false" outlineLevel="0" collapsed="false">
      <c r="A2" s="19" t="s">
        <v>21</v>
      </c>
      <c r="B2" s="19" t="s">
        <v>22</v>
      </c>
      <c r="C2" s="20" t="s">
        <v>23</v>
      </c>
      <c r="D2" s="20" t="s">
        <v>24</v>
      </c>
      <c r="E2" s="20" t="s">
        <v>23</v>
      </c>
      <c r="F2" s="20" t="s">
        <v>24</v>
      </c>
      <c r="G2" s="20" t="s">
        <v>23</v>
      </c>
      <c r="H2" s="20" t="s">
        <v>24</v>
      </c>
      <c r="I2" s="20" t="s">
        <v>23</v>
      </c>
      <c r="J2" s="20" t="s">
        <v>24</v>
      </c>
      <c r="K2" s="20" t="s">
        <v>23</v>
      </c>
      <c r="L2" s="20" t="s">
        <v>24</v>
      </c>
      <c r="M2" s="20" t="s">
        <v>23</v>
      </c>
      <c r="N2" s="20" t="s">
        <v>24</v>
      </c>
      <c r="O2" s="20" t="s">
        <v>23</v>
      </c>
      <c r="P2" s="20" t="s">
        <v>24</v>
      </c>
      <c r="Q2" s="20" t="s">
        <v>23</v>
      </c>
      <c r="R2" s="20" t="s">
        <v>24</v>
      </c>
      <c r="S2" s="20" t="s">
        <v>23</v>
      </c>
      <c r="T2" s="20" t="s">
        <v>24</v>
      </c>
      <c r="U2" s="20" t="s">
        <v>23</v>
      </c>
      <c r="V2" s="20" t="s">
        <v>24</v>
      </c>
      <c r="W2" s="20" t="s">
        <v>23</v>
      </c>
      <c r="X2" s="20" t="s">
        <v>24</v>
      </c>
      <c r="Y2" s="19"/>
      <c r="Z2" s="20" t="s">
        <v>23</v>
      </c>
      <c r="AA2" s="20" t="s">
        <v>24</v>
      </c>
      <c r="AB2" s="19"/>
      <c r="AC2" s="19"/>
      <c r="AD2" s="19"/>
      <c r="AE2" s="19"/>
      <c r="AF2" s="22"/>
      <c r="AK2" s="23"/>
      <c r="AL2" s="24"/>
    </row>
    <row r="3" customFormat="false" ht="12.8" hidden="false" customHeight="false" outlineLevel="0" collapsed="false">
      <c r="A3" s="0" t="s">
        <v>31</v>
      </c>
      <c r="B3" s="0" t="n">
        <v>5</v>
      </c>
      <c r="D3" s="25" t="str">
        <f aca="false">IF(NOT(ISBLANK(C3)), ROUND(C3/60,0), "")</f>
        <v/>
      </c>
      <c r="F3" s="25" t="str">
        <f aca="false">IF(NOT(ISBLANK(E3)), ROUND(E3/60,0), "")</f>
        <v/>
      </c>
      <c r="H3" s="25" t="str">
        <f aca="false">IF(NOT(ISBLANK(G3)), ROUND(G3/60,0), "")</f>
        <v/>
      </c>
      <c r="I3" s="25"/>
      <c r="J3" s="25"/>
      <c r="L3" s="25" t="str">
        <f aca="false">IF(NOT(ISBLANK(K3)), ROUND(K3/60,0), "")</f>
        <v/>
      </c>
      <c r="N3" s="25" t="str">
        <f aca="false">IF(NOT(ISBLANK(M3)), ROUND(M3/60,0), "")</f>
        <v/>
      </c>
      <c r="P3" s="0" t="str">
        <f aca="false">IF(NOT(ISBLANK(O3)), ROUND(O3/60,0), "")</f>
        <v/>
      </c>
      <c r="R3" s="0" t="str">
        <f aca="false">IF(NOT(ISBLANK(Q3)), ROUND(Q3/60,0), "")</f>
        <v/>
      </c>
      <c r="T3" s="0" t="str">
        <f aca="false">IF(NOT(ISBLANK(S3)), ROUND(S3/60,0), "")</f>
        <v/>
      </c>
      <c r="U3" s="0" t="n">
        <v>205336</v>
      </c>
      <c r="V3" s="0" t="n">
        <f aca="false">IF(NOT(ISBLANK(U3)), ROUND(U3/60,0), "")</f>
        <v>3422</v>
      </c>
      <c r="X3" s="0" t="str">
        <f aca="false">IF(NOT(ISBLANK(W3)), ROUND(W3/60,0), "")</f>
        <v/>
      </c>
      <c r="Y3" s="26"/>
      <c r="AA3" s="0" t="str">
        <f aca="false">IF(NOT(ISBLANK(Z3)), ROUND(Z3/60,0), "")</f>
        <v/>
      </c>
      <c r="AC3" s="0" t="s">
        <v>31</v>
      </c>
    </row>
    <row r="4" customFormat="false" ht="12.8" hidden="false" customHeight="false" outlineLevel="0" collapsed="false">
      <c r="A4" s="0" t="s">
        <v>31</v>
      </c>
      <c r="B4" s="0" t="n">
        <v>10</v>
      </c>
      <c r="C4" s="0" t="n">
        <v>116930</v>
      </c>
      <c r="D4" s="25" t="n">
        <f aca="false">IF(NOT(ISBLANK(C4)), ROUND(C4/60,0), "")</f>
        <v>1949</v>
      </c>
      <c r="E4" s="0" t="n">
        <v>91821</v>
      </c>
      <c r="F4" s="25" t="n">
        <f aca="false">IF(NOT(ISBLANK(E4)), ROUND(E4/60,0), "")</f>
        <v>1530</v>
      </c>
      <c r="G4" s="0" t="n">
        <v>112091</v>
      </c>
      <c r="H4" s="25" t="n">
        <f aca="false">IF(NOT(ISBLANK(G4)), ROUND(G4/60,0), "")</f>
        <v>1868</v>
      </c>
      <c r="I4" s="25"/>
      <c r="J4" s="25"/>
      <c r="K4" s="0" t="n">
        <v>140122</v>
      </c>
      <c r="L4" s="25" t="n">
        <f aca="false">IF(NOT(ISBLANK(K4)), ROUND(K4/60,0), "")</f>
        <v>2335</v>
      </c>
      <c r="M4" s="0" t="n">
        <v>74746</v>
      </c>
      <c r="N4" s="25" t="n">
        <f aca="false">IF(NOT(ISBLANK(M4)), ROUND(M4/60,0), "")</f>
        <v>1246</v>
      </c>
      <c r="O4" s="0" t="n">
        <v>113169</v>
      </c>
      <c r="P4" s="0" t="n">
        <f aca="false">IF(NOT(ISBLANK(O4)), ROUND(O4/60,0), "")</f>
        <v>1886</v>
      </c>
      <c r="Q4" s="0" t="n">
        <v>140121</v>
      </c>
      <c r="R4" s="0" t="n">
        <f aca="false">IF(NOT(ISBLANK(Q4)), ROUND(Q4/60,0), "")</f>
        <v>2335</v>
      </c>
      <c r="S4" s="0" t="n">
        <v>113017</v>
      </c>
      <c r="T4" s="0" t="n">
        <f aca="false">IF(NOT(ISBLANK(S4)), ROUND(S4/60,0), "")</f>
        <v>1884</v>
      </c>
      <c r="U4" s="0" t="n">
        <v>106077</v>
      </c>
      <c r="V4" s="0" t="n">
        <f aca="false">IF(NOT(ISBLANK(U4)), ROUND(U4/60,0), "")</f>
        <v>1768</v>
      </c>
      <c r="W4" s="0" t="n">
        <v>104643</v>
      </c>
      <c r="X4" s="0" t="n">
        <f aca="false">IF(NOT(ISBLANK(W4)), ROUND(W4/60,0), "")</f>
        <v>1744</v>
      </c>
      <c r="Y4" s="26"/>
      <c r="Z4" s="0" t="n">
        <v>90374</v>
      </c>
      <c r="AA4" s="0" t="n">
        <f aca="false">IF(NOT(ISBLANK(Z4)), ROUND(Z4/60,0), "")</f>
        <v>1506</v>
      </c>
      <c r="AC4" s="0" t="s">
        <v>31</v>
      </c>
    </row>
    <row r="5" customFormat="false" ht="12.8" hidden="false" customHeight="false" outlineLevel="0" collapsed="false">
      <c r="A5" s="0" t="s">
        <v>31</v>
      </c>
      <c r="B5" s="0" t="n">
        <v>15</v>
      </c>
      <c r="C5" s="0" t="n">
        <v>58579</v>
      </c>
      <c r="D5" s="25" t="n">
        <f aca="false">IF(NOT(ISBLANK(C5)), ROUND(C5/60,0), "")</f>
        <v>976</v>
      </c>
      <c r="E5" s="0" t="n">
        <v>67329</v>
      </c>
      <c r="F5" s="25" t="n">
        <f aca="false">IF(NOT(ISBLANK(E5)), ROUND(E5/60,0), "")</f>
        <v>1122</v>
      </c>
      <c r="G5" s="0" t="n">
        <v>78706</v>
      </c>
      <c r="H5" s="25" t="n">
        <f aca="false">IF(NOT(ISBLANK(G5)), ROUND(G5/60,0), "")</f>
        <v>1312</v>
      </c>
      <c r="I5" s="25"/>
      <c r="J5" s="25"/>
      <c r="K5" s="0" t="n">
        <v>63466</v>
      </c>
      <c r="L5" s="25" t="n">
        <f aca="false">IF(NOT(ISBLANK(K5)), ROUND(K5/60,0), "")</f>
        <v>1058</v>
      </c>
      <c r="M5" s="0" t="n">
        <v>59347</v>
      </c>
      <c r="N5" s="25" t="n">
        <f aca="false">IF(NOT(ISBLANK(M5)), ROUND(M5/60,0), "")</f>
        <v>989</v>
      </c>
      <c r="O5" s="0" t="n">
        <v>57281</v>
      </c>
      <c r="P5" s="0" t="n">
        <f aca="false">IF(NOT(ISBLANK(O5)), ROUND(O5/60,0), "")</f>
        <v>955</v>
      </c>
      <c r="Q5" s="0" t="n">
        <v>68737</v>
      </c>
      <c r="R5" s="0" t="n">
        <f aca="false">IF(NOT(ISBLANK(Q5)), ROUND(Q5/60,0), "")</f>
        <v>1146</v>
      </c>
      <c r="S5" s="0" t="n">
        <v>60867</v>
      </c>
      <c r="T5" s="0" t="n">
        <f aca="false">IF(NOT(ISBLANK(S5)), ROUND(S5/60,0), "")</f>
        <v>1014</v>
      </c>
      <c r="U5" s="0" t="n">
        <v>60040</v>
      </c>
      <c r="V5" s="0" t="n">
        <f aca="false">IF(NOT(ISBLANK(U5)), ROUND(U5/60,0), "")</f>
        <v>1001</v>
      </c>
      <c r="W5" s="0" t="n">
        <v>59702</v>
      </c>
      <c r="X5" s="0" t="n">
        <f aca="false">IF(NOT(ISBLANK(W5)), ROUND(W5/60,0), "")</f>
        <v>995</v>
      </c>
      <c r="Y5" s="26"/>
      <c r="Z5" s="0" t="n">
        <v>59497</v>
      </c>
      <c r="AA5" s="0" t="n">
        <f aca="false">IF(NOT(ISBLANK(Z5)), ROUND(Z5/60,0), "")</f>
        <v>992</v>
      </c>
      <c r="AC5" s="0" t="s">
        <v>31</v>
      </c>
    </row>
    <row r="6" customFormat="false" ht="12.8" hidden="false" customHeight="false" outlineLevel="0" collapsed="false">
      <c r="A6" s="0" t="s">
        <v>31</v>
      </c>
      <c r="B6" s="0" t="n">
        <v>20</v>
      </c>
      <c r="C6" s="0" t="n">
        <v>51261</v>
      </c>
      <c r="D6" s="25" t="n">
        <f aca="false">IF(NOT(ISBLANK(C6)), ROUND(C6/60,0), "")</f>
        <v>854</v>
      </c>
      <c r="E6" s="0" t="n">
        <v>41673</v>
      </c>
      <c r="F6" s="25" t="n">
        <f aca="false">IF(NOT(ISBLANK(E6)), ROUND(E6/60,0), "")</f>
        <v>695</v>
      </c>
      <c r="G6" s="0" t="n">
        <v>50224</v>
      </c>
      <c r="H6" s="25" t="n">
        <f aca="false">IF(NOT(ISBLANK(G6)), ROUND(G6/60,0), "")</f>
        <v>837</v>
      </c>
      <c r="I6" s="25"/>
      <c r="J6" s="25"/>
      <c r="K6" s="0" t="n">
        <v>42195</v>
      </c>
      <c r="L6" s="25" t="n">
        <f aca="false">IF(NOT(ISBLANK(K6)), ROUND(K6/60,0), "")</f>
        <v>703</v>
      </c>
      <c r="M6" s="0" t="n">
        <v>44492</v>
      </c>
      <c r="N6" s="25" t="n">
        <f aca="false">IF(NOT(ISBLANK(M6)), ROUND(M6/60,0), "")</f>
        <v>742</v>
      </c>
      <c r="O6" s="0" t="n">
        <v>51782</v>
      </c>
      <c r="P6" s="0" t="n">
        <f aca="false">IF(NOT(ISBLANK(O6)), ROUND(O6/60,0), "")</f>
        <v>863</v>
      </c>
      <c r="Q6" s="0" t="n">
        <v>42195</v>
      </c>
      <c r="R6" s="0" t="n">
        <f aca="false">IF(NOT(ISBLANK(Q6)), ROUND(Q6/60,0), "")</f>
        <v>703</v>
      </c>
      <c r="S6" s="0" t="n">
        <v>42466</v>
      </c>
      <c r="T6" s="0" t="n">
        <f aca="false">IF(NOT(ISBLANK(S6)), ROUND(S6/60,0), "")</f>
        <v>708</v>
      </c>
      <c r="U6" s="0" t="n">
        <v>45609</v>
      </c>
      <c r="V6" s="0" t="n">
        <f aca="false">IF(NOT(ISBLANK(U6)), ROUND(U6/60,0), "")</f>
        <v>760</v>
      </c>
      <c r="W6" s="0" t="n">
        <v>35633</v>
      </c>
      <c r="X6" s="0" t="n">
        <f aca="false">IF(NOT(ISBLANK(W6)), ROUND(W6/60,0), "")</f>
        <v>594</v>
      </c>
      <c r="Y6" s="26"/>
      <c r="Z6" s="0" t="n">
        <v>42465</v>
      </c>
      <c r="AA6" s="0" t="n">
        <f aca="false">IF(NOT(ISBLANK(Z6)), ROUND(Z6/60,0), "")</f>
        <v>708</v>
      </c>
      <c r="AC6" s="0" t="s">
        <v>31</v>
      </c>
    </row>
    <row r="7" customFormat="false" ht="12.8" hidden="false" customHeight="false" outlineLevel="0" collapsed="false">
      <c r="A7" s="0" t="s">
        <v>31</v>
      </c>
      <c r="B7" s="0" t="n">
        <v>30</v>
      </c>
      <c r="C7" s="0" t="n">
        <v>46007</v>
      </c>
      <c r="D7" s="25" t="n">
        <f aca="false">IF(NOT(ISBLANK(C7)), ROUND(C7/60,0), "")</f>
        <v>767</v>
      </c>
      <c r="E7" s="0" t="n">
        <v>43403</v>
      </c>
      <c r="F7" s="25" t="n">
        <f aca="false">IF(NOT(ISBLANK(E7)), ROUND(E7/60,0), "")</f>
        <v>723</v>
      </c>
      <c r="G7" s="0" t="n">
        <v>32428</v>
      </c>
      <c r="H7" s="25" t="n">
        <f aca="false">IF(NOT(ISBLANK(G7)), ROUND(G7/60,0), "")</f>
        <v>540</v>
      </c>
      <c r="I7" s="25"/>
      <c r="J7" s="25"/>
      <c r="K7" s="0" t="n">
        <v>34734</v>
      </c>
      <c r="L7" s="25" t="n">
        <f aca="false">IF(NOT(ISBLANK(K7)), ROUND(K7/60,0), "")</f>
        <v>579</v>
      </c>
      <c r="M7" s="0" t="n">
        <v>30535</v>
      </c>
      <c r="N7" s="25" t="n">
        <f aca="false">IF(NOT(ISBLANK(M7)), ROUND(M7/60,0), "")</f>
        <v>509</v>
      </c>
      <c r="O7" s="0" t="n">
        <v>35306</v>
      </c>
      <c r="P7" s="0" t="n">
        <f aca="false">IF(NOT(ISBLANK(O7)), ROUND(O7/60,0), "")</f>
        <v>588</v>
      </c>
      <c r="Q7" s="0" t="n">
        <v>34734</v>
      </c>
      <c r="R7" s="0" t="n">
        <f aca="false">IF(NOT(ISBLANK(Q7)), ROUND(Q7/60,0), "")</f>
        <v>579</v>
      </c>
      <c r="S7" s="0" t="n">
        <v>35279</v>
      </c>
      <c r="T7" s="0" t="n">
        <f aca="false">IF(NOT(ISBLANK(S7)), ROUND(S7/60,0), "")</f>
        <v>588</v>
      </c>
      <c r="U7" s="0" t="n">
        <v>30141</v>
      </c>
      <c r="V7" s="0" t="n">
        <f aca="false">IF(NOT(ISBLANK(U7)), ROUND(U7/60,0), "")</f>
        <v>502</v>
      </c>
      <c r="W7" s="0" t="n">
        <v>28715</v>
      </c>
      <c r="X7" s="0" t="n">
        <f aca="false">IF(NOT(ISBLANK(W7)), ROUND(W7/60,0), "")</f>
        <v>479</v>
      </c>
      <c r="Y7" s="26"/>
      <c r="Z7" s="0" t="n">
        <v>32084</v>
      </c>
      <c r="AA7" s="0" t="n">
        <f aca="false">IF(NOT(ISBLANK(Z7)), ROUND(Z7/60,0), "")</f>
        <v>535</v>
      </c>
      <c r="AC7" s="0" t="s">
        <v>31</v>
      </c>
    </row>
    <row r="8" customFormat="false" ht="12.8" hidden="false" customHeight="false" outlineLevel="0" collapsed="false">
      <c r="A8" s="0" t="s">
        <v>31</v>
      </c>
      <c r="B8" s="0" t="n">
        <v>40</v>
      </c>
      <c r="C8" s="0" t="n">
        <v>28869</v>
      </c>
      <c r="D8" s="25" t="n">
        <f aca="false">IF(NOT(ISBLANK(C8)), ROUND(C8/60,0), "")</f>
        <v>481</v>
      </c>
      <c r="E8" s="0" t="n">
        <v>30396</v>
      </c>
      <c r="F8" s="25" t="n">
        <f aca="false">IF(NOT(ISBLANK(E8)), ROUND(E8/60,0), "")</f>
        <v>507</v>
      </c>
      <c r="G8" s="0" t="n">
        <v>26079</v>
      </c>
      <c r="H8" s="25" t="n">
        <f aca="false">IF(NOT(ISBLANK(G8)), ROUND(G8/60,0), "")</f>
        <v>435</v>
      </c>
      <c r="I8" s="25"/>
      <c r="J8" s="25"/>
      <c r="K8" s="0" t="n">
        <v>32994</v>
      </c>
      <c r="L8" s="25" t="n">
        <f aca="false">IF(NOT(ISBLANK(K8)), ROUND(K8/60,0), "")</f>
        <v>550</v>
      </c>
      <c r="M8" s="0" t="n">
        <v>27710</v>
      </c>
      <c r="N8" s="25" t="n">
        <f aca="false">IF(NOT(ISBLANK(M8)), ROUND(M8/60,0), "")</f>
        <v>462</v>
      </c>
      <c r="O8" s="0" t="n">
        <v>27172</v>
      </c>
      <c r="P8" s="0" t="n">
        <f aca="false">IF(NOT(ISBLANK(O8)), ROUND(O8/60,0), "")</f>
        <v>453</v>
      </c>
      <c r="Q8" s="0" t="n">
        <v>33634</v>
      </c>
      <c r="R8" s="0" t="n">
        <f aca="false">IF(NOT(ISBLANK(Q8)), ROUND(Q8/60,0), "")</f>
        <v>561</v>
      </c>
      <c r="S8" s="0" t="n">
        <v>28159</v>
      </c>
      <c r="T8" s="0" t="n">
        <f aca="false">IF(NOT(ISBLANK(S8)), ROUND(S8/60,0), "")</f>
        <v>469</v>
      </c>
      <c r="U8" s="0" t="n">
        <v>23966</v>
      </c>
      <c r="V8" s="0" t="n">
        <f aca="false">IF(NOT(ISBLANK(U8)), ROUND(U8/60,0), "")</f>
        <v>399</v>
      </c>
      <c r="W8" s="0" t="n">
        <v>24257</v>
      </c>
      <c r="X8" s="0" t="n">
        <f aca="false">IF(NOT(ISBLANK(W8)), ROUND(W8/60,0), "")</f>
        <v>404</v>
      </c>
      <c r="Y8" s="26"/>
      <c r="Z8" s="0" t="n">
        <v>28159</v>
      </c>
      <c r="AA8" s="0" t="n">
        <f aca="false">IF(NOT(ISBLANK(Z8)), ROUND(Z8/60,0), "")</f>
        <v>469</v>
      </c>
      <c r="AC8" s="0" t="s">
        <v>31</v>
      </c>
    </row>
    <row r="9" customFormat="false" ht="12.8" hidden="false" customHeight="false" outlineLevel="0" collapsed="false">
      <c r="A9" s="0" t="s">
        <v>31</v>
      </c>
      <c r="B9" s="0" t="n">
        <v>50</v>
      </c>
      <c r="C9" s="0" t="n">
        <v>25368</v>
      </c>
      <c r="D9" s="25" t="n">
        <f aca="false">IF(NOT(ISBLANK(C9)), ROUND(C9/60,0), "")</f>
        <v>423</v>
      </c>
      <c r="E9" s="0" t="n">
        <v>28582</v>
      </c>
      <c r="F9" s="25" t="n">
        <f aca="false">IF(NOT(ISBLANK(E9)), ROUND(E9/60,0), "")</f>
        <v>476</v>
      </c>
      <c r="G9" s="0" t="n">
        <v>22809</v>
      </c>
      <c r="H9" s="25" t="n">
        <f aca="false">IF(NOT(ISBLANK(G9)), ROUND(G9/60,0), "")</f>
        <v>380</v>
      </c>
      <c r="I9" s="25"/>
      <c r="J9" s="25"/>
      <c r="K9" s="0" t="n">
        <v>25898</v>
      </c>
      <c r="L9" s="25" t="n">
        <f aca="false">IF(NOT(ISBLANK(K9)), ROUND(K9/60,0), "")</f>
        <v>432</v>
      </c>
      <c r="M9" s="0" t="n">
        <v>24305</v>
      </c>
      <c r="N9" s="25" t="n">
        <f aca="false">IF(NOT(ISBLANK(M9)), ROUND(M9/60,0), "")</f>
        <v>405</v>
      </c>
      <c r="O9" s="0" t="n">
        <v>24355</v>
      </c>
      <c r="P9" s="0" t="n">
        <f aca="false">IF(NOT(ISBLANK(O9)), ROUND(O9/60,0), "")</f>
        <v>406</v>
      </c>
      <c r="Q9" s="0" t="n">
        <v>27846</v>
      </c>
      <c r="R9" s="0" t="n">
        <f aca="false">IF(NOT(ISBLANK(Q9)), ROUND(Q9/60,0), "")</f>
        <v>464</v>
      </c>
      <c r="S9" s="0" t="n">
        <v>21684</v>
      </c>
      <c r="T9" s="0" t="n">
        <f aca="false">IF(NOT(ISBLANK(S9)), ROUND(S9/60,0), "")</f>
        <v>361</v>
      </c>
      <c r="U9" s="0" t="n">
        <v>23166</v>
      </c>
      <c r="V9" s="0" t="n">
        <f aca="false">IF(NOT(ISBLANK(U9)), ROUND(U9/60,0), "")</f>
        <v>386</v>
      </c>
      <c r="W9" s="0" t="n">
        <v>19108</v>
      </c>
      <c r="X9" s="0" t="n">
        <f aca="false">IF(NOT(ISBLANK(W9)), ROUND(W9/60,0), "")</f>
        <v>318</v>
      </c>
      <c r="Y9" s="26"/>
      <c r="Z9" s="0" t="n">
        <v>22175</v>
      </c>
      <c r="AA9" s="0" t="n">
        <f aca="false">IF(NOT(ISBLANK(Z9)), ROUND(Z9/60,0), "")</f>
        <v>370</v>
      </c>
      <c r="AC9" s="0" t="s">
        <v>31</v>
      </c>
    </row>
    <row r="10" customFormat="false" ht="12.8" hidden="false" customHeight="false" outlineLevel="0" collapsed="false">
      <c r="A10" s="0" t="s">
        <v>31</v>
      </c>
      <c r="B10" s="0" t="n">
        <v>64</v>
      </c>
      <c r="C10" s="0" t="n">
        <v>23556</v>
      </c>
      <c r="D10" s="25" t="n">
        <f aca="false">IF(NOT(ISBLANK(C10)), ROUND(C10/60,0), "")</f>
        <v>393</v>
      </c>
      <c r="E10" s="0" t="n">
        <v>21309</v>
      </c>
      <c r="F10" s="25" t="n">
        <f aca="false">IF(NOT(ISBLANK(E10)), ROUND(E10/60,0), "")</f>
        <v>355</v>
      </c>
      <c r="G10" s="0" t="n">
        <v>21406</v>
      </c>
      <c r="H10" s="25" t="n">
        <f aca="false">IF(NOT(ISBLANK(G10)), ROUND(G10/60,0), "")</f>
        <v>357</v>
      </c>
      <c r="I10" s="25"/>
      <c r="J10" s="25"/>
      <c r="K10" s="0" t="n">
        <v>22970</v>
      </c>
      <c r="L10" s="25" t="n">
        <f aca="false">IF(NOT(ISBLANK(K10)), ROUND(K10/60,0), "")</f>
        <v>383</v>
      </c>
      <c r="M10" s="0" t="n">
        <v>19866</v>
      </c>
      <c r="N10" s="25" t="n">
        <f aca="false">IF(NOT(ISBLANK(M10)), ROUND(M10/60,0), "")</f>
        <v>331</v>
      </c>
      <c r="O10" s="0" t="n">
        <v>27293</v>
      </c>
      <c r="P10" s="0" t="n">
        <f aca="false">IF(NOT(ISBLANK(O10)), ROUND(O10/60,0), "")</f>
        <v>455</v>
      </c>
      <c r="Q10" s="0" t="n">
        <v>21354</v>
      </c>
      <c r="R10" s="0" t="n">
        <f aca="false">IF(NOT(ISBLANK(Q10)), ROUND(Q10/60,0), "")</f>
        <v>356</v>
      </c>
      <c r="S10" s="0" t="n">
        <v>23375</v>
      </c>
      <c r="T10" s="0" t="n">
        <f aca="false">IF(NOT(ISBLANK(S10)), ROUND(S10/60,0), "")</f>
        <v>390</v>
      </c>
      <c r="U10" s="0" t="n">
        <v>20143</v>
      </c>
      <c r="V10" s="0" t="n">
        <f aca="false">IF(NOT(ISBLANK(U10)), ROUND(U10/60,0), "")</f>
        <v>336</v>
      </c>
      <c r="W10" s="0" t="n">
        <v>17487</v>
      </c>
      <c r="X10" s="0" t="n">
        <f aca="false">IF(NOT(ISBLANK(W10)), ROUND(W10/60,0), "")</f>
        <v>291</v>
      </c>
      <c r="Y10" s="26"/>
      <c r="Z10" s="0" t="n">
        <v>18923</v>
      </c>
      <c r="AA10" s="0" t="n">
        <f aca="false">IF(NOT(ISBLANK(Z10)), ROUND(Z10/60,0), "")</f>
        <v>315</v>
      </c>
      <c r="AC10" s="0" t="s">
        <v>31</v>
      </c>
    </row>
    <row r="11" customFormat="false" ht="12.8" hidden="false" customHeight="false" outlineLevel="0" collapsed="false">
      <c r="A11" s="0" t="s">
        <v>31</v>
      </c>
      <c r="B11" s="0" t="n">
        <v>82</v>
      </c>
      <c r="C11" s="0" t="n">
        <v>20806</v>
      </c>
      <c r="D11" s="25" t="n">
        <f aca="false">IF(NOT(ISBLANK(C11)), ROUND(C11/60,0), "")</f>
        <v>347</v>
      </c>
      <c r="E11" s="0" t="n">
        <v>20671</v>
      </c>
      <c r="F11" s="25" t="n">
        <f aca="false">IF(NOT(ISBLANK(E11)), ROUND(E11/60,0), "")</f>
        <v>345</v>
      </c>
      <c r="G11" s="0" t="n">
        <v>17931</v>
      </c>
      <c r="H11" s="25" t="n">
        <f aca="false">IF(NOT(ISBLANK(G11)), ROUND(G11/60,0), "")</f>
        <v>299</v>
      </c>
      <c r="I11" s="25"/>
      <c r="J11" s="25"/>
      <c r="K11" s="0" t="n">
        <v>23530</v>
      </c>
      <c r="L11" s="25" t="n">
        <f aca="false">IF(NOT(ISBLANK(K11)), ROUND(K11/60,0), "")</f>
        <v>392</v>
      </c>
      <c r="M11" s="0" t="n">
        <v>16605</v>
      </c>
      <c r="N11" s="25" t="n">
        <f aca="false">IF(NOT(ISBLANK(M11)), ROUND(M11/60,0), "")</f>
        <v>277</v>
      </c>
      <c r="O11" s="0" t="n">
        <v>17669</v>
      </c>
      <c r="P11" s="0" t="n">
        <f aca="false">IF(NOT(ISBLANK(O11)), ROUND(O11/60,0), "")</f>
        <v>294</v>
      </c>
      <c r="Q11" s="0" t="n">
        <v>21503</v>
      </c>
      <c r="R11" s="0" t="n">
        <f aca="false">IF(NOT(ISBLANK(Q11)), ROUND(Q11/60,0), "")</f>
        <v>358</v>
      </c>
      <c r="S11" s="0" t="n">
        <v>21073</v>
      </c>
      <c r="T11" s="0" t="n">
        <f aca="false">IF(NOT(ISBLANK(S11)), ROUND(S11/60,0), "")</f>
        <v>351</v>
      </c>
      <c r="U11" s="0" t="n">
        <v>17443</v>
      </c>
      <c r="V11" s="0" t="n">
        <f aca="false">IF(NOT(ISBLANK(U11)), ROUND(U11/60,0), "")</f>
        <v>291</v>
      </c>
      <c r="W11" s="0" t="n">
        <v>17045</v>
      </c>
      <c r="X11" s="0" t="n">
        <f aca="false">IF(NOT(ISBLANK(W11)), ROUND(W11/60,0), "")</f>
        <v>284</v>
      </c>
      <c r="Y11" s="26"/>
      <c r="Z11" s="0" t="n">
        <v>19239</v>
      </c>
      <c r="AA11" s="0" t="n">
        <f aca="false">IF(NOT(ISBLANK(Z11)), ROUND(Z11/60,0), "")</f>
        <v>321</v>
      </c>
      <c r="AC11" s="0" t="s">
        <v>31</v>
      </c>
    </row>
    <row r="12" customFormat="false" ht="12.8" hidden="false" customHeight="false" outlineLevel="0" collapsed="false">
      <c r="A12" s="0" t="s">
        <v>31</v>
      </c>
      <c r="B12" s="0" t="n">
        <v>100</v>
      </c>
      <c r="C12" s="0" t="n">
        <v>15955</v>
      </c>
      <c r="D12" s="25" t="n">
        <f aca="false">IF(NOT(ISBLANK(C12)), ROUND(C12/60,0), "")</f>
        <v>266</v>
      </c>
      <c r="E12" s="0" t="n">
        <v>15504</v>
      </c>
      <c r="F12" s="25" t="n">
        <f aca="false">IF(NOT(ISBLANK(E12)), ROUND(E12/60,0), "")</f>
        <v>258</v>
      </c>
      <c r="G12" s="0" t="n">
        <v>16764</v>
      </c>
      <c r="H12" s="25" t="n">
        <f aca="false">IF(NOT(ISBLANK(G12)), ROUND(G12/60,0), "")</f>
        <v>279</v>
      </c>
      <c r="I12" s="25"/>
      <c r="J12" s="25"/>
      <c r="K12" s="0" t="n">
        <v>16770</v>
      </c>
      <c r="L12" s="25" t="n">
        <f aca="false">IF(NOT(ISBLANK(K12)), ROUND(K12/60,0), "")</f>
        <v>280</v>
      </c>
      <c r="M12" s="0" t="n">
        <v>18752</v>
      </c>
      <c r="N12" s="25" t="n">
        <f aca="false">IF(NOT(ISBLANK(M12)), ROUND(M12/60,0), "")</f>
        <v>313</v>
      </c>
      <c r="P12" s="0" t="str">
        <f aca="false">IF(NOT(ISBLANK(O12)), ROUND(O12/60,0), "")</f>
        <v/>
      </c>
      <c r="Q12" s="0" t="n">
        <v>16223</v>
      </c>
      <c r="R12" s="0" t="n">
        <f aca="false">IF(NOT(ISBLANK(Q12)), ROUND(Q12/60,0), "")</f>
        <v>270</v>
      </c>
      <c r="S12" s="0" t="n">
        <v>17330</v>
      </c>
      <c r="T12" s="0" t="n">
        <f aca="false">IF(NOT(ISBLANK(S12)), ROUND(S12/60,0), "")</f>
        <v>289</v>
      </c>
      <c r="U12" s="0" t="n">
        <v>13874</v>
      </c>
      <c r="V12" s="0" t="n">
        <f aca="false">IF(NOT(ISBLANK(U12)), ROUND(U12/60,0), "")</f>
        <v>231</v>
      </c>
      <c r="X12" s="0" t="str">
        <f aca="false">IF(NOT(ISBLANK(W12)), ROUND(W12/60,0), "")</f>
        <v/>
      </c>
      <c r="Y12" s="26"/>
      <c r="Z12" s="0" t="n">
        <v>16740</v>
      </c>
      <c r="AA12" s="0" t="n">
        <f aca="false">IF(NOT(ISBLANK(Z12)), ROUND(Z12/60,0), "")</f>
        <v>279</v>
      </c>
      <c r="AC12" s="0" t="s">
        <v>31</v>
      </c>
    </row>
    <row r="13" customFormat="false" ht="12.8" hidden="false" customHeight="false" outlineLevel="0" collapsed="false">
      <c r="A13" s="0" t="s">
        <v>32</v>
      </c>
      <c r="B13" s="0" t="n">
        <v>5</v>
      </c>
      <c r="D13" s="25" t="str">
        <f aca="false">IF(NOT(ISBLANK(C13)), ROUND(C13/60,0), "")</f>
        <v/>
      </c>
      <c r="F13" s="25" t="str">
        <f aca="false">IF(NOT(ISBLANK(E13)), ROUND(E13/60,0), "")</f>
        <v/>
      </c>
      <c r="H13" s="25" t="str">
        <f aca="false">IF(NOT(ISBLANK(G13)), ROUND(G13/60,0), "")</f>
        <v/>
      </c>
      <c r="I13" s="25"/>
      <c r="J13" s="25"/>
      <c r="L13" s="25" t="str">
        <f aca="false">IF(NOT(ISBLANK(K13)), ROUND(K13/60,0), "")</f>
        <v/>
      </c>
      <c r="N13" s="25" t="str">
        <f aca="false">IF(NOT(ISBLANK(M13)), ROUND(M13/60,0), "")</f>
        <v/>
      </c>
      <c r="P13" s="0" t="str">
        <f aca="false">IF(NOT(ISBLANK(O13)), ROUND(O13/60,0), "")</f>
        <v/>
      </c>
      <c r="R13" s="0" t="str">
        <f aca="false">IF(NOT(ISBLANK(Q13)), ROUND(Q13/60,0), "")</f>
        <v/>
      </c>
      <c r="T13" s="0" t="str">
        <f aca="false">IF(NOT(ISBLANK(S13)), ROUND(S13/60,0), "")</f>
        <v/>
      </c>
      <c r="V13" s="0" t="str">
        <f aca="false">IF(NOT(ISBLANK(U13)), ROUND(U13/60,0), "")</f>
        <v/>
      </c>
      <c r="W13" s="0" t="n">
        <v>107437</v>
      </c>
      <c r="X13" s="0" t="n">
        <f aca="false">IF(NOT(ISBLANK(W13)), ROUND(W13/60,0), "")</f>
        <v>1791</v>
      </c>
      <c r="Y13" s="26"/>
      <c r="AA13" s="0" t="str">
        <f aca="false">IF(NOT(ISBLANK(Z13)), ROUND(Z13/60,0), "")</f>
        <v/>
      </c>
      <c r="AC13" s="0" t="s">
        <v>32</v>
      </c>
    </row>
    <row r="14" customFormat="false" ht="12.8" hidden="false" customHeight="false" outlineLevel="0" collapsed="false">
      <c r="A14" s="0" t="s">
        <v>32</v>
      </c>
      <c r="B14" s="0" t="n">
        <v>10</v>
      </c>
      <c r="C14" s="0" t="n">
        <v>98809</v>
      </c>
      <c r="D14" s="25" t="n">
        <f aca="false">IF(NOT(ISBLANK(C14)), ROUND(C14/60,0), "")</f>
        <v>1647</v>
      </c>
      <c r="E14" s="0" t="n">
        <v>77472</v>
      </c>
      <c r="F14" s="25" t="n">
        <f aca="false">IF(NOT(ISBLANK(E14)), ROUND(E14/60,0), "")</f>
        <v>1291</v>
      </c>
      <c r="G14" s="0" t="n">
        <v>81195</v>
      </c>
      <c r="H14" s="25" t="n">
        <f aca="false">IF(NOT(ISBLANK(G14)), ROUND(G14/60,0), "")</f>
        <v>1353</v>
      </c>
      <c r="I14" s="25"/>
      <c r="J14" s="25"/>
      <c r="K14" s="0" t="n">
        <v>83636</v>
      </c>
      <c r="L14" s="25" t="n">
        <f aca="false">IF(NOT(ISBLANK(K14)), ROUND(K14/60,0), "")</f>
        <v>1394</v>
      </c>
      <c r="N14" s="25" t="str">
        <f aca="false">IF(NOT(ISBLANK(M14)), ROUND(M14/60,0), "")</f>
        <v/>
      </c>
      <c r="O14" s="0" t="n">
        <v>83504</v>
      </c>
      <c r="P14" s="0" t="n">
        <f aca="false">IF(NOT(ISBLANK(O14)), ROUND(O14/60,0), "")</f>
        <v>1392</v>
      </c>
      <c r="Q14" s="0" t="n">
        <v>83636</v>
      </c>
      <c r="R14" s="0" t="n">
        <f aca="false">IF(NOT(ISBLANK(Q14)), ROUND(Q14/60,0), "")</f>
        <v>1394</v>
      </c>
      <c r="S14" s="0" t="n">
        <v>104370</v>
      </c>
      <c r="T14" s="0" t="n">
        <f aca="false">IF(NOT(ISBLANK(S14)), ROUND(S14/60,0), "")</f>
        <v>1740</v>
      </c>
      <c r="U14" s="0" t="n">
        <v>87642</v>
      </c>
      <c r="V14" s="0" t="n">
        <f aca="false">IF(NOT(ISBLANK(U14)), ROUND(U14/60,0), "")</f>
        <v>1461</v>
      </c>
      <c r="W14" s="0" t="n">
        <v>84126</v>
      </c>
      <c r="X14" s="0" t="n">
        <f aca="false">IF(NOT(ISBLANK(W14)), ROUND(W14/60,0), "")</f>
        <v>1402</v>
      </c>
      <c r="Y14" s="26"/>
      <c r="AA14" s="0" t="str">
        <f aca="false">IF(NOT(ISBLANK(Z14)), ROUND(Z14/60,0), "")</f>
        <v/>
      </c>
      <c r="AC14" s="0" t="s">
        <v>32</v>
      </c>
      <c r="AL14" s="0"/>
      <c r="AM14" s="17"/>
    </row>
    <row r="15" customFormat="false" ht="12.8" hidden="false" customHeight="false" outlineLevel="0" collapsed="false">
      <c r="A15" s="0" t="s">
        <v>32</v>
      </c>
      <c r="B15" s="0" t="n">
        <v>15</v>
      </c>
      <c r="C15" s="0" t="n">
        <v>59586</v>
      </c>
      <c r="D15" s="25" t="n">
        <f aca="false">IF(NOT(ISBLANK(C15)), ROUND(C15/60,0), "")</f>
        <v>993</v>
      </c>
      <c r="E15" s="0" t="n">
        <v>60745</v>
      </c>
      <c r="F15" s="25" t="n">
        <f aca="false">IF(NOT(ISBLANK(E15)), ROUND(E15/60,0), "")</f>
        <v>1012</v>
      </c>
      <c r="G15" s="0" t="n">
        <v>67922</v>
      </c>
      <c r="H15" s="25" t="n">
        <f aca="false">IF(NOT(ISBLANK(G15)), ROUND(G15/60,0), "")</f>
        <v>1132</v>
      </c>
      <c r="I15" s="25"/>
      <c r="J15" s="25"/>
      <c r="K15" s="0" t="n">
        <v>67994</v>
      </c>
      <c r="L15" s="25" t="n">
        <f aca="false">IF(NOT(ISBLANK(K15)), ROUND(K15/60,0), "")</f>
        <v>1133</v>
      </c>
      <c r="M15" s="0" t="n">
        <v>54160</v>
      </c>
      <c r="N15" s="25" t="n">
        <f aca="false">IF(NOT(ISBLANK(M15)), ROUND(M15/60,0), "")</f>
        <v>903</v>
      </c>
      <c r="O15" s="0" t="n">
        <v>65764</v>
      </c>
      <c r="P15" s="0" t="n">
        <f aca="false">IF(NOT(ISBLANK(O15)), ROUND(O15/60,0), "")</f>
        <v>1096</v>
      </c>
      <c r="Q15" s="0" t="n">
        <v>59205</v>
      </c>
      <c r="R15" s="0" t="n">
        <f aca="false">IF(NOT(ISBLANK(Q15)), ROUND(Q15/60,0), "")</f>
        <v>987</v>
      </c>
      <c r="S15" s="0" t="n">
        <v>73073</v>
      </c>
      <c r="T15" s="0" t="n">
        <f aca="false">IF(NOT(ISBLANK(S15)), ROUND(S15/60,0), "")</f>
        <v>1218</v>
      </c>
      <c r="U15" s="0" t="n">
        <v>58746</v>
      </c>
      <c r="V15" s="0" t="n">
        <f aca="false">IF(NOT(ISBLANK(U15)), ROUND(U15/60,0), "")</f>
        <v>979</v>
      </c>
      <c r="W15" s="0" t="n">
        <v>55409</v>
      </c>
      <c r="X15" s="0" t="n">
        <f aca="false">IF(NOT(ISBLANK(W15)), ROUND(W15/60,0), "")</f>
        <v>923</v>
      </c>
      <c r="Y15" s="26"/>
      <c r="Z15" s="0" t="n">
        <v>76155</v>
      </c>
      <c r="AA15" s="0" t="n">
        <f aca="false">IF(NOT(ISBLANK(Z15)), ROUND(Z15/60,0), "")</f>
        <v>1269</v>
      </c>
      <c r="AC15" s="0" t="s">
        <v>32</v>
      </c>
      <c r="AL15" s="0"/>
      <c r="AM15" s="17"/>
    </row>
    <row r="16" customFormat="false" ht="12.8" hidden="false" customHeight="false" outlineLevel="0" collapsed="false">
      <c r="A16" s="0" t="s">
        <v>32</v>
      </c>
      <c r="B16" s="0" t="n">
        <v>20</v>
      </c>
      <c r="C16" s="0" t="n">
        <v>45696</v>
      </c>
      <c r="D16" s="25" t="n">
        <f aca="false">IF(NOT(ISBLANK(C16)), ROUND(C16/60,0), "")</f>
        <v>762</v>
      </c>
      <c r="E16" s="0" t="n">
        <v>59074</v>
      </c>
      <c r="F16" s="25" t="n">
        <f aca="false">IF(NOT(ISBLANK(E16)), ROUND(E16/60,0), "")</f>
        <v>985</v>
      </c>
      <c r="G16" s="0" t="n">
        <v>57826</v>
      </c>
      <c r="H16" s="25" t="n">
        <f aca="false">IF(NOT(ISBLANK(G16)), ROUND(G16/60,0), "")</f>
        <v>964</v>
      </c>
      <c r="I16" s="25"/>
      <c r="J16" s="25"/>
      <c r="K16" s="0" t="n">
        <v>51218</v>
      </c>
      <c r="L16" s="25" t="n">
        <f aca="false">IF(NOT(ISBLANK(K16)), ROUND(K16/60,0), "")</f>
        <v>854</v>
      </c>
      <c r="M16" s="0" t="n">
        <v>48131</v>
      </c>
      <c r="N16" s="25" t="n">
        <f aca="false">IF(NOT(ISBLANK(M16)), ROUND(M16/60,0), "")</f>
        <v>802</v>
      </c>
      <c r="O16" s="0" t="n">
        <v>42673</v>
      </c>
      <c r="P16" s="0" t="n">
        <f aca="false">IF(NOT(ISBLANK(O16)), ROUND(O16/60,0), "")</f>
        <v>711</v>
      </c>
      <c r="Q16" s="0" t="n">
        <v>51218</v>
      </c>
      <c r="R16" s="0" t="n">
        <f aca="false">IF(NOT(ISBLANK(Q16)), ROUND(Q16/60,0), "")</f>
        <v>854</v>
      </c>
      <c r="S16" s="0" t="n">
        <v>46539</v>
      </c>
      <c r="T16" s="0" t="n">
        <f aca="false">IF(NOT(ISBLANK(S16)), ROUND(S16/60,0), "")</f>
        <v>776</v>
      </c>
      <c r="U16" s="0" t="n">
        <v>50926</v>
      </c>
      <c r="V16" s="0" t="n">
        <f aca="false">IF(NOT(ISBLANK(U16)), ROUND(U16/60,0), "")</f>
        <v>849</v>
      </c>
      <c r="W16" s="0" t="n">
        <v>36369</v>
      </c>
      <c r="X16" s="0" t="n">
        <f aca="false">IF(NOT(ISBLANK(W16)), ROUND(W16/60,0), "")</f>
        <v>606</v>
      </c>
      <c r="Y16" s="26"/>
      <c r="Z16" s="0" t="n">
        <v>46136</v>
      </c>
      <c r="AA16" s="0" t="n">
        <f aca="false">IF(NOT(ISBLANK(Z16)), ROUND(Z16/60,0), "")</f>
        <v>769</v>
      </c>
      <c r="AC16" s="0" t="s">
        <v>32</v>
      </c>
    </row>
    <row r="17" customFormat="false" ht="12.8" hidden="false" customHeight="false" outlineLevel="0" collapsed="false">
      <c r="A17" s="0" t="s">
        <v>32</v>
      </c>
      <c r="B17" s="0" t="n">
        <v>30</v>
      </c>
      <c r="C17" s="0" t="n">
        <v>38843</v>
      </c>
      <c r="D17" s="25" t="n">
        <f aca="false">IF(NOT(ISBLANK(C17)), ROUND(C17/60,0), "")</f>
        <v>647</v>
      </c>
      <c r="E17" s="0" t="n">
        <v>31958</v>
      </c>
      <c r="F17" s="25" t="n">
        <f aca="false">IF(NOT(ISBLANK(E17)), ROUND(E17/60,0), "")</f>
        <v>533</v>
      </c>
      <c r="G17" s="0" t="n">
        <v>39022</v>
      </c>
      <c r="H17" s="25" t="n">
        <f aca="false">IF(NOT(ISBLANK(G17)), ROUND(G17/60,0), "")</f>
        <v>650</v>
      </c>
      <c r="I17" s="25"/>
      <c r="J17" s="25"/>
      <c r="K17" s="0" t="n">
        <v>33306</v>
      </c>
      <c r="L17" s="25" t="n">
        <f aca="false">IF(NOT(ISBLANK(K17)), ROUND(K17/60,0), "")</f>
        <v>555</v>
      </c>
      <c r="M17" s="0" t="n">
        <v>34914</v>
      </c>
      <c r="N17" s="25" t="n">
        <f aca="false">IF(NOT(ISBLANK(M17)), ROUND(M17/60,0), "")</f>
        <v>582</v>
      </c>
      <c r="O17" s="0" t="n">
        <v>37157</v>
      </c>
      <c r="P17" s="0" t="n">
        <f aca="false">IF(NOT(ISBLANK(O17)), ROUND(O17/60,0), "")</f>
        <v>619</v>
      </c>
      <c r="Q17" s="0" t="n">
        <v>33306</v>
      </c>
      <c r="R17" s="0" t="n">
        <f aca="false">IF(NOT(ISBLANK(Q17)), ROUND(Q17/60,0), "")</f>
        <v>555</v>
      </c>
      <c r="S17" s="0" t="n">
        <v>37755</v>
      </c>
      <c r="T17" s="0" t="n">
        <f aca="false">IF(NOT(ISBLANK(S17)), ROUND(S17/60,0), "")</f>
        <v>629</v>
      </c>
      <c r="U17" s="0" t="n">
        <v>32153</v>
      </c>
      <c r="V17" s="0" t="n">
        <f aca="false">IF(NOT(ISBLANK(U17)), ROUND(U17/60,0), "")</f>
        <v>536</v>
      </c>
      <c r="W17" s="0" t="n">
        <v>31408</v>
      </c>
      <c r="X17" s="0" t="n">
        <f aca="false">IF(NOT(ISBLANK(W17)), ROUND(W17/60,0), "")</f>
        <v>523</v>
      </c>
      <c r="Y17" s="26"/>
      <c r="Z17" s="0" t="n">
        <v>37756</v>
      </c>
      <c r="AA17" s="0" t="n">
        <f aca="false">IF(NOT(ISBLANK(Z17)), ROUND(Z17/60,0), "")</f>
        <v>629</v>
      </c>
      <c r="AC17" s="0" t="s">
        <v>32</v>
      </c>
    </row>
    <row r="18" customFormat="false" ht="12.8" hidden="false" customHeight="false" outlineLevel="0" collapsed="false">
      <c r="A18" s="0" t="s">
        <v>32</v>
      </c>
      <c r="B18" s="0" t="n">
        <v>40</v>
      </c>
      <c r="C18" s="0" t="n">
        <v>25148</v>
      </c>
      <c r="D18" s="25" t="n">
        <f aca="false">IF(NOT(ISBLANK(C18)), ROUND(C18/60,0), "")</f>
        <v>419</v>
      </c>
      <c r="F18" s="25" t="str">
        <f aca="false">IF(NOT(ISBLANK(E18)), ROUND(E18/60,0), "")</f>
        <v/>
      </c>
      <c r="G18" s="0" t="n">
        <v>28685</v>
      </c>
      <c r="H18" s="25" t="n">
        <f aca="false">IF(NOT(ISBLANK(G18)), ROUND(G18/60,0), "")</f>
        <v>478</v>
      </c>
      <c r="I18" s="25"/>
      <c r="J18" s="25"/>
      <c r="K18" s="0" t="n">
        <v>33456</v>
      </c>
      <c r="L18" s="25" t="n">
        <f aca="false">IF(NOT(ISBLANK(K18)), ROUND(K18/60,0), "")</f>
        <v>558</v>
      </c>
      <c r="M18" s="0" t="n">
        <v>25708</v>
      </c>
      <c r="N18" s="25" t="n">
        <f aca="false">IF(NOT(ISBLANK(M18)), ROUND(M18/60,0), "")</f>
        <v>428</v>
      </c>
      <c r="O18" s="0" t="n">
        <v>28399</v>
      </c>
      <c r="P18" s="0" t="n">
        <f aca="false">IF(NOT(ISBLANK(O18)), ROUND(O18/60,0), "")</f>
        <v>473</v>
      </c>
      <c r="Q18" s="0" t="n">
        <v>27090</v>
      </c>
      <c r="R18" s="0" t="n">
        <f aca="false">IF(NOT(ISBLANK(Q18)), ROUND(Q18/60,0), "")</f>
        <v>452</v>
      </c>
      <c r="S18" s="0" t="n">
        <v>29004</v>
      </c>
      <c r="T18" s="0" t="n">
        <f aca="false">IF(NOT(ISBLANK(S18)), ROUND(S18/60,0), "")</f>
        <v>483</v>
      </c>
      <c r="U18" s="0" t="n">
        <v>27681</v>
      </c>
      <c r="V18" s="0" t="n">
        <f aca="false">IF(NOT(ISBLANK(U18)), ROUND(U18/60,0), "")</f>
        <v>461</v>
      </c>
      <c r="W18" s="0" t="n">
        <v>26445</v>
      </c>
      <c r="X18" s="0" t="n">
        <f aca="false">IF(NOT(ISBLANK(W18)), ROUND(W18/60,0), "")</f>
        <v>441</v>
      </c>
      <c r="Y18" s="26"/>
      <c r="Z18" s="0" t="n">
        <v>29364</v>
      </c>
      <c r="AA18" s="0" t="n">
        <f aca="false">IF(NOT(ISBLANK(Z18)), ROUND(Z18/60,0), "")</f>
        <v>489</v>
      </c>
      <c r="AC18" s="0" t="s">
        <v>32</v>
      </c>
    </row>
    <row r="19" customFormat="false" ht="12.8" hidden="false" customHeight="false" outlineLevel="0" collapsed="false">
      <c r="A19" s="0" t="s">
        <v>32</v>
      </c>
      <c r="B19" s="0" t="n">
        <v>50</v>
      </c>
      <c r="C19" s="0" t="n">
        <v>22999</v>
      </c>
      <c r="D19" s="25" t="n">
        <f aca="false">IF(NOT(ISBLANK(C19)), ROUND(C19/60,0), "")</f>
        <v>383</v>
      </c>
      <c r="E19" s="0" t="n">
        <v>24413</v>
      </c>
      <c r="F19" s="25" t="n">
        <f aca="false">IF(NOT(ISBLANK(E19)), ROUND(E19/60,0), "")</f>
        <v>407</v>
      </c>
      <c r="G19" s="0" t="n">
        <v>21874</v>
      </c>
      <c r="H19" s="25" t="n">
        <f aca="false">IF(NOT(ISBLANK(G19)), ROUND(G19/60,0), "")</f>
        <v>365</v>
      </c>
      <c r="I19" s="25"/>
      <c r="J19" s="25"/>
      <c r="K19" s="0" t="n">
        <v>28905</v>
      </c>
      <c r="L19" s="25" t="n">
        <f aca="false">IF(NOT(ISBLANK(K19)), ROUND(K19/60,0), "")</f>
        <v>482</v>
      </c>
      <c r="M19" s="0" t="n">
        <v>26944</v>
      </c>
      <c r="N19" s="25" t="n">
        <f aca="false">IF(NOT(ISBLANK(M19)), ROUND(M19/60,0), "")</f>
        <v>449</v>
      </c>
      <c r="O19" s="0" t="n">
        <v>27203</v>
      </c>
      <c r="P19" s="0" t="n">
        <f aca="false">IF(NOT(ISBLANK(O19)), ROUND(O19/60,0), "")</f>
        <v>453</v>
      </c>
      <c r="Q19" s="0" t="n">
        <v>27086</v>
      </c>
      <c r="R19" s="0" t="n">
        <f aca="false">IF(NOT(ISBLANK(Q19)), ROUND(Q19/60,0), "")</f>
        <v>451</v>
      </c>
      <c r="S19" s="0" t="n">
        <v>24340</v>
      </c>
      <c r="T19" s="0" t="n">
        <f aca="false">IF(NOT(ISBLANK(S19)), ROUND(S19/60,0), "")</f>
        <v>406</v>
      </c>
      <c r="U19" s="0" t="n">
        <v>26886</v>
      </c>
      <c r="V19" s="0" t="n">
        <f aca="false">IF(NOT(ISBLANK(U19)), ROUND(U19/60,0), "")</f>
        <v>448</v>
      </c>
      <c r="W19" s="0" t="n">
        <v>23185</v>
      </c>
      <c r="X19" s="0" t="n">
        <f aca="false">IF(NOT(ISBLANK(W19)), ROUND(W19/60,0), "")</f>
        <v>386</v>
      </c>
      <c r="Y19" s="26"/>
      <c r="Z19" s="0" t="n">
        <v>22641</v>
      </c>
      <c r="AA19" s="0" t="n">
        <f aca="false">IF(NOT(ISBLANK(Z19)), ROUND(Z19/60,0), "")</f>
        <v>377</v>
      </c>
      <c r="AC19" s="0" t="s">
        <v>32</v>
      </c>
    </row>
    <row r="20" customFormat="false" ht="12.8" hidden="false" customHeight="false" outlineLevel="0" collapsed="false">
      <c r="A20" s="0" t="s">
        <v>32</v>
      </c>
      <c r="B20" s="0" t="n">
        <v>64</v>
      </c>
      <c r="C20" s="0" t="n">
        <v>20521</v>
      </c>
      <c r="D20" s="25" t="n">
        <f aca="false">IF(NOT(ISBLANK(C20)), ROUND(C20/60,0), "")</f>
        <v>342</v>
      </c>
      <c r="E20" s="0" t="n">
        <v>22474</v>
      </c>
      <c r="F20" s="25" t="n">
        <f aca="false">IF(NOT(ISBLANK(E20)), ROUND(E20/60,0), "")</f>
        <v>375</v>
      </c>
      <c r="G20" s="0" t="n">
        <v>19412</v>
      </c>
      <c r="H20" s="25" t="n">
        <f aca="false">IF(NOT(ISBLANK(G20)), ROUND(G20/60,0), "")</f>
        <v>324</v>
      </c>
      <c r="I20" s="25"/>
      <c r="J20" s="25"/>
      <c r="K20" s="0" t="n">
        <v>19356</v>
      </c>
      <c r="L20" s="25" t="n">
        <f aca="false">IF(NOT(ISBLANK(K20)), ROUND(K20/60,0), "")</f>
        <v>323</v>
      </c>
      <c r="M20" s="0" t="n">
        <v>20546</v>
      </c>
      <c r="N20" s="25" t="n">
        <f aca="false">IF(NOT(ISBLANK(M20)), ROUND(M20/60,0), "")</f>
        <v>342</v>
      </c>
      <c r="O20" s="0" t="n">
        <v>22728</v>
      </c>
      <c r="P20" s="0" t="n">
        <f aca="false">IF(NOT(ISBLANK(O20)), ROUND(O20/60,0), "")</f>
        <v>379</v>
      </c>
      <c r="Q20" s="0" t="n">
        <v>19356</v>
      </c>
      <c r="R20" s="0" t="n">
        <f aca="false">IF(NOT(ISBLANK(Q20)), ROUND(Q20/60,0), "")</f>
        <v>323</v>
      </c>
      <c r="S20" s="0" t="n">
        <v>27491</v>
      </c>
      <c r="T20" s="0" t="n">
        <f aca="false">IF(NOT(ISBLANK(S20)), ROUND(S20/60,0), "")</f>
        <v>458</v>
      </c>
      <c r="U20" s="0" t="n">
        <v>18981</v>
      </c>
      <c r="V20" s="0" t="n">
        <f aca="false">IF(NOT(ISBLANK(U20)), ROUND(U20/60,0), "")</f>
        <v>316</v>
      </c>
      <c r="W20" s="0" t="n">
        <v>19393</v>
      </c>
      <c r="X20" s="0" t="n">
        <f aca="false">IF(NOT(ISBLANK(W20)), ROUND(W20/60,0), "")</f>
        <v>323</v>
      </c>
      <c r="Y20" s="26"/>
      <c r="Z20" s="0" t="n">
        <v>19535</v>
      </c>
      <c r="AA20" s="0" t="n">
        <f aca="false">IF(NOT(ISBLANK(Z20)), ROUND(Z20/60,0), "")</f>
        <v>326</v>
      </c>
      <c r="AC20" s="0" t="s">
        <v>32</v>
      </c>
    </row>
    <row r="21" customFormat="false" ht="12.8" hidden="false" customHeight="false" outlineLevel="0" collapsed="false">
      <c r="A21" s="0" t="s">
        <v>32</v>
      </c>
      <c r="B21" s="0" t="n">
        <v>82</v>
      </c>
      <c r="C21" s="0" t="n">
        <v>19557</v>
      </c>
      <c r="D21" s="25" t="n">
        <f aca="false">IF(NOT(ISBLANK(C21)), ROUND(C21/60,0), "")</f>
        <v>326</v>
      </c>
      <c r="E21" s="0" t="n">
        <v>16924</v>
      </c>
      <c r="F21" s="25" t="n">
        <f aca="false">IF(NOT(ISBLANK(E21)), ROUND(E21/60,0), "")</f>
        <v>282</v>
      </c>
      <c r="G21" s="0" t="n">
        <v>16715</v>
      </c>
      <c r="H21" s="25" t="n">
        <f aca="false">IF(NOT(ISBLANK(G21)), ROUND(G21/60,0), "")</f>
        <v>279</v>
      </c>
      <c r="I21" s="25"/>
      <c r="J21" s="25"/>
      <c r="K21" s="0" t="n">
        <v>17864</v>
      </c>
      <c r="L21" s="25" t="n">
        <f aca="false">IF(NOT(ISBLANK(K21)), ROUND(K21/60,0), "")</f>
        <v>298</v>
      </c>
      <c r="M21" s="0" t="n">
        <v>17172</v>
      </c>
      <c r="N21" s="25" t="n">
        <f aca="false">IF(NOT(ISBLANK(M21)), ROUND(M21/60,0), "")</f>
        <v>286</v>
      </c>
      <c r="O21" s="0" t="n">
        <v>18452</v>
      </c>
      <c r="P21" s="0" t="n">
        <f aca="false">IF(NOT(ISBLANK(O21)), ROUND(O21/60,0), "")</f>
        <v>308</v>
      </c>
      <c r="Q21" s="0" t="n">
        <v>16939</v>
      </c>
      <c r="R21" s="0" t="n">
        <f aca="false">IF(NOT(ISBLANK(Q21)), ROUND(Q21/60,0), "")</f>
        <v>282</v>
      </c>
      <c r="S21" s="0" t="n">
        <v>21575</v>
      </c>
      <c r="T21" s="0" t="n">
        <f aca="false">IF(NOT(ISBLANK(S21)), ROUND(S21/60,0), "")</f>
        <v>360</v>
      </c>
      <c r="U21" s="0" t="n">
        <v>20393</v>
      </c>
      <c r="V21" s="0" t="n">
        <f aca="false">IF(NOT(ISBLANK(U21)), ROUND(U21/60,0), "")</f>
        <v>340</v>
      </c>
      <c r="W21" s="0" t="n">
        <v>15734</v>
      </c>
      <c r="X21" s="0" t="n">
        <f aca="false">IF(NOT(ISBLANK(W21)), ROUND(W21/60,0), "")</f>
        <v>262</v>
      </c>
      <c r="Y21" s="26"/>
      <c r="Z21" s="0" t="n">
        <v>18154</v>
      </c>
      <c r="AA21" s="0" t="n">
        <f aca="false">IF(NOT(ISBLANK(Z21)), ROUND(Z21/60,0), "")</f>
        <v>303</v>
      </c>
      <c r="AC21" s="0" t="s">
        <v>32</v>
      </c>
    </row>
    <row r="22" customFormat="false" ht="12.8" hidden="false" customHeight="false" outlineLevel="0" collapsed="false">
      <c r="A22" s="0" t="s">
        <v>32</v>
      </c>
      <c r="B22" s="0" t="n">
        <v>100</v>
      </c>
      <c r="C22" s="0" t="n">
        <v>14139</v>
      </c>
      <c r="D22" s="25" t="n">
        <f aca="false">IF(NOT(ISBLANK(C22)), ROUND(C22/60,0), "")</f>
        <v>236</v>
      </c>
      <c r="E22" s="0" t="n">
        <v>15958</v>
      </c>
      <c r="F22" s="25" t="n">
        <f aca="false">IF(NOT(ISBLANK(E22)), ROUND(E22/60,0), "")</f>
        <v>266</v>
      </c>
      <c r="G22" s="0" t="n">
        <v>14823</v>
      </c>
      <c r="H22" s="25" t="n">
        <f aca="false">IF(NOT(ISBLANK(G22)), ROUND(G22/60,0), "")</f>
        <v>247</v>
      </c>
      <c r="I22" s="25"/>
      <c r="J22" s="25"/>
      <c r="K22" s="0" t="n">
        <v>16020</v>
      </c>
      <c r="L22" s="25" t="n">
        <f aca="false">IF(NOT(ISBLANK(K22)), ROUND(K22/60,0), "")</f>
        <v>267</v>
      </c>
      <c r="M22" s="0" t="n">
        <v>18729</v>
      </c>
      <c r="N22" s="25" t="n">
        <f aca="false">IF(NOT(ISBLANK(M22)), ROUND(M22/60,0), "")</f>
        <v>312</v>
      </c>
      <c r="O22" s="0" t="n">
        <v>18106</v>
      </c>
      <c r="P22" s="0" t="n">
        <f aca="false">IF(NOT(ISBLANK(O22)), ROUND(O22/60,0), "")</f>
        <v>302</v>
      </c>
      <c r="Q22" s="0" t="n">
        <v>17175</v>
      </c>
      <c r="R22" s="0" t="n">
        <f aca="false">IF(NOT(ISBLANK(Q22)), ROUND(Q22/60,0), "")</f>
        <v>286</v>
      </c>
      <c r="S22" s="0" t="n">
        <v>17745</v>
      </c>
      <c r="T22" s="0" t="n">
        <f aca="false">IF(NOT(ISBLANK(S22)), ROUND(S22/60,0), "")</f>
        <v>296</v>
      </c>
      <c r="U22" s="0" t="n">
        <v>15269</v>
      </c>
      <c r="V22" s="0" t="n">
        <f aca="false">IF(NOT(ISBLANK(U22)), ROUND(U22/60,0), "")</f>
        <v>254</v>
      </c>
      <c r="X22" s="0" t="str">
        <f aca="false">IF(NOT(ISBLANK(W22)), ROUND(W22/60,0), "")</f>
        <v/>
      </c>
      <c r="Y22" s="26"/>
      <c r="Z22" s="0" t="n">
        <v>13885</v>
      </c>
      <c r="AA22" s="0" t="n">
        <f aca="false">IF(NOT(ISBLANK(Z22)), ROUND(Z22/60,0), "")</f>
        <v>231</v>
      </c>
      <c r="AC22" s="0" t="s">
        <v>32</v>
      </c>
    </row>
    <row r="23" customFormat="false" ht="12.8" hidden="false" customHeight="false" outlineLevel="0" collapsed="false">
      <c r="A23" s="0" t="s">
        <v>33</v>
      </c>
      <c r="B23" s="0" t="n">
        <v>5</v>
      </c>
      <c r="D23" s="25" t="str">
        <f aca="false">IF(NOT(ISBLANK(C23)), ROUND(C23/60,0), "")</f>
        <v/>
      </c>
      <c r="F23" s="25" t="str">
        <f aca="false">IF(NOT(ISBLANK(E23)), ROUND(E23/60,0), "")</f>
        <v/>
      </c>
      <c r="H23" s="25" t="str">
        <f aca="false">IF(NOT(ISBLANK(G23)), ROUND(G23/60,0), "")</f>
        <v/>
      </c>
      <c r="I23" s="25"/>
      <c r="J23" s="25"/>
      <c r="L23" s="25" t="str">
        <f aca="false">IF(NOT(ISBLANK(K23)), ROUND(K23/60,0), "")</f>
        <v/>
      </c>
      <c r="N23" s="25" t="str">
        <f aca="false">IF(NOT(ISBLANK(M23)), ROUND(M23/60,0), "")</f>
        <v/>
      </c>
      <c r="P23" s="0" t="str">
        <f aca="false">IF(NOT(ISBLANK(O23)), ROUND(O23/60,0), "")</f>
        <v/>
      </c>
      <c r="R23" s="0" t="str">
        <f aca="false">IF(NOT(ISBLANK(Q23)), ROUND(Q23/60,0), "")</f>
        <v/>
      </c>
      <c r="T23" s="0" t="str">
        <f aca="false">IF(NOT(ISBLANK(S23)), ROUND(S23/60,0), "")</f>
        <v/>
      </c>
      <c r="V23" s="0" t="str">
        <f aca="false">IF(NOT(ISBLANK(U23)), ROUND(U23/60,0), "")</f>
        <v/>
      </c>
      <c r="X23" s="0" t="str">
        <f aca="false">IF(NOT(ISBLANK(W23)), ROUND(W23/60,0), "")</f>
        <v/>
      </c>
      <c r="Y23" s="26"/>
      <c r="AA23" s="0" t="str">
        <f aca="false">IF(NOT(ISBLANK(Z23)), ROUND(Z23/60,0), "")</f>
        <v/>
      </c>
      <c r="AC23" s="0" t="s">
        <v>33</v>
      </c>
    </row>
    <row r="24" customFormat="false" ht="12.8" hidden="false" customHeight="false" outlineLevel="0" collapsed="false">
      <c r="A24" s="0" t="s">
        <v>33</v>
      </c>
      <c r="B24" s="0" t="n">
        <v>10</v>
      </c>
      <c r="D24" s="25" t="str">
        <f aca="false">IF(NOT(ISBLANK(C24)), ROUND(C24/60,0), "")</f>
        <v/>
      </c>
      <c r="E24" s="0" t="n">
        <v>154798</v>
      </c>
      <c r="F24" s="25" t="n">
        <f aca="false">IF(NOT(ISBLANK(E24)), ROUND(E24/60,0), "")</f>
        <v>2580</v>
      </c>
      <c r="G24" s="0" t="n">
        <v>160330</v>
      </c>
      <c r="H24" s="25" t="n">
        <f aca="false">IF(NOT(ISBLANK(G24)), ROUND(G24/60,0), "")</f>
        <v>2672</v>
      </c>
      <c r="I24" s="25"/>
      <c r="J24" s="25"/>
      <c r="L24" s="25" t="str">
        <f aca="false">IF(NOT(ISBLANK(K24)), ROUND(K24/60,0), "")</f>
        <v/>
      </c>
      <c r="N24" s="25" t="str">
        <f aca="false">IF(NOT(ISBLANK(M24)), ROUND(M24/60,0), "")</f>
        <v/>
      </c>
      <c r="P24" s="0" t="str">
        <f aca="false">IF(NOT(ISBLANK(O24)), ROUND(O24/60,0), "")</f>
        <v/>
      </c>
      <c r="R24" s="0" t="str">
        <f aca="false">IF(NOT(ISBLANK(Q24)), ROUND(Q24/60,0), "")</f>
        <v/>
      </c>
      <c r="T24" s="0" t="str">
        <f aca="false">IF(NOT(ISBLANK(S24)), ROUND(S24/60,0), "")</f>
        <v/>
      </c>
      <c r="V24" s="0" t="str">
        <f aca="false">IF(NOT(ISBLANK(U24)), ROUND(U24/60,0), "")</f>
        <v/>
      </c>
      <c r="W24" s="0" t="n">
        <v>130064</v>
      </c>
      <c r="X24" s="0" t="n">
        <f aca="false">IF(NOT(ISBLANK(W24)), ROUND(W24/60,0), "")</f>
        <v>2168</v>
      </c>
      <c r="Y24" s="26"/>
      <c r="AA24" s="0" t="str">
        <f aca="false">IF(NOT(ISBLANK(Z24)), ROUND(Z24/60,0), "")</f>
        <v/>
      </c>
      <c r="AC24" s="0" t="s">
        <v>33</v>
      </c>
    </row>
    <row r="25" customFormat="false" ht="12.8" hidden="false" customHeight="false" outlineLevel="0" collapsed="false">
      <c r="A25" s="0" t="s">
        <v>33</v>
      </c>
      <c r="B25" s="0" t="n">
        <v>15</v>
      </c>
      <c r="C25" s="0" t="n">
        <v>96129</v>
      </c>
      <c r="D25" s="25" t="n">
        <f aca="false">IF(NOT(ISBLANK(C25)), ROUND(C25/60,0), "")</f>
        <v>1602</v>
      </c>
      <c r="E25" s="0" t="n">
        <v>118996</v>
      </c>
      <c r="F25" s="25" t="n">
        <f aca="false">IF(NOT(ISBLANK(E25)), ROUND(E25/60,0), "")</f>
        <v>1983</v>
      </c>
      <c r="G25" s="0" t="n">
        <v>97814</v>
      </c>
      <c r="H25" s="25" t="n">
        <f aca="false">IF(NOT(ISBLANK(G25)), ROUND(G25/60,0), "")</f>
        <v>1630</v>
      </c>
      <c r="I25" s="25"/>
      <c r="J25" s="25"/>
      <c r="K25" s="0" t="n">
        <v>113396</v>
      </c>
      <c r="L25" s="25" t="n">
        <f aca="false">IF(NOT(ISBLANK(K25)), ROUND(K25/60,0), "")</f>
        <v>1890</v>
      </c>
      <c r="N25" s="25" t="str">
        <f aca="false">IF(NOT(ISBLANK(M25)), ROUND(M25/60,0), "")</f>
        <v/>
      </c>
      <c r="O25" s="0" t="n">
        <v>100175</v>
      </c>
      <c r="P25" s="0" t="n">
        <f aca="false">IF(NOT(ISBLANK(O25)), ROUND(O25/60,0), "")</f>
        <v>1670</v>
      </c>
      <c r="Q25" s="0" t="n">
        <v>113391</v>
      </c>
      <c r="R25" s="0" t="n">
        <f aca="false">IF(NOT(ISBLANK(Q25)), ROUND(Q25/60,0), "")</f>
        <v>1890</v>
      </c>
      <c r="T25" s="0" t="str">
        <f aca="false">IF(NOT(ISBLANK(S25)), ROUND(S25/60,0), "")</f>
        <v/>
      </c>
      <c r="U25" s="0" t="n">
        <v>146357</v>
      </c>
      <c r="V25" s="0" t="n">
        <f aca="false">IF(NOT(ISBLANK(U25)), ROUND(U25/60,0), "")</f>
        <v>2439</v>
      </c>
      <c r="W25" s="0" t="n">
        <v>83747</v>
      </c>
      <c r="X25" s="0" t="n">
        <f aca="false">IF(NOT(ISBLANK(W25)), ROUND(W25/60,0), "")</f>
        <v>1396</v>
      </c>
      <c r="Y25" s="26"/>
      <c r="AA25" s="0" t="str">
        <f aca="false">IF(NOT(ISBLANK(Z25)), ROUND(Z25/60,0), "")</f>
        <v/>
      </c>
      <c r="AC25" s="0" t="s">
        <v>33</v>
      </c>
    </row>
    <row r="26" customFormat="false" ht="12.8" hidden="false" customHeight="false" outlineLevel="0" collapsed="false">
      <c r="A26" s="0" t="s">
        <v>33</v>
      </c>
      <c r="B26" s="0" t="n">
        <v>20</v>
      </c>
      <c r="C26" s="0" t="n">
        <v>78484</v>
      </c>
      <c r="D26" s="25" t="n">
        <f aca="false">IF(NOT(ISBLANK(C26)), ROUND(C26/60,0), "")</f>
        <v>1308</v>
      </c>
      <c r="E26" s="0" t="n">
        <v>106089</v>
      </c>
      <c r="F26" s="25" t="n">
        <f aca="false">IF(NOT(ISBLANK(E26)), ROUND(E26/60,0), "")</f>
        <v>1768</v>
      </c>
      <c r="G26" s="0" t="n">
        <v>69487</v>
      </c>
      <c r="H26" s="25" t="n">
        <f aca="false">IF(NOT(ISBLANK(G26)), ROUND(G26/60,0), "")</f>
        <v>1158</v>
      </c>
      <c r="I26" s="25"/>
      <c r="J26" s="25"/>
      <c r="K26" s="0" t="n">
        <v>77345</v>
      </c>
      <c r="L26" s="25" t="n">
        <f aca="false">IF(NOT(ISBLANK(K26)), ROUND(K26/60,0), "")</f>
        <v>1289</v>
      </c>
      <c r="M26" s="0" t="n">
        <v>90382</v>
      </c>
      <c r="N26" s="25" t="n">
        <f aca="false">IF(NOT(ISBLANK(M26)), ROUND(M26/60,0), "")</f>
        <v>1506</v>
      </c>
      <c r="O26" s="0" t="n">
        <v>78169</v>
      </c>
      <c r="P26" s="0" t="n">
        <f aca="false">IF(NOT(ISBLANK(O26)), ROUND(O26/60,0), "")</f>
        <v>1303</v>
      </c>
      <c r="Q26" s="0" t="n">
        <v>77344</v>
      </c>
      <c r="R26" s="0" t="n">
        <f aca="false">IF(NOT(ISBLANK(Q26)), ROUND(Q26/60,0), "")</f>
        <v>1289</v>
      </c>
      <c r="S26" s="0" t="n">
        <v>128390</v>
      </c>
      <c r="T26" s="0" t="n">
        <f aca="false">IF(NOT(ISBLANK(S26)), ROUND(S26/60,0), "")</f>
        <v>2140</v>
      </c>
      <c r="U26" s="0" t="n">
        <v>116326</v>
      </c>
      <c r="V26" s="0" t="n">
        <f aca="false">IF(NOT(ISBLANK(U26)), ROUND(U26/60,0), "")</f>
        <v>1939</v>
      </c>
      <c r="W26" s="0" t="n">
        <v>88432</v>
      </c>
      <c r="X26" s="0" t="n">
        <f aca="false">IF(NOT(ISBLANK(W26)), ROUND(W26/60,0), "")</f>
        <v>1474</v>
      </c>
      <c r="Y26" s="26"/>
      <c r="AA26" s="0" t="str">
        <f aca="false">IF(NOT(ISBLANK(Z26)), ROUND(Z26/60,0), "")</f>
        <v/>
      </c>
      <c r="AC26" s="0" t="s">
        <v>33</v>
      </c>
    </row>
    <row r="27" customFormat="false" ht="12.8" hidden="false" customHeight="false" outlineLevel="0" collapsed="false">
      <c r="A27" s="0" t="s">
        <v>33</v>
      </c>
      <c r="B27" s="0" t="n">
        <v>30</v>
      </c>
      <c r="C27" s="0" t="n">
        <v>72884</v>
      </c>
      <c r="D27" s="25" t="n">
        <f aca="false">IF(NOT(ISBLANK(C27)), ROUND(C27/60,0), "")</f>
        <v>1215</v>
      </c>
      <c r="E27" s="0" t="n">
        <v>64039</v>
      </c>
      <c r="F27" s="25" t="n">
        <f aca="false">IF(NOT(ISBLANK(E27)), ROUND(E27/60,0), "")</f>
        <v>1067</v>
      </c>
      <c r="G27" s="0" t="n">
        <v>54286</v>
      </c>
      <c r="H27" s="25" t="n">
        <f aca="false">IF(NOT(ISBLANK(G27)), ROUND(G27/60,0), "")</f>
        <v>905</v>
      </c>
      <c r="I27" s="25"/>
      <c r="J27" s="25"/>
      <c r="K27" s="0" t="n">
        <v>76969</v>
      </c>
      <c r="L27" s="25" t="n">
        <f aca="false">IF(NOT(ISBLANK(K27)), ROUND(K27/60,0), "")</f>
        <v>1283</v>
      </c>
      <c r="M27" s="0" t="n">
        <v>60240</v>
      </c>
      <c r="N27" s="25" t="n">
        <f aca="false">IF(NOT(ISBLANK(M27)), ROUND(M27/60,0), "")</f>
        <v>1004</v>
      </c>
      <c r="O27" s="0" t="n">
        <v>58471</v>
      </c>
      <c r="P27" s="0" t="n">
        <f aca="false">IF(NOT(ISBLANK(O27)), ROUND(O27/60,0), "")</f>
        <v>975</v>
      </c>
      <c r="Q27" s="0" t="n">
        <v>55714</v>
      </c>
      <c r="R27" s="0" t="n">
        <f aca="false">IF(NOT(ISBLANK(Q27)), ROUND(Q27/60,0), "")</f>
        <v>929</v>
      </c>
      <c r="S27" s="0" t="n">
        <v>79904</v>
      </c>
      <c r="T27" s="0" t="n">
        <f aca="false">IF(NOT(ISBLANK(S27)), ROUND(S27/60,0), "")</f>
        <v>1332</v>
      </c>
      <c r="U27" s="0" t="n">
        <v>80342</v>
      </c>
      <c r="V27" s="0" t="n">
        <f aca="false">IF(NOT(ISBLANK(U27)), ROUND(U27/60,0), "")</f>
        <v>1339</v>
      </c>
      <c r="W27" s="0" t="n">
        <v>49084</v>
      </c>
      <c r="X27" s="0" t="n">
        <f aca="false">IF(NOT(ISBLANK(W27)), ROUND(W27/60,0), "")</f>
        <v>818</v>
      </c>
      <c r="Y27" s="26"/>
      <c r="Z27" s="0" t="n">
        <v>70627</v>
      </c>
      <c r="AA27" s="0" t="n">
        <f aca="false">IF(NOT(ISBLANK(Z27)), ROUND(Z27/60,0), "")</f>
        <v>1177</v>
      </c>
      <c r="AC27" s="0" t="s">
        <v>33</v>
      </c>
    </row>
    <row r="28" customFormat="false" ht="12.8" hidden="false" customHeight="false" outlineLevel="0" collapsed="false">
      <c r="A28" s="0" t="s">
        <v>33</v>
      </c>
      <c r="B28" s="0" t="n">
        <v>40</v>
      </c>
      <c r="C28" s="0" t="n">
        <v>63753</v>
      </c>
      <c r="D28" s="25" t="n">
        <f aca="false">IF(NOT(ISBLANK(C28)), ROUND(C28/60,0), "")</f>
        <v>1063</v>
      </c>
      <c r="E28" s="0" t="n">
        <v>50548</v>
      </c>
      <c r="F28" s="25" t="n">
        <f aca="false">IF(NOT(ISBLANK(E28)), ROUND(E28/60,0), "")</f>
        <v>842</v>
      </c>
      <c r="G28" s="0" t="n">
        <v>36254</v>
      </c>
      <c r="H28" s="25" t="n">
        <f aca="false">IF(NOT(ISBLANK(G28)), ROUND(G28/60,0), "")</f>
        <v>604</v>
      </c>
      <c r="I28" s="25"/>
      <c r="J28" s="25"/>
      <c r="K28" s="0" t="n">
        <v>49951</v>
      </c>
      <c r="L28" s="25" t="n">
        <f aca="false">IF(NOT(ISBLANK(K28)), ROUND(K28/60,0), "")</f>
        <v>833</v>
      </c>
      <c r="M28" s="0" t="n">
        <v>48527</v>
      </c>
      <c r="N28" s="25" t="n">
        <f aca="false">IF(NOT(ISBLANK(M28)), ROUND(M28/60,0), "")</f>
        <v>809</v>
      </c>
      <c r="P28" s="0" t="str">
        <f aca="false">IF(NOT(ISBLANK(O28)), ROUND(O28/60,0), "")</f>
        <v/>
      </c>
      <c r="Q28" s="0" t="n">
        <v>53537</v>
      </c>
      <c r="R28" s="0" t="n">
        <f aca="false">IF(NOT(ISBLANK(Q28)), ROUND(Q28/60,0), "")</f>
        <v>892</v>
      </c>
      <c r="S28" s="0" t="n">
        <v>62525</v>
      </c>
      <c r="T28" s="0" t="n">
        <f aca="false">IF(NOT(ISBLANK(S28)), ROUND(S28/60,0), "")</f>
        <v>1042</v>
      </c>
      <c r="U28" s="0" t="n">
        <v>69539</v>
      </c>
      <c r="V28" s="0" t="n">
        <f aca="false">IF(NOT(ISBLANK(U28)), ROUND(U28/60,0), "")</f>
        <v>1159</v>
      </c>
      <c r="W28" s="0" t="n">
        <v>40309</v>
      </c>
      <c r="X28" s="0" t="n">
        <f aca="false">IF(NOT(ISBLANK(W28)), ROUND(W28/60,0), "")</f>
        <v>672</v>
      </c>
      <c r="Y28" s="26"/>
      <c r="Z28" s="0" t="n">
        <v>69805</v>
      </c>
      <c r="AA28" s="0" t="n">
        <f aca="false">IF(NOT(ISBLANK(Z28)), ROUND(Z28/60,0), "")</f>
        <v>1163</v>
      </c>
      <c r="AC28" s="0" t="s">
        <v>33</v>
      </c>
    </row>
    <row r="29" customFormat="false" ht="12.8" hidden="false" customHeight="false" outlineLevel="0" collapsed="false">
      <c r="A29" s="0" t="s">
        <v>33</v>
      </c>
      <c r="B29" s="0" t="n">
        <v>50</v>
      </c>
      <c r="C29" s="0" t="n">
        <v>38641</v>
      </c>
      <c r="D29" s="25" t="n">
        <f aca="false">IF(NOT(ISBLANK(C29)), ROUND(C29/60,0), "")</f>
        <v>644</v>
      </c>
      <c r="E29" s="0" t="n">
        <v>42072</v>
      </c>
      <c r="F29" s="25" t="n">
        <f aca="false">IF(NOT(ISBLANK(E29)), ROUND(E29/60,0), "")</f>
        <v>701</v>
      </c>
      <c r="G29" s="0" t="n">
        <v>32088</v>
      </c>
      <c r="H29" s="25" t="n">
        <f aca="false">IF(NOT(ISBLANK(G29)), ROUND(G29/60,0), "")</f>
        <v>535</v>
      </c>
      <c r="I29" s="25"/>
      <c r="J29" s="25"/>
      <c r="K29" s="0" t="n">
        <v>38261</v>
      </c>
      <c r="L29" s="25" t="n">
        <f aca="false">IF(NOT(ISBLANK(K29)), ROUND(K29/60,0), "")</f>
        <v>638</v>
      </c>
      <c r="M29" s="0" t="n">
        <v>39505</v>
      </c>
      <c r="N29" s="25" t="n">
        <f aca="false">IF(NOT(ISBLANK(M29)), ROUND(M29/60,0), "")</f>
        <v>658</v>
      </c>
      <c r="O29" s="0" t="n">
        <v>36194</v>
      </c>
      <c r="P29" s="0" t="n">
        <f aca="false">IF(NOT(ISBLANK(O29)), ROUND(O29/60,0), "")</f>
        <v>603</v>
      </c>
      <c r="Q29" s="0" t="n">
        <v>33826</v>
      </c>
      <c r="R29" s="0" t="n">
        <f aca="false">IF(NOT(ISBLANK(Q29)), ROUND(Q29/60,0), "")</f>
        <v>564</v>
      </c>
      <c r="S29" s="0" t="n">
        <v>50264</v>
      </c>
      <c r="T29" s="0" t="n">
        <f aca="false">IF(NOT(ISBLANK(S29)), ROUND(S29/60,0), "")</f>
        <v>838</v>
      </c>
      <c r="U29" s="0" t="n">
        <v>49451</v>
      </c>
      <c r="V29" s="0" t="n">
        <f aca="false">IF(NOT(ISBLANK(U29)), ROUND(U29/60,0), "")</f>
        <v>824</v>
      </c>
      <c r="W29" s="0" t="n">
        <v>37592</v>
      </c>
      <c r="X29" s="0" t="n">
        <f aca="false">IF(NOT(ISBLANK(W29)), ROUND(W29/60,0), "")</f>
        <v>627</v>
      </c>
      <c r="Y29" s="26"/>
      <c r="Z29" s="0" t="n">
        <v>41835</v>
      </c>
      <c r="AA29" s="0" t="n">
        <f aca="false">IF(NOT(ISBLANK(Z29)), ROUND(Z29/60,0), "")</f>
        <v>697</v>
      </c>
      <c r="AC29" s="0" t="s">
        <v>33</v>
      </c>
    </row>
    <row r="30" customFormat="false" ht="12.8" hidden="false" customHeight="false" outlineLevel="0" collapsed="false">
      <c r="A30" s="0" t="s">
        <v>33</v>
      </c>
      <c r="B30" s="0" t="n">
        <v>64</v>
      </c>
      <c r="C30" s="0" t="n">
        <v>28973</v>
      </c>
      <c r="D30" s="25" t="n">
        <f aca="false">IF(NOT(ISBLANK(C30)), ROUND(C30/60,0), "")</f>
        <v>483</v>
      </c>
      <c r="E30" s="0" t="n">
        <v>33213</v>
      </c>
      <c r="F30" s="25" t="n">
        <f aca="false">IF(NOT(ISBLANK(E30)), ROUND(E30/60,0), "")</f>
        <v>554</v>
      </c>
      <c r="G30" s="0" t="n">
        <v>29429</v>
      </c>
      <c r="H30" s="25" t="n">
        <f aca="false">IF(NOT(ISBLANK(G30)), ROUND(G30/60,0), "")</f>
        <v>490</v>
      </c>
      <c r="I30" s="25"/>
      <c r="J30" s="25"/>
      <c r="K30" s="0" t="n">
        <v>31039</v>
      </c>
      <c r="L30" s="25" t="n">
        <f aca="false">IF(NOT(ISBLANK(K30)), ROUND(K30/60,0), "")</f>
        <v>517</v>
      </c>
      <c r="M30" s="0" t="n">
        <v>33024</v>
      </c>
      <c r="N30" s="25" t="n">
        <f aca="false">IF(NOT(ISBLANK(M30)), ROUND(M30/60,0), "")</f>
        <v>550</v>
      </c>
      <c r="O30" s="0" t="n">
        <v>31260</v>
      </c>
      <c r="P30" s="0" t="n">
        <f aca="false">IF(NOT(ISBLANK(O30)), ROUND(O30/60,0), "")</f>
        <v>521</v>
      </c>
      <c r="Q30" s="0" t="n">
        <v>31353</v>
      </c>
      <c r="R30" s="0" t="n">
        <f aca="false">IF(NOT(ISBLANK(Q30)), ROUND(Q30/60,0), "")</f>
        <v>523</v>
      </c>
      <c r="S30" s="0" t="n">
        <v>35305</v>
      </c>
      <c r="T30" s="0" t="n">
        <f aca="false">IF(NOT(ISBLANK(S30)), ROUND(S30/60,0), "")</f>
        <v>588</v>
      </c>
      <c r="U30" s="0" t="n">
        <v>60641</v>
      </c>
      <c r="V30" s="0" t="n">
        <f aca="false">IF(NOT(ISBLANK(U30)), ROUND(U30/60,0), "")</f>
        <v>1011</v>
      </c>
      <c r="W30" s="0" t="n">
        <v>31359</v>
      </c>
      <c r="X30" s="0" t="n">
        <f aca="false">IF(NOT(ISBLANK(W30)), ROUND(W30/60,0), "")</f>
        <v>523</v>
      </c>
      <c r="Y30" s="26"/>
      <c r="Z30" s="0" t="n">
        <v>41884</v>
      </c>
      <c r="AA30" s="0" t="n">
        <f aca="false">IF(NOT(ISBLANK(Z30)), ROUND(Z30/60,0), "")</f>
        <v>698</v>
      </c>
      <c r="AC30" s="0" t="s">
        <v>33</v>
      </c>
    </row>
    <row r="31" customFormat="false" ht="12.8" hidden="false" customHeight="false" outlineLevel="0" collapsed="false">
      <c r="A31" s="0" t="s">
        <v>33</v>
      </c>
      <c r="B31" s="0" t="n">
        <v>82</v>
      </c>
      <c r="C31" s="0" t="n">
        <v>28103</v>
      </c>
      <c r="D31" s="25" t="n">
        <f aca="false">IF(NOT(ISBLANK(C31)), ROUND(C31/60,0), "")</f>
        <v>468</v>
      </c>
      <c r="E31" s="0" t="n">
        <v>23494</v>
      </c>
      <c r="F31" s="25" t="n">
        <f aca="false">IF(NOT(ISBLANK(E31)), ROUND(E31/60,0), "")</f>
        <v>392</v>
      </c>
      <c r="G31" s="0" t="n">
        <v>22925</v>
      </c>
      <c r="H31" s="25" t="n">
        <f aca="false">IF(NOT(ISBLANK(G31)), ROUND(G31/60,0), "")</f>
        <v>382</v>
      </c>
      <c r="I31" s="25"/>
      <c r="J31" s="25"/>
      <c r="K31" s="0" t="n">
        <v>25374</v>
      </c>
      <c r="L31" s="25" t="n">
        <f aca="false">IF(NOT(ISBLANK(K31)), ROUND(K31/60,0), "")</f>
        <v>423</v>
      </c>
      <c r="M31" s="0" t="n">
        <v>24903</v>
      </c>
      <c r="N31" s="25" t="n">
        <f aca="false">IF(NOT(ISBLANK(M31)), ROUND(M31/60,0), "")</f>
        <v>415</v>
      </c>
      <c r="O31" s="0" t="n">
        <v>27334</v>
      </c>
      <c r="P31" s="0" t="n">
        <f aca="false">IF(NOT(ISBLANK(O31)), ROUND(O31/60,0), "")</f>
        <v>456</v>
      </c>
      <c r="Q31" s="0" t="n">
        <v>28245</v>
      </c>
      <c r="R31" s="0" t="n">
        <f aca="false">IF(NOT(ISBLANK(Q31)), ROUND(Q31/60,0), "")</f>
        <v>471</v>
      </c>
      <c r="S31" s="0" t="n">
        <v>35287</v>
      </c>
      <c r="T31" s="0" t="n">
        <f aca="false">IF(NOT(ISBLANK(S31)), ROUND(S31/60,0), "")</f>
        <v>588</v>
      </c>
      <c r="U31" s="0" t="n">
        <v>57777</v>
      </c>
      <c r="V31" s="0" t="n">
        <f aca="false">IF(NOT(ISBLANK(U31)), ROUND(U31/60,0), "")</f>
        <v>963</v>
      </c>
      <c r="W31" s="0" t="n">
        <v>34921</v>
      </c>
      <c r="X31" s="0" t="n">
        <f aca="false">IF(NOT(ISBLANK(W31)), ROUND(W31/60,0), "")</f>
        <v>582</v>
      </c>
      <c r="Y31" s="26"/>
      <c r="Z31" s="0" t="n">
        <v>35747</v>
      </c>
      <c r="AA31" s="0" t="n">
        <f aca="false">IF(NOT(ISBLANK(Z31)), ROUND(Z31/60,0), "")</f>
        <v>596</v>
      </c>
      <c r="AC31" s="0" t="s">
        <v>33</v>
      </c>
    </row>
    <row r="32" customFormat="false" ht="12.8" hidden="false" customHeight="false" outlineLevel="0" collapsed="false">
      <c r="A32" s="0" t="s">
        <v>33</v>
      </c>
      <c r="B32" s="0" t="n">
        <v>100</v>
      </c>
      <c r="C32" s="0" t="n">
        <v>20135</v>
      </c>
      <c r="D32" s="25" t="n">
        <f aca="false">IF(NOT(ISBLANK(C32)), ROUND(C32/60,0), "")</f>
        <v>336</v>
      </c>
      <c r="E32" s="0" t="n">
        <v>33007</v>
      </c>
      <c r="F32" s="25" t="n">
        <f aca="false">IF(NOT(ISBLANK(E32)), ROUND(E32/60,0), "")</f>
        <v>550</v>
      </c>
      <c r="G32" s="0" t="n">
        <v>21181</v>
      </c>
      <c r="H32" s="25" t="n">
        <f aca="false">IF(NOT(ISBLANK(G32)), ROUND(G32/60,0), "")</f>
        <v>353</v>
      </c>
      <c r="I32" s="25"/>
      <c r="J32" s="25"/>
      <c r="K32" s="0" t="n">
        <v>24874</v>
      </c>
      <c r="L32" s="25" t="n">
        <f aca="false">IF(NOT(ISBLANK(K32)), ROUND(K32/60,0), "")</f>
        <v>415</v>
      </c>
      <c r="M32" s="0" t="n">
        <v>25267</v>
      </c>
      <c r="N32" s="25" t="n">
        <f aca="false">IF(NOT(ISBLANK(M32)), ROUND(M32/60,0), "")</f>
        <v>421</v>
      </c>
      <c r="O32" s="0" t="n">
        <v>22917</v>
      </c>
      <c r="P32" s="0" t="n">
        <f aca="false">IF(NOT(ISBLANK(O32)), ROUND(O32/60,0), "")</f>
        <v>382</v>
      </c>
      <c r="Q32" s="0" t="n">
        <v>23305</v>
      </c>
      <c r="R32" s="0" t="n">
        <f aca="false">IF(NOT(ISBLANK(Q32)), ROUND(Q32/60,0), "")</f>
        <v>388</v>
      </c>
      <c r="S32" s="0" t="n">
        <v>34052</v>
      </c>
      <c r="T32" s="0" t="n">
        <f aca="false">IF(NOT(ISBLANK(S32)), ROUND(S32/60,0), "")</f>
        <v>568</v>
      </c>
      <c r="U32" s="0" t="n">
        <v>31612</v>
      </c>
      <c r="V32" s="0" t="n">
        <f aca="false">IF(NOT(ISBLANK(U32)), ROUND(U32/60,0), "")</f>
        <v>527</v>
      </c>
      <c r="X32" s="0" t="str">
        <f aca="false">IF(NOT(ISBLANK(W32)), ROUND(W32/60,0), "")</f>
        <v/>
      </c>
      <c r="Y32" s="26"/>
      <c r="Z32" s="0" t="n">
        <v>26217</v>
      </c>
      <c r="AA32" s="0" t="n">
        <f aca="false">IF(NOT(ISBLANK(Z32)), ROUND(Z32/60,0), "")</f>
        <v>437</v>
      </c>
      <c r="AC32" s="0" t="s">
        <v>33</v>
      </c>
    </row>
    <row r="33" customFormat="false" ht="12.8" hidden="false" customHeight="false" outlineLevel="0" collapsed="false">
      <c r="A33" s="0" t="s">
        <v>34</v>
      </c>
      <c r="B33" s="0" t="n">
        <v>5</v>
      </c>
      <c r="D33" s="25" t="str">
        <f aca="false">IF(NOT(ISBLANK(C33)), ROUND(C33/60,0), "")</f>
        <v/>
      </c>
      <c r="F33" s="25" t="str">
        <f aca="false">IF(NOT(ISBLANK(E33)), ROUND(E33/60,0), "")</f>
        <v/>
      </c>
      <c r="H33" s="25" t="str">
        <f aca="false">IF(NOT(ISBLANK(G33)), ROUND(G33/60,0), "")</f>
        <v/>
      </c>
      <c r="I33" s="25"/>
      <c r="J33" s="25"/>
      <c r="L33" s="25" t="str">
        <f aca="false">IF(NOT(ISBLANK(K33)), ROUND(K33/60,0), "")</f>
        <v/>
      </c>
      <c r="N33" s="25" t="str">
        <f aca="false">IF(NOT(ISBLANK(M33)), ROUND(M33/60,0), "")</f>
        <v/>
      </c>
      <c r="P33" s="0" t="str">
        <f aca="false">IF(NOT(ISBLANK(O33)), ROUND(O33/60,0), "")</f>
        <v/>
      </c>
      <c r="R33" s="0" t="str">
        <f aca="false">IF(NOT(ISBLANK(Q33)), ROUND(Q33/60,0), "")</f>
        <v/>
      </c>
      <c r="T33" s="0" t="str">
        <f aca="false">IF(NOT(ISBLANK(S33)), ROUND(S33/60,0), "")</f>
        <v/>
      </c>
      <c r="V33" s="0" t="str">
        <f aca="false">IF(NOT(ISBLANK(U33)), ROUND(U33/60,0), "")</f>
        <v/>
      </c>
      <c r="W33" s="0" t="n">
        <v>57504</v>
      </c>
      <c r="X33" s="0" t="n">
        <f aca="false">IF(NOT(ISBLANK(W33)), ROUND(W33/60,0), "")</f>
        <v>958</v>
      </c>
      <c r="Y33" s="26"/>
      <c r="AA33" s="0" t="str">
        <f aca="false">IF(NOT(ISBLANK(Z33)), ROUND(Z33/60,0), "")</f>
        <v/>
      </c>
      <c r="AC33" s="0" t="s">
        <v>34</v>
      </c>
    </row>
    <row r="34" customFormat="false" ht="12.8" hidden="false" customHeight="false" outlineLevel="0" collapsed="false">
      <c r="A34" s="0" t="s">
        <v>34</v>
      </c>
      <c r="B34" s="0" t="n">
        <v>10</v>
      </c>
      <c r="C34" s="0" t="n">
        <v>69029</v>
      </c>
      <c r="D34" s="25" t="n">
        <f aca="false">IF(NOT(ISBLANK(C34)), ROUND(C34/60,0), "")</f>
        <v>1150</v>
      </c>
      <c r="E34" s="0" t="n">
        <v>60207</v>
      </c>
      <c r="F34" s="25" t="n">
        <f aca="false">IF(NOT(ISBLANK(E34)), ROUND(E34/60,0), "")</f>
        <v>1003</v>
      </c>
      <c r="H34" s="25" t="str">
        <f aca="false">IF(NOT(ISBLANK(G34)), ROUND(G34/60,0), "")</f>
        <v/>
      </c>
      <c r="I34" s="25"/>
      <c r="J34" s="25"/>
      <c r="L34" s="25" t="str">
        <f aca="false">IF(NOT(ISBLANK(K34)), ROUND(K34/60,0), "")</f>
        <v/>
      </c>
      <c r="N34" s="25" t="str">
        <f aca="false">IF(NOT(ISBLANK(M34)), ROUND(M34/60,0), "")</f>
        <v/>
      </c>
      <c r="O34" s="0" t="n">
        <v>73070</v>
      </c>
      <c r="P34" s="0" t="n">
        <f aca="false">IF(NOT(ISBLANK(O34)), ROUND(O34/60,0), "")</f>
        <v>1218</v>
      </c>
      <c r="Q34" s="0" t="n">
        <v>63332</v>
      </c>
      <c r="R34" s="0" t="n">
        <f aca="false">IF(NOT(ISBLANK(Q34)), ROUND(Q34/60,0), "")</f>
        <v>1056</v>
      </c>
      <c r="S34" s="0" t="n">
        <v>69805</v>
      </c>
      <c r="T34" s="0" t="n">
        <f aca="false">IF(NOT(ISBLANK(S34)), ROUND(S34/60,0), "")</f>
        <v>1163</v>
      </c>
      <c r="U34" s="0" t="n">
        <v>83196</v>
      </c>
      <c r="V34" s="0" t="n">
        <f aca="false">IF(NOT(ISBLANK(U34)), ROUND(U34/60,0), "")</f>
        <v>1387</v>
      </c>
      <c r="W34" s="0" t="n">
        <v>45677</v>
      </c>
      <c r="X34" s="0" t="n">
        <f aca="false">IF(NOT(ISBLANK(W34)), ROUND(W34/60,0), "")</f>
        <v>761</v>
      </c>
      <c r="Y34" s="26"/>
      <c r="Z34" s="0" t="n">
        <v>62880</v>
      </c>
      <c r="AA34" s="0" t="n">
        <f aca="false">IF(NOT(ISBLANK(Z34)), ROUND(Z34/60,0), "")</f>
        <v>1048</v>
      </c>
      <c r="AC34" s="0" t="s">
        <v>34</v>
      </c>
    </row>
    <row r="35" customFormat="false" ht="12.8" hidden="false" customHeight="false" outlineLevel="0" collapsed="false">
      <c r="A35" s="0" t="s">
        <v>34</v>
      </c>
      <c r="B35" s="0" t="n">
        <v>15</v>
      </c>
      <c r="D35" s="25" t="str">
        <f aca="false">IF(NOT(ISBLANK(C35)), ROUND(C35/60,0), "")</f>
        <v/>
      </c>
      <c r="E35" s="0" t="n">
        <v>55803</v>
      </c>
      <c r="F35" s="25" t="n">
        <f aca="false">IF(NOT(ISBLANK(E35)), ROUND(E35/60,0), "")</f>
        <v>930</v>
      </c>
      <c r="G35" s="0" t="n">
        <v>46704</v>
      </c>
      <c r="H35" s="25" t="n">
        <f aca="false">IF(NOT(ISBLANK(G35)), ROUND(G35/60,0), "")</f>
        <v>778</v>
      </c>
      <c r="I35" s="25"/>
      <c r="J35" s="25"/>
      <c r="K35" s="0" t="n">
        <v>50516</v>
      </c>
      <c r="L35" s="25" t="n">
        <f aca="false">IF(NOT(ISBLANK(K35)), ROUND(K35/60,0), "")</f>
        <v>842</v>
      </c>
      <c r="M35" s="0" t="n">
        <v>50690</v>
      </c>
      <c r="N35" s="25" t="n">
        <f aca="false">IF(NOT(ISBLANK(M35)), ROUND(M35/60,0), "")</f>
        <v>845</v>
      </c>
      <c r="O35" s="0" t="n">
        <v>58908</v>
      </c>
      <c r="P35" s="0" t="n">
        <f aca="false">IF(NOT(ISBLANK(O35)), ROUND(O35/60,0), "")</f>
        <v>982</v>
      </c>
      <c r="Q35" s="0" t="n">
        <v>53349</v>
      </c>
      <c r="R35" s="0" t="n">
        <f aca="false">IF(NOT(ISBLANK(Q35)), ROUND(Q35/60,0), "")</f>
        <v>889</v>
      </c>
      <c r="S35" s="0" t="n">
        <v>49390</v>
      </c>
      <c r="T35" s="0" t="n">
        <f aca="false">IF(NOT(ISBLANK(S35)), ROUND(S35/60,0), "")</f>
        <v>823</v>
      </c>
      <c r="U35" s="0" t="n">
        <v>60429</v>
      </c>
      <c r="V35" s="0" t="n">
        <f aca="false">IF(NOT(ISBLANK(U35)), ROUND(U35/60,0), "")</f>
        <v>1007</v>
      </c>
      <c r="W35" s="0" t="n">
        <v>36901</v>
      </c>
      <c r="X35" s="0" t="n">
        <f aca="false">IF(NOT(ISBLANK(W35)), ROUND(W35/60,0), "")</f>
        <v>615</v>
      </c>
      <c r="Y35" s="26"/>
      <c r="Z35" s="0" t="n">
        <v>48352</v>
      </c>
      <c r="AA35" s="0" t="n">
        <f aca="false">IF(NOT(ISBLANK(Z35)), ROUND(Z35/60,0), "")</f>
        <v>806</v>
      </c>
      <c r="AC35" s="0" t="s">
        <v>34</v>
      </c>
    </row>
    <row r="36" customFormat="false" ht="12.8" hidden="false" customHeight="false" outlineLevel="0" collapsed="false">
      <c r="A36" s="0" t="s">
        <v>34</v>
      </c>
      <c r="B36" s="0" t="n">
        <v>20</v>
      </c>
      <c r="C36" s="0" t="n">
        <v>41130</v>
      </c>
      <c r="D36" s="25" t="n">
        <f aca="false">IF(NOT(ISBLANK(C36)), ROUND(C36/60,0), "")</f>
        <v>686</v>
      </c>
      <c r="E36" s="0" t="n">
        <v>40808</v>
      </c>
      <c r="F36" s="25" t="n">
        <f aca="false">IF(NOT(ISBLANK(E36)), ROUND(E36/60,0), "")</f>
        <v>680</v>
      </c>
      <c r="G36" s="0" t="n">
        <v>41658</v>
      </c>
      <c r="H36" s="25" t="n">
        <f aca="false">IF(NOT(ISBLANK(G36)), ROUND(G36/60,0), "")</f>
        <v>694</v>
      </c>
      <c r="I36" s="25"/>
      <c r="J36" s="25"/>
      <c r="K36" s="0" t="n">
        <v>40868</v>
      </c>
      <c r="L36" s="25" t="n">
        <f aca="false">IF(NOT(ISBLANK(K36)), ROUND(K36/60,0), "")</f>
        <v>681</v>
      </c>
      <c r="M36" s="0" t="n">
        <v>44528</v>
      </c>
      <c r="N36" s="25" t="n">
        <f aca="false">IF(NOT(ISBLANK(M36)), ROUND(M36/60,0), "")</f>
        <v>742</v>
      </c>
      <c r="O36" s="0" t="n">
        <v>35323</v>
      </c>
      <c r="P36" s="0" t="n">
        <f aca="false">IF(NOT(ISBLANK(O36)), ROUND(O36/60,0), "")</f>
        <v>589</v>
      </c>
      <c r="Q36" s="0" t="n">
        <v>39933</v>
      </c>
      <c r="R36" s="0" t="n">
        <f aca="false">IF(NOT(ISBLANK(Q36)), ROUND(Q36/60,0), "")</f>
        <v>666</v>
      </c>
      <c r="S36" s="0" t="n">
        <v>38605</v>
      </c>
      <c r="T36" s="0" t="n">
        <f aca="false">IF(NOT(ISBLANK(S36)), ROUND(S36/60,0), "")</f>
        <v>643</v>
      </c>
      <c r="U36" s="0" t="n">
        <v>45401</v>
      </c>
      <c r="V36" s="0" t="n">
        <f aca="false">IF(NOT(ISBLANK(U36)), ROUND(U36/60,0), "")</f>
        <v>757</v>
      </c>
      <c r="W36" s="0" t="n">
        <v>26447</v>
      </c>
      <c r="X36" s="0" t="n">
        <f aca="false">IF(NOT(ISBLANK(W36)), ROUND(W36/60,0), "")</f>
        <v>441</v>
      </c>
      <c r="Y36" s="26"/>
      <c r="Z36" s="0" t="n">
        <v>37233</v>
      </c>
      <c r="AA36" s="0" t="n">
        <f aca="false">IF(NOT(ISBLANK(Z36)), ROUND(Z36/60,0), "")</f>
        <v>621</v>
      </c>
      <c r="AC36" s="0" t="s">
        <v>34</v>
      </c>
    </row>
    <row r="37" customFormat="false" ht="12.8" hidden="false" customHeight="false" outlineLevel="0" collapsed="false">
      <c r="A37" s="0" t="s">
        <v>34</v>
      </c>
      <c r="B37" s="0" t="n">
        <v>30</v>
      </c>
      <c r="C37" s="0" t="n">
        <v>33168</v>
      </c>
      <c r="D37" s="25" t="n">
        <f aca="false">IF(NOT(ISBLANK(C37)), ROUND(C37/60,0), "")</f>
        <v>553</v>
      </c>
      <c r="E37" s="0" t="n">
        <v>30769</v>
      </c>
      <c r="F37" s="25" t="n">
        <f aca="false">IF(NOT(ISBLANK(E37)), ROUND(E37/60,0), "")</f>
        <v>513</v>
      </c>
      <c r="G37" s="0" t="n">
        <v>34193</v>
      </c>
      <c r="H37" s="25" t="n">
        <f aca="false">IF(NOT(ISBLANK(G37)), ROUND(G37/60,0), "")</f>
        <v>570</v>
      </c>
      <c r="I37" s="25"/>
      <c r="J37" s="25"/>
      <c r="K37" s="0" t="n">
        <v>31088</v>
      </c>
      <c r="L37" s="25" t="n">
        <f aca="false">IF(NOT(ISBLANK(K37)), ROUND(K37/60,0), "")</f>
        <v>518</v>
      </c>
      <c r="M37" s="0" t="n">
        <v>27074</v>
      </c>
      <c r="N37" s="25" t="n">
        <f aca="false">IF(NOT(ISBLANK(M37)), ROUND(M37/60,0), "")</f>
        <v>451</v>
      </c>
      <c r="O37" s="0" t="n">
        <v>26096</v>
      </c>
      <c r="P37" s="0" t="n">
        <f aca="false">IF(NOT(ISBLANK(O37)), ROUND(O37/60,0), "")</f>
        <v>435</v>
      </c>
      <c r="Q37" s="0" t="n">
        <v>31449</v>
      </c>
      <c r="R37" s="0" t="n">
        <f aca="false">IF(NOT(ISBLANK(Q37)), ROUND(Q37/60,0), "")</f>
        <v>524</v>
      </c>
      <c r="S37" s="0" t="n">
        <v>26802</v>
      </c>
      <c r="T37" s="0" t="n">
        <f aca="false">IF(NOT(ISBLANK(S37)), ROUND(S37/60,0), "")</f>
        <v>447</v>
      </c>
      <c r="U37" s="0" t="n">
        <v>44043</v>
      </c>
      <c r="V37" s="0" t="n">
        <f aca="false">IF(NOT(ISBLANK(U37)), ROUND(U37/60,0), "")</f>
        <v>734</v>
      </c>
      <c r="W37" s="0" t="n">
        <v>21092</v>
      </c>
      <c r="X37" s="0" t="n">
        <f aca="false">IF(NOT(ISBLANK(W37)), ROUND(W37/60,0), "")</f>
        <v>352</v>
      </c>
      <c r="Y37" s="26"/>
      <c r="Z37" s="0" t="n">
        <v>27985</v>
      </c>
      <c r="AA37" s="0" t="n">
        <f aca="false">IF(NOT(ISBLANK(Z37)), ROUND(Z37/60,0), "")</f>
        <v>466</v>
      </c>
      <c r="AC37" s="0" t="s">
        <v>34</v>
      </c>
    </row>
    <row r="38" customFormat="false" ht="12.8" hidden="false" customHeight="false" outlineLevel="0" collapsed="false">
      <c r="A38" s="0" t="s">
        <v>34</v>
      </c>
      <c r="B38" s="0" t="n">
        <v>40</v>
      </c>
      <c r="C38" s="0" t="n">
        <v>26222</v>
      </c>
      <c r="D38" s="25" t="n">
        <f aca="false">IF(NOT(ISBLANK(C38)), ROUND(C38/60,0), "")</f>
        <v>437</v>
      </c>
      <c r="E38" s="0" t="n">
        <v>23741</v>
      </c>
      <c r="F38" s="25" t="n">
        <f aca="false">IF(NOT(ISBLANK(E38)), ROUND(E38/60,0), "")</f>
        <v>396</v>
      </c>
      <c r="G38" s="0" t="n">
        <v>22696</v>
      </c>
      <c r="H38" s="25" t="n">
        <f aca="false">IF(NOT(ISBLANK(G38)), ROUND(G38/60,0), "")</f>
        <v>378</v>
      </c>
      <c r="I38" s="25"/>
      <c r="J38" s="25"/>
      <c r="K38" s="0" t="n">
        <v>21955</v>
      </c>
      <c r="L38" s="25" t="n">
        <f aca="false">IF(NOT(ISBLANK(K38)), ROUND(K38/60,0), "")</f>
        <v>366</v>
      </c>
      <c r="M38" s="0" t="n">
        <v>24077</v>
      </c>
      <c r="N38" s="25" t="n">
        <f aca="false">IF(NOT(ISBLANK(M38)), ROUND(M38/60,0), "")</f>
        <v>401</v>
      </c>
      <c r="O38" s="0" t="n">
        <v>20839</v>
      </c>
      <c r="P38" s="0" t="n">
        <f aca="false">IF(NOT(ISBLANK(O38)), ROUND(O38/60,0), "")</f>
        <v>347</v>
      </c>
      <c r="Q38" s="0" t="n">
        <v>22638</v>
      </c>
      <c r="R38" s="0" t="n">
        <f aca="false">IF(NOT(ISBLANK(Q38)), ROUND(Q38/60,0), "")</f>
        <v>377</v>
      </c>
      <c r="S38" s="0" t="n">
        <v>24719</v>
      </c>
      <c r="T38" s="0" t="n">
        <f aca="false">IF(NOT(ISBLANK(S38)), ROUND(S38/60,0), "")</f>
        <v>412</v>
      </c>
      <c r="U38" s="0" t="n">
        <v>25393</v>
      </c>
      <c r="V38" s="0" t="n">
        <f aca="false">IF(NOT(ISBLANK(U38)), ROUND(U38/60,0), "")</f>
        <v>423</v>
      </c>
      <c r="W38" s="0" t="n">
        <v>18786</v>
      </c>
      <c r="X38" s="0" t="n">
        <f aca="false">IF(NOT(ISBLANK(W38)), ROUND(W38/60,0), "")</f>
        <v>313</v>
      </c>
      <c r="Y38" s="26"/>
      <c r="Z38" s="0" t="n">
        <v>21382</v>
      </c>
      <c r="AA38" s="0" t="n">
        <f aca="false">IF(NOT(ISBLANK(Z38)), ROUND(Z38/60,0), "")</f>
        <v>356</v>
      </c>
      <c r="AC38" s="0" t="s">
        <v>34</v>
      </c>
    </row>
    <row r="39" customFormat="false" ht="12.8" hidden="false" customHeight="false" outlineLevel="0" collapsed="false">
      <c r="A39" s="0" t="s">
        <v>34</v>
      </c>
      <c r="B39" s="0" t="n">
        <v>50</v>
      </c>
      <c r="C39" s="0" t="n">
        <v>19630</v>
      </c>
      <c r="D39" s="25" t="n">
        <f aca="false">IF(NOT(ISBLANK(C39)), ROUND(C39/60,0), "")</f>
        <v>327</v>
      </c>
      <c r="E39" s="0" t="n">
        <v>19530</v>
      </c>
      <c r="F39" s="25" t="n">
        <f aca="false">IF(NOT(ISBLANK(E39)), ROUND(E39/60,0), "")</f>
        <v>326</v>
      </c>
      <c r="G39" s="0" t="n">
        <v>19532</v>
      </c>
      <c r="H39" s="25" t="n">
        <f aca="false">IF(NOT(ISBLANK(G39)), ROUND(G39/60,0), "")</f>
        <v>326</v>
      </c>
      <c r="I39" s="25"/>
      <c r="J39" s="25"/>
      <c r="K39" s="0" t="n">
        <v>21176</v>
      </c>
      <c r="L39" s="25" t="n">
        <f aca="false">IF(NOT(ISBLANK(K39)), ROUND(K39/60,0), "")</f>
        <v>353</v>
      </c>
      <c r="M39" s="0" t="n">
        <v>22052</v>
      </c>
      <c r="N39" s="25" t="n">
        <f aca="false">IF(NOT(ISBLANK(M39)), ROUND(M39/60,0), "")</f>
        <v>368</v>
      </c>
      <c r="O39" s="0" t="n">
        <v>24509</v>
      </c>
      <c r="P39" s="0" t="n">
        <f aca="false">IF(NOT(ISBLANK(O39)), ROUND(O39/60,0), "")</f>
        <v>408</v>
      </c>
      <c r="Q39" s="0" t="n">
        <v>20615</v>
      </c>
      <c r="R39" s="0" t="n">
        <f aca="false">IF(NOT(ISBLANK(Q39)), ROUND(Q39/60,0), "")</f>
        <v>344</v>
      </c>
      <c r="S39" s="0" t="n">
        <v>19708</v>
      </c>
      <c r="T39" s="0" t="n">
        <f aca="false">IF(NOT(ISBLANK(S39)), ROUND(S39/60,0), "")</f>
        <v>328</v>
      </c>
      <c r="U39" s="0" t="n">
        <v>18616</v>
      </c>
      <c r="V39" s="0" t="n">
        <f aca="false">IF(NOT(ISBLANK(U39)), ROUND(U39/60,0), "")</f>
        <v>310</v>
      </c>
      <c r="W39" s="0" t="n">
        <v>14880</v>
      </c>
      <c r="X39" s="0" t="n">
        <f aca="false">IF(NOT(ISBLANK(W39)), ROUND(W39/60,0), "")</f>
        <v>248</v>
      </c>
      <c r="Y39" s="26"/>
      <c r="Z39" s="0" t="n">
        <v>19082</v>
      </c>
      <c r="AA39" s="0" t="n">
        <f aca="false">IF(NOT(ISBLANK(Z39)), ROUND(Z39/60,0), "")</f>
        <v>318</v>
      </c>
      <c r="AC39" s="0" t="s">
        <v>34</v>
      </c>
    </row>
    <row r="40" customFormat="false" ht="12.8" hidden="false" customHeight="false" outlineLevel="0" collapsed="false">
      <c r="A40" s="0" t="s">
        <v>34</v>
      </c>
      <c r="B40" s="0" t="n">
        <v>64</v>
      </c>
      <c r="C40" s="0" t="n">
        <v>16549</v>
      </c>
      <c r="D40" s="25" t="n">
        <f aca="false">IF(NOT(ISBLANK(C40)), ROUND(C40/60,0), "")</f>
        <v>276</v>
      </c>
      <c r="E40" s="0" t="n">
        <v>17146</v>
      </c>
      <c r="F40" s="25" t="n">
        <f aca="false">IF(NOT(ISBLANK(E40)), ROUND(E40/60,0), "")</f>
        <v>286</v>
      </c>
      <c r="G40" s="0" t="n">
        <v>17315</v>
      </c>
      <c r="H40" s="25" t="n">
        <f aca="false">IF(NOT(ISBLANK(G40)), ROUND(G40/60,0), "")</f>
        <v>289</v>
      </c>
      <c r="I40" s="25"/>
      <c r="J40" s="25"/>
      <c r="K40" s="0" t="n">
        <v>16191</v>
      </c>
      <c r="L40" s="25" t="n">
        <f aca="false">IF(NOT(ISBLANK(K40)), ROUND(K40/60,0), "")</f>
        <v>270</v>
      </c>
      <c r="M40" s="0" t="n">
        <v>17622</v>
      </c>
      <c r="N40" s="25" t="n">
        <f aca="false">IF(NOT(ISBLANK(M40)), ROUND(M40/60,0), "")</f>
        <v>294</v>
      </c>
      <c r="O40" s="0" t="n">
        <v>15985</v>
      </c>
      <c r="P40" s="0" t="n">
        <f aca="false">IF(NOT(ISBLANK(O40)), ROUND(O40/60,0), "")</f>
        <v>266</v>
      </c>
      <c r="Q40" s="0" t="n">
        <v>16310</v>
      </c>
      <c r="R40" s="0" t="n">
        <f aca="false">IF(NOT(ISBLANK(Q40)), ROUND(Q40/60,0), "")</f>
        <v>272</v>
      </c>
      <c r="S40" s="0" t="n">
        <v>16007</v>
      </c>
      <c r="T40" s="0" t="n">
        <f aca="false">IF(NOT(ISBLANK(S40)), ROUND(S40/60,0), "")</f>
        <v>267</v>
      </c>
      <c r="U40" s="0" t="n">
        <v>15958</v>
      </c>
      <c r="V40" s="0" t="n">
        <f aca="false">IF(NOT(ISBLANK(U40)), ROUND(U40/60,0), "")</f>
        <v>266</v>
      </c>
      <c r="W40" s="0" t="n">
        <v>15213</v>
      </c>
      <c r="X40" s="0" t="n">
        <f aca="false">IF(NOT(ISBLANK(W40)), ROUND(W40/60,0), "")</f>
        <v>254</v>
      </c>
      <c r="Y40" s="26"/>
      <c r="Z40" s="0" t="n">
        <v>16248</v>
      </c>
      <c r="AA40" s="0" t="n">
        <f aca="false">IF(NOT(ISBLANK(Z40)), ROUND(Z40/60,0), "")</f>
        <v>271</v>
      </c>
      <c r="AC40" s="0" t="s">
        <v>34</v>
      </c>
    </row>
    <row r="41" customFormat="false" ht="12.8" hidden="false" customHeight="false" outlineLevel="0" collapsed="false">
      <c r="A41" s="0" t="s">
        <v>34</v>
      </c>
      <c r="B41" s="0" t="n">
        <v>82</v>
      </c>
      <c r="C41" s="0" t="n">
        <v>13428</v>
      </c>
      <c r="D41" s="25" t="n">
        <f aca="false">IF(NOT(ISBLANK(C41)), ROUND(C41/60,0), "")</f>
        <v>224</v>
      </c>
      <c r="E41" s="0" t="n">
        <v>14549</v>
      </c>
      <c r="F41" s="25" t="n">
        <f aca="false">IF(NOT(ISBLANK(E41)), ROUND(E41/60,0), "")</f>
        <v>242</v>
      </c>
      <c r="G41" s="0" t="n">
        <v>15086</v>
      </c>
      <c r="H41" s="25" t="n">
        <f aca="false">IF(NOT(ISBLANK(G41)), ROUND(G41/60,0), "")</f>
        <v>251</v>
      </c>
      <c r="I41" s="25"/>
      <c r="J41" s="25"/>
      <c r="K41" s="0" t="n">
        <v>14921</v>
      </c>
      <c r="L41" s="25" t="n">
        <f aca="false">IF(NOT(ISBLANK(K41)), ROUND(K41/60,0), "")</f>
        <v>249</v>
      </c>
      <c r="M41" s="0" t="n">
        <v>14804</v>
      </c>
      <c r="N41" s="25" t="n">
        <f aca="false">IF(NOT(ISBLANK(M41)), ROUND(M41/60,0), "")</f>
        <v>247</v>
      </c>
      <c r="O41" s="0" t="n">
        <v>13474</v>
      </c>
      <c r="P41" s="0" t="n">
        <f aca="false">IF(NOT(ISBLANK(O41)), ROUND(O41/60,0), "")</f>
        <v>225</v>
      </c>
      <c r="Q41" s="0" t="n">
        <v>13640</v>
      </c>
      <c r="R41" s="0" t="n">
        <f aca="false">IF(NOT(ISBLANK(Q41)), ROUND(Q41/60,0), "")</f>
        <v>227</v>
      </c>
      <c r="S41" s="0" t="n">
        <v>13911</v>
      </c>
      <c r="T41" s="0" t="n">
        <f aca="false">IF(NOT(ISBLANK(S41)), ROUND(S41/60,0), "")</f>
        <v>232</v>
      </c>
      <c r="U41" s="0" t="n">
        <v>15157</v>
      </c>
      <c r="V41" s="0" t="n">
        <f aca="false">IF(NOT(ISBLANK(U41)), ROUND(U41/60,0), "")</f>
        <v>253</v>
      </c>
      <c r="W41" s="0" t="n">
        <v>13926</v>
      </c>
      <c r="X41" s="0" t="n">
        <f aca="false">IF(NOT(ISBLANK(W41)), ROUND(W41/60,0), "")</f>
        <v>232</v>
      </c>
      <c r="Y41" s="26"/>
      <c r="Z41" s="0" t="n">
        <v>17349</v>
      </c>
      <c r="AA41" s="0" t="n">
        <f aca="false">IF(NOT(ISBLANK(Z41)), ROUND(Z41/60,0), "")</f>
        <v>289</v>
      </c>
      <c r="AC41" s="0" t="s">
        <v>34</v>
      </c>
    </row>
    <row r="42" customFormat="false" ht="12.8" hidden="false" customHeight="false" outlineLevel="0" collapsed="false">
      <c r="A42" s="0" t="s">
        <v>34</v>
      </c>
      <c r="B42" s="0" t="n">
        <v>100</v>
      </c>
      <c r="C42" s="0" t="n">
        <v>12439</v>
      </c>
      <c r="D42" s="25" t="n">
        <f aca="false">IF(NOT(ISBLANK(C42)), ROUND(C42/60,0), "")</f>
        <v>207</v>
      </c>
      <c r="E42" s="0" t="n">
        <v>12617</v>
      </c>
      <c r="F42" s="25" t="n">
        <f aca="false">IF(NOT(ISBLANK(E42)), ROUND(E42/60,0), "")</f>
        <v>210</v>
      </c>
      <c r="G42" s="0" t="n">
        <v>12529</v>
      </c>
      <c r="H42" s="25" t="n">
        <f aca="false">IF(NOT(ISBLANK(G42)), ROUND(G42/60,0), "")</f>
        <v>209</v>
      </c>
      <c r="I42" s="25"/>
      <c r="J42" s="25"/>
      <c r="K42" s="0" t="n">
        <v>18333</v>
      </c>
      <c r="L42" s="25" t="n">
        <f aca="false">IF(NOT(ISBLANK(K42)), ROUND(K42/60,0), "")</f>
        <v>306</v>
      </c>
      <c r="M42" s="0" t="n">
        <v>13497</v>
      </c>
      <c r="N42" s="25" t="n">
        <f aca="false">IF(NOT(ISBLANK(M42)), ROUND(M42/60,0), "")</f>
        <v>225</v>
      </c>
      <c r="O42" s="0" t="n">
        <v>11591</v>
      </c>
      <c r="P42" s="0" t="n">
        <f aca="false">IF(NOT(ISBLANK(O42)), ROUND(O42/60,0), "")</f>
        <v>193</v>
      </c>
      <c r="Q42" s="0" t="n">
        <v>13727</v>
      </c>
      <c r="R42" s="0" t="n">
        <f aca="false">IF(NOT(ISBLANK(Q42)), ROUND(Q42/60,0), "")</f>
        <v>229</v>
      </c>
      <c r="S42" s="0" t="n">
        <v>11825</v>
      </c>
      <c r="T42" s="0" t="n">
        <f aca="false">IF(NOT(ISBLANK(S42)), ROUND(S42/60,0), "")</f>
        <v>197</v>
      </c>
      <c r="U42" s="0" t="n">
        <v>15411</v>
      </c>
      <c r="V42" s="0" t="n">
        <f aca="false">IF(NOT(ISBLANK(U42)), ROUND(U42/60,0), "")</f>
        <v>257</v>
      </c>
      <c r="X42" s="0" t="str">
        <f aca="false">IF(NOT(ISBLANK(W42)), ROUND(W42/60,0), "")</f>
        <v/>
      </c>
      <c r="Y42" s="26"/>
      <c r="Z42" s="0" t="n">
        <v>21000</v>
      </c>
      <c r="AA42" s="0" t="n">
        <f aca="false">IF(NOT(ISBLANK(Z42)), ROUND(Z42/60,0), "")</f>
        <v>350</v>
      </c>
      <c r="AC42" s="0" t="s">
        <v>34</v>
      </c>
    </row>
    <row r="43" customFormat="false" ht="12.8" hidden="false" customHeight="false" outlineLevel="0" collapsed="false">
      <c r="A43" s="0" t="s">
        <v>36</v>
      </c>
      <c r="B43" s="0" t="n">
        <v>5</v>
      </c>
      <c r="D43" s="25" t="str">
        <f aca="false">IF(NOT(ISBLANK(C43)), ROUND(C43/60,0), "")</f>
        <v/>
      </c>
      <c r="F43" s="25" t="str">
        <f aca="false">IF(NOT(ISBLANK(E43)), ROUND(E43/60,0), "")</f>
        <v/>
      </c>
      <c r="H43" s="25" t="str">
        <f aca="false">IF(NOT(ISBLANK(G43)), ROUND(G43/60,0), "")</f>
        <v/>
      </c>
      <c r="I43" s="25"/>
      <c r="J43" s="25"/>
      <c r="L43" s="25" t="str">
        <f aca="false">IF(NOT(ISBLANK(K43)), ROUND(K43/60,0), "")</f>
        <v/>
      </c>
      <c r="N43" s="25" t="str">
        <f aca="false">IF(NOT(ISBLANK(M43)), ROUND(M43/60,0), "")</f>
        <v/>
      </c>
      <c r="P43" s="0" t="str">
        <f aca="false">IF(NOT(ISBLANK(O43)), ROUND(O43/60,0), "")</f>
        <v/>
      </c>
      <c r="R43" s="0" t="str">
        <f aca="false">IF(NOT(ISBLANK(Q43)), ROUND(Q43/60,0), "")</f>
        <v/>
      </c>
      <c r="T43" s="0" t="str">
        <f aca="false">IF(NOT(ISBLANK(S43)), ROUND(S43/60,0), "")</f>
        <v/>
      </c>
      <c r="V43" s="0" t="str">
        <f aca="false">IF(NOT(ISBLANK(U43)), ROUND(U43/60,0), "")</f>
        <v/>
      </c>
      <c r="X43" s="0" t="str">
        <f aca="false">IF(NOT(ISBLANK(W43)), ROUND(W43/60,0), "")</f>
        <v/>
      </c>
      <c r="Y43" s="26"/>
      <c r="AA43" s="0" t="str">
        <f aca="false">IF(NOT(ISBLANK(Z43)), ROUND(Z43/60,0), "")</f>
        <v/>
      </c>
      <c r="AC43" s="0" t="s">
        <v>36</v>
      </c>
    </row>
    <row r="44" customFormat="false" ht="12.8" hidden="false" customHeight="false" outlineLevel="0" collapsed="false">
      <c r="A44" s="0" t="s">
        <v>36</v>
      </c>
      <c r="B44" s="0" t="n">
        <v>10</v>
      </c>
      <c r="D44" s="25" t="str">
        <f aca="false">IF(NOT(ISBLANK(C44)), ROUND(C44/60,0), "")</f>
        <v/>
      </c>
      <c r="F44" s="25" t="str">
        <f aca="false">IF(NOT(ISBLANK(E44)), ROUND(E44/60,0), "")</f>
        <v/>
      </c>
      <c r="H44" s="25" t="str">
        <f aca="false">IF(NOT(ISBLANK(G44)), ROUND(G44/60,0), "")</f>
        <v/>
      </c>
      <c r="I44" s="25"/>
      <c r="J44" s="25"/>
      <c r="L44" s="25" t="str">
        <f aca="false">IF(NOT(ISBLANK(K44)), ROUND(K44/60,0), "")</f>
        <v/>
      </c>
      <c r="N44" s="25" t="str">
        <f aca="false">IF(NOT(ISBLANK(M44)), ROUND(M44/60,0), "")</f>
        <v/>
      </c>
      <c r="P44" s="0" t="str">
        <f aca="false">IF(NOT(ISBLANK(O44)), ROUND(O44/60,0), "")</f>
        <v/>
      </c>
      <c r="R44" s="0" t="str">
        <f aca="false">IF(NOT(ISBLANK(Q44)), ROUND(Q44/60,0), "")</f>
        <v/>
      </c>
      <c r="T44" s="0" t="str">
        <f aca="false">IF(NOT(ISBLANK(S44)), ROUND(S44/60,0), "")</f>
        <v/>
      </c>
      <c r="V44" s="0" t="str">
        <f aca="false">IF(NOT(ISBLANK(U44)), ROUND(U44/60,0), "")</f>
        <v/>
      </c>
      <c r="X44" s="0" t="str">
        <f aca="false">IF(NOT(ISBLANK(W44)), ROUND(W44/60,0), "")</f>
        <v/>
      </c>
      <c r="Y44" s="26"/>
      <c r="AA44" s="0" t="str">
        <f aca="false">IF(NOT(ISBLANK(Z44)), ROUND(Z44/60,0), "")</f>
        <v/>
      </c>
      <c r="AC44" s="0" t="s">
        <v>36</v>
      </c>
    </row>
    <row r="45" customFormat="false" ht="12.8" hidden="false" customHeight="false" outlineLevel="0" collapsed="false">
      <c r="A45" s="0" t="s">
        <v>36</v>
      </c>
      <c r="B45" s="0" t="n">
        <v>15</v>
      </c>
      <c r="D45" s="25" t="str">
        <f aca="false">IF(NOT(ISBLANK(C45)), ROUND(C45/60,0), "")</f>
        <v/>
      </c>
      <c r="F45" s="25" t="str">
        <f aca="false">IF(NOT(ISBLANK(E45)), ROUND(E45/60,0), "")</f>
        <v/>
      </c>
      <c r="H45" s="25" t="str">
        <f aca="false">IF(NOT(ISBLANK(G45)), ROUND(G45/60,0), "")</f>
        <v/>
      </c>
      <c r="I45" s="25"/>
      <c r="J45" s="25"/>
      <c r="L45" s="25" t="str">
        <f aca="false">IF(NOT(ISBLANK(K45)), ROUND(K45/60,0), "")</f>
        <v/>
      </c>
      <c r="N45" s="25" t="str">
        <f aca="false">IF(NOT(ISBLANK(M45)), ROUND(M45/60,0), "")</f>
        <v/>
      </c>
      <c r="P45" s="0" t="str">
        <f aca="false">IF(NOT(ISBLANK(O45)), ROUND(O45/60,0), "")</f>
        <v/>
      </c>
      <c r="R45" s="0" t="str">
        <f aca="false">IF(NOT(ISBLANK(Q45)), ROUND(Q45/60,0), "")</f>
        <v/>
      </c>
      <c r="T45" s="0" t="str">
        <f aca="false">IF(NOT(ISBLANK(S45)), ROUND(S45/60,0), "")</f>
        <v/>
      </c>
      <c r="V45" s="0" t="str">
        <f aca="false">IF(NOT(ISBLANK(U45)), ROUND(U45/60,0), "")</f>
        <v/>
      </c>
      <c r="X45" s="0" t="str">
        <f aca="false">IF(NOT(ISBLANK(W45)), ROUND(W45/60,0), "")</f>
        <v/>
      </c>
      <c r="Y45" s="26"/>
      <c r="AA45" s="0" t="str">
        <f aca="false">IF(NOT(ISBLANK(Z45)), ROUND(Z45/60,0), "")</f>
        <v/>
      </c>
      <c r="AC45" s="0" t="s">
        <v>36</v>
      </c>
    </row>
    <row r="46" customFormat="false" ht="12.8" hidden="false" customHeight="false" outlineLevel="0" collapsed="false">
      <c r="A46" s="0" t="s">
        <v>36</v>
      </c>
      <c r="B46" s="0" t="n">
        <v>20</v>
      </c>
      <c r="D46" s="25" t="str">
        <f aca="false">IF(NOT(ISBLANK(C46)), ROUND(C46/60,0), "")</f>
        <v/>
      </c>
      <c r="F46" s="25" t="str">
        <f aca="false">IF(NOT(ISBLANK(E46)), ROUND(E46/60,0), "")</f>
        <v/>
      </c>
      <c r="H46" s="25" t="str">
        <f aca="false">IF(NOT(ISBLANK(G46)), ROUND(G46/60,0), "")</f>
        <v/>
      </c>
      <c r="I46" s="25"/>
      <c r="J46" s="25"/>
      <c r="L46" s="25" t="str">
        <f aca="false">IF(NOT(ISBLANK(K46)), ROUND(K46/60,0), "")</f>
        <v/>
      </c>
      <c r="N46" s="25" t="str">
        <f aca="false">IF(NOT(ISBLANK(M46)), ROUND(M46/60,0), "")</f>
        <v/>
      </c>
      <c r="P46" s="0" t="str">
        <f aca="false">IF(NOT(ISBLANK(O46)), ROUND(O46/60,0), "")</f>
        <v/>
      </c>
      <c r="R46" s="0" t="str">
        <f aca="false">IF(NOT(ISBLANK(Q46)), ROUND(Q46/60,0), "")</f>
        <v/>
      </c>
      <c r="T46" s="0" t="str">
        <f aca="false">IF(NOT(ISBLANK(S46)), ROUND(S46/60,0), "")</f>
        <v/>
      </c>
      <c r="V46" s="0" t="str">
        <f aca="false">IF(NOT(ISBLANK(U46)), ROUND(U46/60,0), "")</f>
        <v/>
      </c>
      <c r="W46" s="0" t="n">
        <v>127808</v>
      </c>
      <c r="X46" s="0" t="n">
        <f aca="false">IF(NOT(ISBLANK(W46)), ROUND(W46/60,0), "")</f>
        <v>2130</v>
      </c>
      <c r="Y46" s="26"/>
      <c r="AA46" s="0" t="str">
        <f aca="false">IF(NOT(ISBLANK(Z46)), ROUND(Z46/60,0), "")</f>
        <v/>
      </c>
      <c r="AC46" s="0" t="s">
        <v>36</v>
      </c>
    </row>
    <row r="47" customFormat="false" ht="12.8" hidden="false" customHeight="false" outlineLevel="0" collapsed="false">
      <c r="A47" s="0" t="s">
        <v>36</v>
      </c>
      <c r="B47" s="0" t="n">
        <v>30</v>
      </c>
      <c r="D47" s="25" t="str">
        <f aca="false">IF(NOT(ISBLANK(C47)), ROUND(C47/60,0), "")</f>
        <v/>
      </c>
      <c r="F47" s="25" t="str">
        <f aca="false">IF(NOT(ISBLANK(E47)), ROUND(E47/60,0), "")</f>
        <v/>
      </c>
      <c r="H47" s="25" t="str">
        <f aca="false">IF(NOT(ISBLANK(G47)), ROUND(G47/60,0), "")</f>
        <v/>
      </c>
      <c r="I47" s="25"/>
      <c r="J47" s="25"/>
      <c r="K47" s="0" t="n">
        <v>131672</v>
      </c>
      <c r="L47" s="25" t="n">
        <f aca="false">IF(NOT(ISBLANK(K47)), ROUND(K47/60,0), "")</f>
        <v>2195</v>
      </c>
      <c r="N47" s="25" t="str">
        <f aca="false">IF(NOT(ISBLANK(M47)), ROUND(M47/60,0), "")</f>
        <v/>
      </c>
      <c r="O47" s="0" t="n">
        <v>137632</v>
      </c>
      <c r="P47" s="0" t="n">
        <f aca="false">IF(NOT(ISBLANK(O47)), ROUND(O47/60,0), "")</f>
        <v>2294</v>
      </c>
      <c r="Q47" s="0" t="n">
        <v>144416</v>
      </c>
      <c r="R47" s="0" t="n">
        <f aca="false">IF(NOT(ISBLANK(Q47)), ROUND(Q47/60,0), "")</f>
        <v>2407</v>
      </c>
      <c r="T47" s="0" t="str">
        <f aca="false">IF(NOT(ISBLANK(S47)), ROUND(S47/60,0), "")</f>
        <v/>
      </c>
      <c r="V47" s="0" t="str">
        <f aca="false">IF(NOT(ISBLANK(U47)), ROUND(U47/60,0), "")</f>
        <v/>
      </c>
      <c r="W47" s="0" t="n">
        <v>80781</v>
      </c>
      <c r="X47" s="0" t="n">
        <f aca="false">IF(NOT(ISBLANK(W47)), ROUND(W47/60,0), "")</f>
        <v>1346</v>
      </c>
      <c r="Y47" s="26"/>
      <c r="Z47" s="0" t="n">
        <v>123007</v>
      </c>
      <c r="AA47" s="0" t="n">
        <f aca="false">IF(NOT(ISBLANK(Z47)), ROUND(Z47/60,0), "")</f>
        <v>2050</v>
      </c>
      <c r="AC47" s="0" t="s">
        <v>36</v>
      </c>
    </row>
    <row r="48" customFormat="false" ht="12.8" hidden="false" customHeight="false" outlineLevel="0" collapsed="false">
      <c r="A48" s="0" t="s">
        <v>36</v>
      </c>
      <c r="B48" s="0" t="n">
        <v>40</v>
      </c>
      <c r="D48" s="25" t="str">
        <f aca="false">IF(NOT(ISBLANK(C48)), ROUND(C48/60,0), "")</f>
        <v/>
      </c>
      <c r="E48" s="0" t="n">
        <v>96260</v>
      </c>
      <c r="F48" s="25" t="n">
        <f aca="false">IF(NOT(ISBLANK(E48)), ROUND(E48/60,0), "")</f>
        <v>1604</v>
      </c>
      <c r="G48" s="0" t="n">
        <v>92611</v>
      </c>
      <c r="H48" s="25" t="n">
        <f aca="false">IF(NOT(ISBLANK(G48)), ROUND(G48/60,0), "")</f>
        <v>1544</v>
      </c>
      <c r="I48" s="25"/>
      <c r="J48" s="25"/>
      <c r="L48" s="25" t="str">
        <f aca="false">IF(NOT(ISBLANK(K48)), ROUND(K48/60,0), "")</f>
        <v/>
      </c>
      <c r="M48" s="0" t="n">
        <v>90665</v>
      </c>
      <c r="N48" s="25" t="n">
        <f aca="false">IF(NOT(ISBLANK(M48)), ROUND(M48/60,0), "")</f>
        <v>1511</v>
      </c>
      <c r="O48" s="0" t="n">
        <v>95754</v>
      </c>
      <c r="P48" s="0" t="n">
        <f aca="false">IF(NOT(ISBLANK(O48)), ROUND(O48/60,0), "")</f>
        <v>1596</v>
      </c>
      <c r="R48" s="0" t="str">
        <f aca="false">IF(NOT(ISBLANK(Q48)), ROUND(Q48/60,0), "")</f>
        <v/>
      </c>
      <c r="S48" s="0" t="n">
        <v>96628</v>
      </c>
      <c r="T48" s="0" t="n">
        <f aca="false">IF(NOT(ISBLANK(S48)), ROUND(S48/60,0), "")</f>
        <v>1610</v>
      </c>
      <c r="U48" s="0" t="n">
        <v>95605</v>
      </c>
      <c r="V48" s="0" t="n">
        <f aca="false">IF(NOT(ISBLANK(U48)), ROUND(U48/60,0), "")</f>
        <v>1593</v>
      </c>
      <c r="W48" s="0" t="n">
        <v>63337</v>
      </c>
      <c r="X48" s="0" t="n">
        <f aca="false">IF(NOT(ISBLANK(W48)), ROUND(W48/60,0), "")</f>
        <v>1056</v>
      </c>
      <c r="Y48" s="26"/>
      <c r="AA48" s="0" t="str">
        <f aca="false">IF(NOT(ISBLANK(Z48)), ROUND(Z48/60,0), "")</f>
        <v/>
      </c>
      <c r="AC48" s="0" t="s">
        <v>36</v>
      </c>
    </row>
    <row r="49" customFormat="false" ht="12.8" hidden="false" customHeight="false" outlineLevel="0" collapsed="false">
      <c r="A49" s="0" t="s">
        <v>36</v>
      </c>
      <c r="B49" s="0" t="n">
        <v>50</v>
      </c>
      <c r="C49" s="0" t="n">
        <v>90432</v>
      </c>
      <c r="D49" s="25" t="n">
        <f aca="false">IF(NOT(ISBLANK(C49)), ROUND(C49/60,0), "")</f>
        <v>1507</v>
      </c>
      <c r="E49" s="0" t="n">
        <v>65829</v>
      </c>
      <c r="F49" s="25" t="n">
        <f aca="false">IF(NOT(ISBLANK(E49)), ROUND(E49/60,0), "")</f>
        <v>1097</v>
      </c>
      <c r="G49" s="0" t="n">
        <v>85645</v>
      </c>
      <c r="H49" s="25" t="n">
        <f aca="false">IF(NOT(ISBLANK(G49)), ROUND(G49/60,0), "")</f>
        <v>1427</v>
      </c>
      <c r="I49" s="25"/>
      <c r="J49" s="25"/>
      <c r="K49" s="0" t="n">
        <v>71891</v>
      </c>
      <c r="L49" s="25" t="n">
        <f aca="false">IF(NOT(ISBLANK(K49)), ROUND(K49/60,0), "")</f>
        <v>1198</v>
      </c>
      <c r="M49" s="0" t="n">
        <v>72407</v>
      </c>
      <c r="N49" s="25" t="n">
        <f aca="false">IF(NOT(ISBLANK(M49)), ROUND(M49/60,0), "")</f>
        <v>1207</v>
      </c>
      <c r="O49" s="0" t="n">
        <v>64576</v>
      </c>
      <c r="P49" s="0" t="n">
        <f aca="false">IF(NOT(ISBLANK(O49)), ROUND(O49/60,0), "")</f>
        <v>1076</v>
      </c>
      <c r="Q49" s="0" t="n">
        <v>86868</v>
      </c>
      <c r="R49" s="0" t="n">
        <f aca="false">IF(NOT(ISBLANK(Q49)), ROUND(Q49/60,0), "")</f>
        <v>1448</v>
      </c>
      <c r="S49" s="0" t="n">
        <v>74330</v>
      </c>
      <c r="T49" s="0" t="n">
        <f aca="false">IF(NOT(ISBLANK(S49)), ROUND(S49/60,0), "")</f>
        <v>1239</v>
      </c>
      <c r="U49" s="0" t="n">
        <v>75961</v>
      </c>
      <c r="V49" s="0" t="n">
        <f aca="false">IF(NOT(ISBLANK(U49)), ROUND(U49/60,0), "")</f>
        <v>1266</v>
      </c>
      <c r="W49" s="0" t="n">
        <v>56962</v>
      </c>
      <c r="X49" s="0" t="n">
        <f aca="false">IF(NOT(ISBLANK(W49)), ROUND(W49/60,0), "")</f>
        <v>949</v>
      </c>
      <c r="Y49" s="26"/>
      <c r="Z49" s="0" t="n">
        <v>71504</v>
      </c>
      <c r="AA49" s="0" t="n">
        <f aca="false">IF(NOT(ISBLANK(Z49)), ROUND(Z49/60,0), "")</f>
        <v>1192</v>
      </c>
      <c r="AC49" s="0" t="s">
        <v>36</v>
      </c>
    </row>
    <row r="50" customFormat="false" ht="12.8" hidden="false" customHeight="false" outlineLevel="0" collapsed="false">
      <c r="A50" s="0" t="s">
        <v>36</v>
      </c>
      <c r="B50" s="0" t="n">
        <v>64</v>
      </c>
      <c r="C50" s="0" t="n">
        <v>61545</v>
      </c>
      <c r="D50" s="25" t="n">
        <f aca="false">IF(NOT(ISBLANK(C50)), ROUND(C50/60,0), "")</f>
        <v>1026</v>
      </c>
      <c r="E50" s="0" t="n">
        <v>57503</v>
      </c>
      <c r="F50" s="25" t="n">
        <f aca="false">IF(NOT(ISBLANK(E50)), ROUND(E50/60,0), "")</f>
        <v>958</v>
      </c>
      <c r="G50" s="0" t="n">
        <v>63195</v>
      </c>
      <c r="H50" s="25" t="n">
        <f aca="false">IF(NOT(ISBLANK(G50)), ROUND(G50/60,0), "")</f>
        <v>1053</v>
      </c>
      <c r="I50" s="25"/>
      <c r="J50" s="25"/>
      <c r="K50" s="0" t="n">
        <v>58211</v>
      </c>
      <c r="L50" s="25" t="n">
        <f aca="false">IF(NOT(ISBLANK(K50)), ROUND(K50/60,0), "")</f>
        <v>970</v>
      </c>
      <c r="M50" s="0" t="n">
        <v>57920</v>
      </c>
      <c r="N50" s="25" t="n">
        <f aca="false">IF(NOT(ISBLANK(M50)), ROUND(M50/60,0), "")</f>
        <v>965</v>
      </c>
      <c r="O50" s="0" t="n">
        <v>58679</v>
      </c>
      <c r="P50" s="0" t="n">
        <f aca="false">IF(NOT(ISBLANK(O50)), ROUND(O50/60,0), "")</f>
        <v>978</v>
      </c>
      <c r="Q50" s="0" t="n">
        <v>55886</v>
      </c>
      <c r="R50" s="0" t="n">
        <f aca="false">IF(NOT(ISBLANK(Q50)), ROUND(Q50/60,0), "")</f>
        <v>931</v>
      </c>
      <c r="S50" s="0" t="n">
        <v>53569</v>
      </c>
      <c r="T50" s="0" t="n">
        <f aca="false">IF(NOT(ISBLANK(S50)), ROUND(S50/60,0), "")</f>
        <v>893</v>
      </c>
      <c r="U50" s="0" t="n">
        <v>57173</v>
      </c>
      <c r="V50" s="0" t="n">
        <f aca="false">IF(NOT(ISBLANK(U50)), ROUND(U50/60,0), "")</f>
        <v>953</v>
      </c>
      <c r="W50" s="0" t="n">
        <v>46890</v>
      </c>
      <c r="X50" s="0" t="n">
        <f aca="false">IF(NOT(ISBLANK(W50)), ROUND(W50/60,0), "")</f>
        <v>782</v>
      </c>
      <c r="Y50" s="26"/>
      <c r="Z50" s="0" t="n">
        <v>54722</v>
      </c>
      <c r="AA50" s="0" t="n">
        <f aca="false">IF(NOT(ISBLANK(Z50)), ROUND(Z50/60,0), "")</f>
        <v>912</v>
      </c>
      <c r="AC50" s="0" t="s">
        <v>36</v>
      </c>
    </row>
    <row r="51" customFormat="false" ht="12.8" hidden="false" customHeight="false" outlineLevel="0" collapsed="false">
      <c r="A51" s="0" t="s">
        <v>36</v>
      </c>
      <c r="B51" s="0" t="n">
        <v>82</v>
      </c>
      <c r="C51" s="0" t="n">
        <v>67654</v>
      </c>
      <c r="D51" s="25" t="n">
        <f aca="false">IF(NOT(ISBLANK(C51)), ROUND(C51/60,0), "")</f>
        <v>1128</v>
      </c>
      <c r="E51" s="0" t="n">
        <v>47007</v>
      </c>
      <c r="F51" s="25" t="n">
        <f aca="false">IF(NOT(ISBLANK(E51)), ROUND(E51/60,0), "")</f>
        <v>783</v>
      </c>
      <c r="G51" s="0" t="n">
        <v>47608</v>
      </c>
      <c r="H51" s="25" t="n">
        <f aca="false">IF(NOT(ISBLANK(G51)), ROUND(G51/60,0), "")</f>
        <v>793</v>
      </c>
      <c r="I51" s="25"/>
      <c r="J51" s="25"/>
      <c r="K51" s="0" t="n">
        <v>48588</v>
      </c>
      <c r="L51" s="25" t="n">
        <f aca="false">IF(NOT(ISBLANK(K51)), ROUND(K51/60,0), "")</f>
        <v>810</v>
      </c>
      <c r="M51" s="0" t="n">
        <v>75693</v>
      </c>
      <c r="N51" s="25" t="n">
        <f aca="false">IF(NOT(ISBLANK(M51)), ROUND(M51/60,0), "")</f>
        <v>1262</v>
      </c>
      <c r="O51" s="0" t="n">
        <v>50297</v>
      </c>
      <c r="P51" s="0" t="n">
        <f aca="false">IF(NOT(ISBLANK(O51)), ROUND(O51/60,0), "")</f>
        <v>838</v>
      </c>
      <c r="Q51" s="0" t="n">
        <v>47365</v>
      </c>
      <c r="R51" s="0" t="n">
        <f aca="false">IF(NOT(ISBLANK(Q51)), ROUND(Q51/60,0), "")</f>
        <v>789</v>
      </c>
      <c r="S51" s="0" t="n">
        <v>46217</v>
      </c>
      <c r="T51" s="0" t="n">
        <f aca="false">IF(NOT(ISBLANK(S51)), ROUND(S51/60,0), "")</f>
        <v>770</v>
      </c>
      <c r="U51" s="0" t="n">
        <v>49153</v>
      </c>
      <c r="V51" s="0" t="n">
        <f aca="false">IF(NOT(ISBLANK(U51)), ROUND(U51/60,0), "")</f>
        <v>819</v>
      </c>
      <c r="W51" s="0" t="n">
        <v>44138</v>
      </c>
      <c r="X51" s="0" t="n">
        <f aca="false">IF(NOT(ISBLANK(W51)), ROUND(W51/60,0), "")</f>
        <v>736</v>
      </c>
      <c r="Y51" s="26"/>
      <c r="Z51" s="0" t="n">
        <v>51353</v>
      </c>
      <c r="AA51" s="0" t="n">
        <f aca="false">IF(NOT(ISBLANK(Z51)), ROUND(Z51/60,0), "")</f>
        <v>856</v>
      </c>
      <c r="AC51" s="0" t="s">
        <v>36</v>
      </c>
    </row>
    <row r="52" customFormat="false" ht="12.8" hidden="false" customHeight="false" outlineLevel="0" collapsed="false">
      <c r="A52" s="0" t="s">
        <v>36</v>
      </c>
      <c r="B52" s="0" t="n">
        <v>100</v>
      </c>
      <c r="C52" s="0" t="n">
        <v>40525</v>
      </c>
      <c r="D52" s="25" t="n">
        <f aca="false">IF(NOT(ISBLANK(C52)), ROUND(C52/60,0), "")</f>
        <v>675</v>
      </c>
      <c r="E52" s="0" t="n">
        <v>44683</v>
      </c>
      <c r="F52" s="25" t="n">
        <f aca="false">IF(NOT(ISBLANK(E52)), ROUND(E52/60,0), "")</f>
        <v>745</v>
      </c>
      <c r="G52" s="0" t="n">
        <v>40807</v>
      </c>
      <c r="H52" s="25" t="n">
        <f aca="false">IF(NOT(ISBLANK(G52)), ROUND(G52/60,0), "")</f>
        <v>680</v>
      </c>
      <c r="I52" s="25"/>
      <c r="J52" s="25"/>
      <c r="K52" s="0" t="n">
        <v>41809</v>
      </c>
      <c r="L52" s="25" t="n">
        <f aca="false">IF(NOT(ISBLANK(K52)), ROUND(K52/60,0), "")</f>
        <v>697</v>
      </c>
      <c r="M52" s="0" t="n">
        <v>62879</v>
      </c>
      <c r="N52" s="25" t="n">
        <f aca="false">IF(NOT(ISBLANK(M52)), ROUND(M52/60,0), "")</f>
        <v>1048</v>
      </c>
      <c r="O52" s="0" t="n">
        <v>39828</v>
      </c>
      <c r="P52" s="0" t="n">
        <f aca="false">IF(NOT(ISBLANK(O52)), ROUND(O52/60,0), "")</f>
        <v>664</v>
      </c>
      <c r="Q52" s="0" t="n">
        <v>41149</v>
      </c>
      <c r="R52" s="0" t="n">
        <f aca="false">IF(NOT(ISBLANK(Q52)), ROUND(Q52/60,0), "")</f>
        <v>686</v>
      </c>
      <c r="S52" s="0" t="n">
        <v>40595</v>
      </c>
      <c r="T52" s="0" t="n">
        <f aca="false">IF(NOT(ISBLANK(S52)), ROUND(S52/60,0), "")</f>
        <v>677</v>
      </c>
      <c r="U52" s="0" t="n">
        <v>40345</v>
      </c>
      <c r="V52" s="0" t="n">
        <f aca="false">IF(NOT(ISBLANK(U52)), ROUND(U52/60,0), "")</f>
        <v>672</v>
      </c>
      <c r="X52" s="0" t="str">
        <f aca="false">IF(NOT(ISBLANK(W52)), ROUND(W52/60,0), "")</f>
        <v/>
      </c>
      <c r="Y52" s="26"/>
      <c r="Z52" s="0" t="n">
        <v>40319</v>
      </c>
      <c r="AA52" s="0" t="n">
        <f aca="false">IF(NOT(ISBLANK(Z52)), ROUND(Z52/60,0), "")</f>
        <v>672</v>
      </c>
      <c r="AC52" s="0" t="s">
        <v>36</v>
      </c>
    </row>
    <row r="53" customFormat="false" ht="12.8" hidden="false" customHeight="false" outlineLevel="0" collapsed="false">
      <c r="A53" s="0" t="s">
        <v>37</v>
      </c>
      <c r="B53" s="0" t="n">
        <v>5</v>
      </c>
      <c r="C53" s="0" t="n">
        <v>36510</v>
      </c>
      <c r="D53" s="25" t="n">
        <f aca="false">IF(NOT(ISBLANK(C53)), ROUND(C53/60,0), "")</f>
        <v>609</v>
      </c>
      <c r="F53" s="25" t="str">
        <f aca="false">IF(NOT(ISBLANK(E53)), ROUND(E53/60,0), "")</f>
        <v/>
      </c>
      <c r="H53" s="25" t="str">
        <f aca="false">IF(NOT(ISBLANK(G53)), ROUND(G53/60,0), "")</f>
        <v/>
      </c>
      <c r="I53" s="25"/>
      <c r="J53" s="25"/>
      <c r="L53" s="25" t="str">
        <f aca="false">IF(NOT(ISBLANK(K53)), ROUND(K53/60,0), "")</f>
        <v/>
      </c>
      <c r="N53" s="25" t="str">
        <f aca="false">IF(NOT(ISBLANK(M53)), ROUND(M53/60,0), "")</f>
        <v/>
      </c>
      <c r="P53" s="0" t="str">
        <f aca="false">IF(NOT(ISBLANK(O53)), ROUND(O53/60,0), "")</f>
        <v/>
      </c>
      <c r="R53" s="0" t="str">
        <f aca="false">IF(NOT(ISBLANK(Q53)), ROUND(Q53/60,0), "")</f>
        <v/>
      </c>
      <c r="T53" s="0" t="str">
        <f aca="false">IF(NOT(ISBLANK(S53)), ROUND(S53/60,0), "")</f>
        <v/>
      </c>
      <c r="V53" s="0" t="str">
        <f aca="false">IF(NOT(ISBLANK(U53)), ROUND(U53/60,0), "")</f>
        <v/>
      </c>
      <c r="X53" s="0" t="str">
        <f aca="false">IF(NOT(ISBLANK(W53)), ROUND(W53/60,0), "")</f>
        <v/>
      </c>
      <c r="Y53" s="26"/>
      <c r="AA53" s="0" t="str">
        <f aca="false">IF(NOT(ISBLANK(Z53)), ROUND(Z53/60,0), "")</f>
        <v/>
      </c>
      <c r="AC53" s="0" t="s">
        <v>37</v>
      </c>
    </row>
    <row r="54" customFormat="false" ht="12.8" hidden="false" customHeight="false" outlineLevel="0" collapsed="false">
      <c r="A54" s="0" t="s">
        <v>37</v>
      </c>
      <c r="B54" s="0" t="n">
        <v>10</v>
      </c>
      <c r="C54" s="0" t="n">
        <v>34197</v>
      </c>
      <c r="D54" s="25" t="n">
        <f aca="false">IF(NOT(ISBLANK(C54)), ROUND(C54/60,0), "")</f>
        <v>570</v>
      </c>
      <c r="E54" s="0" t="n">
        <v>50954</v>
      </c>
      <c r="F54" s="25" t="n">
        <f aca="false">IF(NOT(ISBLANK(E54)), ROUND(E54/60,0), "")</f>
        <v>849</v>
      </c>
      <c r="H54" s="25" t="str">
        <f aca="false">IF(NOT(ISBLANK(G54)), ROUND(G54/60,0), "")</f>
        <v/>
      </c>
      <c r="I54" s="25"/>
      <c r="J54" s="25"/>
      <c r="L54" s="25" t="str">
        <f aca="false">IF(NOT(ISBLANK(K54)), ROUND(K54/60,0), "")</f>
        <v/>
      </c>
      <c r="N54" s="25" t="str">
        <f aca="false">IF(NOT(ISBLANK(M54)), ROUND(M54/60,0), "")</f>
        <v/>
      </c>
      <c r="P54" s="0" t="str">
        <f aca="false">IF(NOT(ISBLANK(O54)), ROUND(O54/60,0), "")</f>
        <v/>
      </c>
      <c r="Q54" s="0" t="n">
        <v>48850</v>
      </c>
      <c r="R54" s="0" t="n">
        <f aca="false">IF(NOT(ISBLANK(Q54)), ROUND(Q54/60,0), "")</f>
        <v>814</v>
      </c>
      <c r="T54" s="0" t="str">
        <f aca="false">IF(NOT(ISBLANK(S54)), ROUND(S54/60,0), "")</f>
        <v/>
      </c>
      <c r="U54" s="0" t="n">
        <v>57542</v>
      </c>
      <c r="V54" s="0" t="n">
        <f aca="false">IF(NOT(ISBLANK(U54)), ROUND(U54/60,0), "")</f>
        <v>959</v>
      </c>
      <c r="W54" s="0" t="n">
        <v>35880</v>
      </c>
      <c r="X54" s="0" t="n">
        <f aca="false">IF(NOT(ISBLANK(W54)), ROUND(W54/60,0), "")</f>
        <v>598</v>
      </c>
      <c r="Y54" s="26"/>
      <c r="Z54" s="0" t="n">
        <v>46549</v>
      </c>
      <c r="AA54" s="0" t="n">
        <f aca="false">IF(NOT(ISBLANK(Z54)), ROUND(Z54/60,0), "")</f>
        <v>776</v>
      </c>
      <c r="AC54" s="0" t="s">
        <v>37</v>
      </c>
    </row>
    <row r="55" customFormat="false" ht="12.8" hidden="false" customHeight="false" outlineLevel="0" collapsed="false">
      <c r="A55" s="0" t="s">
        <v>37</v>
      </c>
      <c r="B55" s="0" t="n">
        <v>15</v>
      </c>
      <c r="C55" s="0" t="n">
        <v>23148</v>
      </c>
      <c r="D55" s="25" t="n">
        <f aca="false">IF(NOT(ISBLANK(C55)), ROUND(C55/60,0), "")</f>
        <v>386</v>
      </c>
      <c r="E55" s="0" t="n">
        <v>34170</v>
      </c>
      <c r="F55" s="25" t="n">
        <f aca="false">IF(NOT(ISBLANK(E55)), ROUND(E55/60,0), "")</f>
        <v>570</v>
      </c>
      <c r="G55" s="0" t="n">
        <v>28718</v>
      </c>
      <c r="H55" s="25" t="n">
        <f aca="false">IF(NOT(ISBLANK(G55)), ROUND(G55/60,0), "")</f>
        <v>479</v>
      </c>
      <c r="I55" s="25"/>
      <c r="J55" s="25"/>
      <c r="K55" s="0" t="n">
        <v>26269</v>
      </c>
      <c r="L55" s="25" t="n">
        <f aca="false">IF(NOT(ISBLANK(K55)), ROUND(K55/60,0), "")</f>
        <v>438</v>
      </c>
      <c r="M55" s="0" t="n">
        <v>32998</v>
      </c>
      <c r="N55" s="25" t="n">
        <f aca="false">IF(NOT(ISBLANK(M55)), ROUND(M55/60,0), "")</f>
        <v>550</v>
      </c>
      <c r="O55" s="0" t="n">
        <v>30931</v>
      </c>
      <c r="P55" s="0" t="n">
        <f aca="false">IF(NOT(ISBLANK(O55)), ROUND(O55/60,0), "")</f>
        <v>516</v>
      </c>
      <c r="Q55" s="0" t="n">
        <v>26024</v>
      </c>
      <c r="R55" s="0" t="n">
        <f aca="false">IF(NOT(ISBLANK(Q55)), ROUND(Q55/60,0), "")</f>
        <v>434</v>
      </c>
      <c r="S55" s="0" t="n">
        <v>36965</v>
      </c>
      <c r="T55" s="0" t="n">
        <f aca="false">IF(NOT(ISBLANK(S55)), ROUND(S55/60,0), "")</f>
        <v>616</v>
      </c>
      <c r="U55" s="0" t="n">
        <v>33562</v>
      </c>
      <c r="V55" s="0" t="n">
        <f aca="false">IF(NOT(ISBLANK(U55)), ROUND(U55/60,0), "")</f>
        <v>559</v>
      </c>
      <c r="W55" s="0" t="n">
        <v>30139</v>
      </c>
      <c r="X55" s="0" t="n">
        <f aca="false">IF(NOT(ISBLANK(W55)), ROUND(W55/60,0), "")</f>
        <v>502</v>
      </c>
      <c r="Y55" s="26"/>
      <c r="Z55" s="0" t="n">
        <v>40451</v>
      </c>
      <c r="AA55" s="0" t="n">
        <f aca="false">IF(NOT(ISBLANK(Z55)), ROUND(Z55/60,0), "")</f>
        <v>674</v>
      </c>
      <c r="AC55" s="0" t="s">
        <v>37</v>
      </c>
    </row>
    <row r="56" customFormat="false" ht="12.8" hidden="false" customHeight="false" outlineLevel="0" collapsed="false">
      <c r="A56" s="0" t="s">
        <v>37</v>
      </c>
      <c r="B56" s="0" t="n">
        <v>20</v>
      </c>
      <c r="C56" s="0" t="n">
        <v>20379</v>
      </c>
      <c r="D56" s="25" t="n">
        <f aca="false">IF(NOT(ISBLANK(C56)), ROUND(C56/60,0), "")</f>
        <v>340</v>
      </c>
      <c r="E56" s="0" t="n">
        <v>30689</v>
      </c>
      <c r="F56" s="25" t="n">
        <f aca="false">IF(NOT(ISBLANK(E56)), ROUND(E56/60,0), "")</f>
        <v>511</v>
      </c>
      <c r="G56" s="0" t="n">
        <v>26594</v>
      </c>
      <c r="H56" s="25" t="n">
        <f aca="false">IF(NOT(ISBLANK(G56)), ROUND(G56/60,0), "")</f>
        <v>443</v>
      </c>
      <c r="I56" s="25"/>
      <c r="J56" s="25"/>
      <c r="K56" s="0" t="n">
        <v>22332</v>
      </c>
      <c r="L56" s="25" t="n">
        <f aca="false">IF(NOT(ISBLANK(K56)), ROUND(K56/60,0), "")</f>
        <v>372</v>
      </c>
      <c r="M56" s="0" t="n">
        <v>34681</v>
      </c>
      <c r="N56" s="25" t="n">
        <f aca="false">IF(NOT(ISBLANK(M56)), ROUND(M56/60,0), "")</f>
        <v>578</v>
      </c>
      <c r="O56" s="0" t="n">
        <v>32019</v>
      </c>
      <c r="P56" s="0" t="n">
        <f aca="false">IF(NOT(ISBLANK(O56)), ROUND(O56/60,0), "")</f>
        <v>534</v>
      </c>
      <c r="Q56" s="0" t="n">
        <v>22331</v>
      </c>
      <c r="R56" s="0" t="n">
        <f aca="false">IF(NOT(ISBLANK(Q56)), ROUND(Q56/60,0), "")</f>
        <v>372</v>
      </c>
      <c r="S56" s="0" t="n">
        <v>38856</v>
      </c>
      <c r="T56" s="0" t="n">
        <f aca="false">IF(NOT(ISBLANK(S56)), ROUND(S56/60,0), "")</f>
        <v>648</v>
      </c>
      <c r="U56" s="0" t="n">
        <v>26755</v>
      </c>
      <c r="V56" s="0" t="n">
        <f aca="false">IF(NOT(ISBLANK(U56)), ROUND(U56/60,0), "")</f>
        <v>446</v>
      </c>
      <c r="W56" s="0" t="n">
        <v>19378</v>
      </c>
      <c r="X56" s="0" t="n">
        <f aca="false">IF(NOT(ISBLANK(W56)), ROUND(W56/60,0), "")</f>
        <v>323</v>
      </c>
      <c r="Y56" s="26"/>
      <c r="Z56" s="0" t="n">
        <v>25051</v>
      </c>
      <c r="AA56" s="0" t="n">
        <f aca="false">IF(NOT(ISBLANK(Z56)), ROUND(Z56/60,0), "")</f>
        <v>418</v>
      </c>
      <c r="AC56" s="0" t="s">
        <v>37</v>
      </c>
    </row>
    <row r="57" customFormat="false" ht="12.8" hidden="false" customHeight="false" outlineLevel="0" collapsed="false">
      <c r="A57" s="0" t="s">
        <v>37</v>
      </c>
      <c r="B57" s="0" t="n">
        <v>30</v>
      </c>
      <c r="C57" s="0" t="n">
        <v>16901</v>
      </c>
      <c r="D57" s="25" t="n">
        <f aca="false">IF(NOT(ISBLANK(C57)), ROUND(C57/60,0), "")</f>
        <v>282</v>
      </c>
      <c r="E57" s="0" t="n">
        <v>18684</v>
      </c>
      <c r="F57" s="25" t="n">
        <f aca="false">IF(NOT(ISBLANK(E57)), ROUND(E57/60,0), "")</f>
        <v>311</v>
      </c>
      <c r="G57" s="0" t="n">
        <v>22147</v>
      </c>
      <c r="H57" s="25" t="n">
        <f aca="false">IF(NOT(ISBLANK(G57)), ROUND(G57/60,0), "")</f>
        <v>369</v>
      </c>
      <c r="I57" s="25"/>
      <c r="J57" s="25"/>
      <c r="K57" s="0" t="n">
        <v>19369</v>
      </c>
      <c r="L57" s="25" t="n">
        <f aca="false">IF(NOT(ISBLANK(K57)), ROUND(K57/60,0), "")</f>
        <v>323</v>
      </c>
      <c r="M57" s="0" t="n">
        <v>20778</v>
      </c>
      <c r="N57" s="25" t="n">
        <f aca="false">IF(NOT(ISBLANK(M57)), ROUND(M57/60,0), "")</f>
        <v>346</v>
      </c>
      <c r="O57" s="0" t="n">
        <v>24824</v>
      </c>
      <c r="P57" s="0" t="n">
        <f aca="false">IF(NOT(ISBLANK(O57)), ROUND(O57/60,0), "")</f>
        <v>414</v>
      </c>
      <c r="Q57" s="0" t="n">
        <v>20897</v>
      </c>
      <c r="R57" s="0" t="n">
        <f aca="false">IF(NOT(ISBLANK(Q57)), ROUND(Q57/60,0), "")</f>
        <v>348</v>
      </c>
      <c r="S57" s="0" t="n">
        <v>21458</v>
      </c>
      <c r="T57" s="0" t="n">
        <f aca="false">IF(NOT(ISBLANK(S57)), ROUND(S57/60,0), "")</f>
        <v>358</v>
      </c>
      <c r="U57" s="0" t="n">
        <v>25723</v>
      </c>
      <c r="V57" s="0" t="n">
        <f aca="false">IF(NOT(ISBLANK(U57)), ROUND(U57/60,0), "")</f>
        <v>429</v>
      </c>
      <c r="W57" s="0" t="n">
        <v>16127</v>
      </c>
      <c r="X57" s="0" t="n">
        <f aca="false">IF(NOT(ISBLANK(W57)), ROUND(W57/60,0), "")</f>
        <v>269</v>
      </c>
      <c r="Y57" s="26"/>
      <c r="Z57" s="0" t="n">
        <v>20385</v>
      </c>
      <c r="AA57" s="0" t="n">
        <f aca="false">IF(NOT(ISBLANK(Z57)), ROUND(Z57/60,0), "")</f>
        <v>340</v>
      </c>
      <c r="AC57" s="0" t="s">
        <v>37</v>
      </c>
    </row>
    <row r="58" customFormat="false" ht="12.8" hidden="false" customHeight="false" outlineLevel="0" collapsed="false">
      <c r="A58" s="0" t="s">
        <v>37</v>
      </c>
      <c r="B58" s="0" t="n">
        <v>40</v>
      </c>
      <c r="C58" s="0" t="n">
        <v>13540</v>
      </c>
      <c r="D58" s="25" t="n">
        <f aca="false">IF(NOT(ISBLANK(C58)), ROUND(C58/60,0), "")</f>
        <v>226</v>
      </c>
      <c r="E58" s="0" t="n">
        <v>16107</v>
      </c>
      <c r="F58" s="25" t="n">
        <f aca="false">IF(NOT(ISBLANK(E58)), ROUND(E58/60,0), "")</f>
        <v>268</v>
      </c>
      <c r="G58" s="0" t="n">
        <v>15774</v>
      </c>
      <c r="H58" s="25" t="n">
        <f aca="false">IF(NOT(ISBLANK(G58)), ROUND(G58/60,0), "")</f>
        <v>263</v>
      </c>
      <c r="I58" s="25"/>
      <c r="J58" s="25"/>
      <c r="K58" s="0" t="n">
        <v>17009</v>
      </c>
      <c r="L58" s="25" t="n">
        <f aca="false">IF(NOT(ISBLANK(K58)), ROUND(K58/60,0), "")</f>
        <v>283</v>
      </c>
      <c r="M58" s="0" t="n">
        <v>16949</v>
      </c>
      <c r="N58" s="25" t="n">
        <f aca="false">IF(NOT(ISBLANK(M58)), ROUND(M58/60,0), "")</f>
        <v>282</v>
      </c>
      <c r="O58" s="0" t="n">
        <v>24593</v>
      </c>
      <c r="P58" s="0" t="n">
        <f aca="false">IF(NOT(ISBLANK(O58)), ROUND(O58/60,0), "")</f>
        <v>410</v>
      </c>
      <c r="Q58" s="0" t="n">
        <v>19760</v>
      </c>
      <c r="R58" s="0" t="n">
        <f aca="false">IF(NOT(ISBLANK(Q58)), ROUND(Q58/60,0), "")</f>
        <v>329</v>
      </c>
      <c r="S58" s="0" t="n">
        <v>14430</v>
      </c>
      <c r="T58" s="0" t="n">
        <f aca="false">IF(NOT(ISBLANK(S58)), ROUND(S58/60,0), "")</f>
        <v>241</v>
      </c>
      <c r="U58" s="0" t="n">
        <v>17737</v>
      </c>
      <c r="V58" s="0" t="n">
        <f aca="false">IF(NOT(ISBLANK(U58)), ROUND(U58/60,0), "")</f>
        <v>296</v>
      </c>
      <c r="W58" s="0" t="n">
        <v>14937</v>
      </c>
      <c r="X58" s="0" t="n">
        <f aca="false">IF(NOT(ISBLANK(W58)), ROUND(W58/60,0), "")</f>
        <v>249</v>
      </c>
      <c r="Y58" s="26"/>
      <c r="Z58" s="0" t="n">
        <v>21845</v>
      </c>
      <c r="AA58" s="0" t="n">
        <f aca="false">IF(NOT(ISBLANK(Z58)), ROUND(Z58/60,0), "")</f>
        <v>364</v>
      </c>
      <c r="AC58" s="0" t="s">
        <v>37</v>
      </c>
    </row>
    <row r="59" customFormat="false" ht="12.8" hidden="false" customHeight="false" outlineLevel="0" collapsed="false">
      <c r="A59" s="0" t="s">
        <v>37</v>
      </c>
      <c r="B59" s="0" t="n">
        <v>50</v>
      </c>
      <c r="C59" s="0" t="n">
        <v>11696</v>
      </c>
      <c r="D59" s="25" t="n">
        <f aca="false">IF(NOT(ISBLANK(C59)), ROUND(C59/60,0), "")</f>
        <v>195</v>
      </c>
      <c r="E59" s="0" t="n">
        <v>15136</v>
      </c>
      <c r="F59" s="25" t="n">
        <f aca="false">IF(NOT(ISBLANK(E59)), ROUND(E59/60,0), "")</f>
        <v>252</v>
      </c>
      <c r="G59" s="0" t="n">
        <v>14687</v>
      </c>
      <c r="H59" s="25" t="n">
        <f aca="false">IF(NOT(ISBLANK(G59)), ROUND(G59/60,0), "")</f>
        <v>245</v>
      </c>
      <c r="I59" s="25"/>
      <c r="J59" s="25"/>
      <c r="K59" s="0" t="n">
        <v>14967</v>
      </c>
      <c r="L59" s="25" t="n">
        <f aca="false">IF(NOT(ISBLANK(K59)), ROUND(K59/60,0), "")</f>
        <v>249</v>
      </c>
      <c r="M59" s="0" t="n">
        <v>20489</v>
      </c>
      <c r="N59" s="25" t="n">
        <f aca="false">IF(NOT(ISBLANK(M59)), ROUND(M59/60,0), "")</f>
        <v>341</v>
      </c>
      <c r="O59" s="0" t="n">
        <v>16349</v>
      </c>
      <c r="P59" s="0" t="n">
        <f aca="false">IF(NOT(ISBLANK(O59)), ROUND(O59/60,0), "")</f>
        <v>272</v>
      </c>
      <c r="Q59" s="0" t="n">
        <v>14442</v>
      </c>
      <c r="R59" s="0" t="n">
        <f aca="false">IF(NOT(ISBLANK(Q59)), ROUND(Q59/60,0), "")</f>
        <v>241</v>
      </c>
      <c r="S59" s="0" t="n">
        <v>14532</v>
      </c>
      <c r="T59" s="0" t="n">
        <f aca="false">IF(NOT(ISBLANK(S59)), ROUND(S59/60,0), "")</f>
        <v>242</v>
      </c>
      <c r="U59" s="0" t="n">
        <v>15386</v>
      </c>
      <c r="V59" s="0" t="n">
        <f aca="false">IF(NOT(ISBLANK(U59)), ROUND(U59/60,0), "")</f>
        <v>256</v>
      </c>
      <c r="W59" s="0" t="n">
        <v>12910</v>
      </c>
      <c r="X59" s="0" t="n">
        <f aca="false">IF(NOT(ISBLANK(W59)), ROUND(W59/60,0), "")</f>
        <v>215</v>
      </c>
      <c r="Y59" s="26"/>
      <c r="Z59" s="0" t="n">
        <v>15172</v>
      </c>
      <c r="AA59" s="0" t="n">
        <f aca="false">IF(NOT(ISBLANK(Z59)), ROUND(Z59/60,0), "")</f>
        <v>253</v>
      </c>
      <c r="AC59" s="0" t="s">
        <v>37</v>
      </c>
    </row>
    <row r="60" customFormat="false" ht="12.8" hidden="false" customHeight="false" outlineLevel="0" collapsed="false">
      <c r="A60" s="0" t="s">
        <v>37</v>
      </c>
      <c r="B60" s="0" t="n">
        <v>64</v>
      </c>
      <c r="C60" s="0" t="n">
        <v>36510</v>
      </c>
      <c r="D60" s="25" t="n">
        <f aca="false">IF(NOT(ISBLANK(C60)), ROUND(C60/60,0), "")</f>
        <v>609</v>
      </c>
      <c r="E60" s="0" t="n">
        <v>19337</v>
      </c>
      <c r="F60" s="25" t="n">
        <f aca="false">IF(NOT(ISBLANK(E60)), ROUND(E60/60,0), "")</f>
        <v>322</v>
      </c>
      <c r="G60" s="0" t="n">
        <v>11391</v>
      </c>
      <c r="H60" s="25" t="n">
        <f aca="false">IF(NOT(ISBLANK(G60)), ROUND(G60/60,0), "")</f>
        <v>190</v>
      </c>
      <c r="I60" s="25"/>
      <c r="J60" s="25"/>
      <c r="K60" s="0" t="n">
        <v>11926</v>
      </c>
      <c r="L60" s="25" t="n">
        <f aca="false">IF(NOT(ISBLANK(K60)), ROUND(K60/60,0), "")</f>
        <v>199</v>
      </c>
      <c r="M60" s="0" t="n">
        <v>13426</v>
      </c>
      <c r="N60" s="25" t="n">
        <f aca="false">IF(NOT(ISBLANK(M60)), ROUND(M60/60,0), "")</f>
        <v>224</v>
      </c>
      <c r="O60" s="0" t="n">
        <v>11283</v>
      </c>
      <c r="P60" s="0" t="n">
        <f aca="false">IF(NOT(ISBLANK(O60)), ROUND(O60/60,0), "")</f>
        <v>188</v>
      </c>
      <c r="Q60" s="0" t="n">
        <v>12700</v>
      </c>
      <c r="R60" s="0" t="n">
        <f aca="false">IF(NOT(ISBLANK(Q60)), ROUND(Q60/60,0), "")</f>
        <v>212</v>
      </c>
      <c r="S60" s="0" t="n">
        <v>11447</v>
      </c>
      <c r="T60" s="0" t="n">
        <f aca="false">IF(NOT(ISBLANK(S60)), ROUND(S60/60,0), "")</f>
        <v>191</v>
      </c>
      <c r="U60" s="0" t="n">
        <v>13222</v>
      </c>
      <c r="V60" s="0" t="n">
        <f aca="false">IF(NOT(ISBLANK(U60)), ROUND(U60/60,0), "")</f>
        <v>220</v>
      </c>
      <c r="W60" s="0" t="n">
        <v>12151</v>
      </c>
      <c r="X60" s="0" t="n">
        <f aca="false">IF(NOT(ISBLANK(W60)), ROUND(W60/60,0), "")</f>
        <v>203</v>
      </c>
      <c r="Y60" s="26"/>
      <c r="Z60" s="0" t="n">
        <v>13967</v>
      </c>
      <c r="AA60" s="0" t="n">
        <f aca="false">IF(NOT(ISBLANK(Z60)), ROUND(Z60/60,0), "")</f>
        <v>233</v>
      </c>
      <c r="AC60" s="0" t="s">
        <v>37</v>
      </c>
    </row>
    <row r="61" customFormat="false" ht="12.8" hidden="false" customHeight="false" outlineLevel="0" collapsed="false">
      <c r="A61" s="0" t="s">
        <v>37</v>
      </c>
      <c r="B61" s="0" t="n">
        <v>82</v>
      </c>
      <c r="C61" s="0" t="n">
        <v>34197</v>
      </c>
      <c r="D61" s="25" t="n">
        <f aca="false">IF(NOT(ISBLANK(C61)), ROUND(C61/60,0), "")</f>
        <v>570</v>
      </c>
      <c r="E61" s="0" t="n">
        <v>12131</v>
      </c>
      <c r="F61" s="25" t="n">
        <f aca="false">IF(NOT(ISBLANK(E61)), ROUND(E61/60,0), "")</f>
        <v>202</v>
      </c>
      <c r="G61" s="0" t="n">
        <v>10545</v>
      </c>
      <c r="H61" s="25" t="n">
        <f aca="false">IF(NOT(ISBLANK(G61)), ROUND(G61/60,0), "")</f>
        <v>176</v>
      </c>
      <c r="I61" s="25"/>
      <c r="J61" s="25"/>
      <c r="K61" s="0" t="n">
        <v>11286</v>
      </c>
      <c r="L61" s="25" t="n">
        <f aca="false">IF(NOT(ISBLANK(K61)), ROUND(K61/60,0), "")</f>
        <v>188</v>
      </c>
      <c r="M61" s="0" t="n">
        <v>11303</v>
      </c>
      <c r="N61" s="25" t="n">
        <f aca="false">IF(NOT(ISBLANK(M61)), ROUND(M61/60,0), "")</f>
        <v>188</v>
      </c>
      <c r="O61" s="0" t="n">
        <v>11241</v>
      </c>
      <c r="P61" s="0" t="n">
        <f aca="false">IF(NOT(ISBLANK(O61)), ROUND(O61/60,0), "")</f>
        <v>187</v>
      </c>
      <c r="Q61" s="0" t="n">
        <v>10647</v>
      </c>
      <c r="R61" s="0" t="n">
        <f aca="false">IF(NOT(ISBLANK(Q61)), ROUND(Q61/60,0), "")</f>
        <v>177</v>
      </c>
      <c r="S61" s="0" t="n">
        <v>10070</v>
      </c>
      <c r="T61" s="0" t="n">
        <f aca="false">IF(NOT(ISBLANK(S61)), ROUND(S61/60,0), "")</f>
        <v>168</v>
      </c>
      <c r="U61" s="0" t="n">
        <v>11370</v>
      </c>
      <c r="V61" s="0" t="n">
        <f aca="false">IF(NOT(ISBLANK(U61)), ROUND(U61/60,0), "")</f>
        <v>190</v>
      </c>
      <c r="W61" s="0" t="n">
        <v>10196</v>
      </c>
      <c r="X61" s="0" t="n">
        <f aca="false">IF(NOT(ISBLANK(W61)), ROUND(W61/60,0), "")</f>
        <v>170</v>
      </c>
      <c r="Y61" s="26"/>
      <c r="Z61" s="0" t="n">
        <v>9877</v>
      </c>
      <c r="AA61" s="0" t="n">
        <f aca="false">IF(NOT(ISBLANK(Z61)), ROUND(Z61/60,0), "")</f>
        <v>165</v>
      </c>
      <c r="AC61" s="0" t="s">
        <v>37</v>
      </c>
    </row>
    <row r="62" customFormat="false" ht="12.8" hidden="false" customHeight="false" outlineLevel="0" collapsed="false">
      <c r="A62" s="0" t="s">
        <v>37</v>
      </c>
      <c r="B62" s="0" t="n">
        <v>100</v>
      </c>
      <c r="C62" s="0" t="n">
        <v>23148</v>
      </c>
      <c r="D62" s="25" t="n">
        <f aca="false">IF(NOT(ISBLANK(C62)), ROUND(C62/60,0), "")</f>
        <v>386</v>
      </c>
      <c r="E62" s="0" t="n">
        <v>8931</v>
      </c>
      <c r="F62" s="25" t="n">
        <f aca="false">IF(NOT(ISBLANK(E62)), ROUND(E62/60,0), "")</f>
        <v>149</v>
      </c>
      <c r="G62" s="0" t="n">
        <v>10075</v>
      </c>
      <c r="H62" s="25" t="n">
        <f aca="false">IF(NOT(ISBLANK(G62)), ROUND(G62/60,0), "")</f>
        <v>168</v>
      </c>
      <c r="I62" s="25"/>
      <c r="J62" s="25"/>
      <c r="K62" s="0" t="n">
        <v>10348</v>
      </c>
      <c r="L62" s="25" t="n">
        <f aca="false">IF(NOT(ISBLANK(K62)), ROUND(K62/60,0), "")</f>
        <v>172</v>
      </c>
      <c r="M62" s="0" t="n">
        <v>10225</v>
      </c>
      <c r="N62" s="25" t="n">
        <f aca="false">IF(NOT(ISBLANK(M62)), ROUND(M62/60,0), "")</f>
        <v>170</v>
      </c>
      <c r="O62" s="0" t="n">
        <v>10351</v>
      </c>
      <c r="P62" s="0" t="n">
        <f aca="false">IF(NOT(ISBLANK(O62)), ROUND(O62/60,0), "")</f>
        <v>173</v>
      </c>
      <c r="Q62" s="0" t="n">
        <v>9922</v>
      </c>
      <c r="R62" s="0" t="n">
        <f aca="false">IF(NOT(ISBLANK(Q62)), ROUND(Q62/60,0), "")</f>
        <v>165</v>
      </c>
      <c r="S62" s="0" t="n">
        <v>9241</v>
      </c>
      <c r="T62" s="0" t="n">
        <f aca="false">IF(NOT(ISBLANK(S62)), ROUND(S62/60,0), "")</f>
        <v>154</v>
      </c>
      <c r="U62" s="0" t="n">
        <v>9942</v>
      </c>
      <c r="V62" s="0" t="n">
        <f aca="false">IF(NOT(ISBLANK(U62)), ROUND(U62/60,0), "")</f>
        <v>166</v>
      </c>
      <c r="W62" s="0" t="n">
        <v>30261</v>
      </c>
      <c r="X62" s="0" t="n">
        <f aca="false">IF(NOT(ISBLANK(W62)), ROUND(W62/60,0), "")</f>
        <v>504</v>
      </c>
      <c r="Y62" s="26"/>
      <c r="Z62" s="0" t="n">
        <v>9738</v>
      </c>
      <c r="AA62" s="0" t="n">
        <f aca="false">IF(NOT(ISBLANK(Z62)), ROUND(Z62/60,0), "")</f>
        <v>162</v>
      </c>
      <c r="AC62" s="0" t="s">
        <v>37</v>
      </c>
    </row>
    <row r="63" customFormat="false" ht="12.8" hidden="false" customHeight="false" outlineLevel="0" collapsed="false">
      <c r="A63" s="0" t="s">
        <v>38</v>
      </c>
      <c r="B63" s="0" t="n">
        <v>5</v>
      </c>
      <c r="C63" s="0" t="n">
        <v>25685</v>
      </c>
      <c r="D63" s="25" t="n">
        <f aca="false">IF(NOT(ISBLANK(C63)), ROUND(C63/60,0), "")</f>
        <v>428</v>
      </c>
      <c r="E63" s="0" t="n">
        <v>28983</v>
      </c>
      <c r="F63" s="25" t="n">
        <f aca="false">IF(NOT(ISBLANK(E63)), ROUND(E63/60,0), "")</f>
        <v>483</v>
      </c>
      <c r="G63" s="0" t="n">
        <v>25455</v>
      </c>
      <c r="H63" s="25" t="n">
        <f aca="false">IF(NOT(ISBLANK(G63)), ROUND(G63/60,0), "")</f>
        <v>424</v>
      </c>
      <c r="I63" s="25"/>
      <c r="J63" s="25"/>
      <c r="K63" s="0" t="n">
        <v>60357</v>
      </c>
      <c r="L63" s="25" t="n">
        <f aca="false">IF(NOT(ISBLANK(K63)), ROUND(K63/60,0), "")</f>
        <v>1006</v>
      </c>
      <c r="M63" s="0" t="n">
        <v>26585</v>
      </c>
      <c r="N63" s="25" t="n">
        <f aca="false">IF(NOT(ISBLANK(M63)), ROUND(M63/60,0), "")</f>
        <v>443</v>
      </c>
      <c r="O63" s="0" t="n">
        <v>34540</v>
      </c>
      <c r="P63" s="0" t="n">
        <f aca="false">IF(NOT(ISBLANK(O63)), ROUND(O63/60,0), "")</f>
        <v>576</v>
      </c>
      <c r="Q63" s="0" t="n">
        <v>32442</v>
      </c>
      <c r="R63" s="0" t="n">
        <f aca="false">IF(NOT(ISBLANK(Q63)), ROUND(Q63/60,0), "")</f>
        <v>541</v>
      </c>
      <c r="T63" s="0" t="str">
        <f aca="false">IF(NOT(ISBLANK(S63)), ROUND(S63/60,0), "")</f>
        <v/>
      </c>
      <c r="U63" s="0" t="n">
        <v>31342</v>
      </c>
      <c r="V63" s="0" t="n">
        <f aca="false">IF(NOT(ISBLANK(U63)), ROUND(U63/60,0), "")</f>
        <v>522</v>
      </c>
      <c r="W63" s="0" t="n">
        <v>15475</v>
      </c>
      <c r="X63" s="0" t="n">
        <f aca="false">IF(NOT(ISBLANK(W63)), ROUND(W63/60,0), "")</f>
        <v>258</v>
      </c>
      <c r="Y63" s="26"/>
      <c r="Z63" s="0" t="n">
        <v>25857</v>
      </c>
      <c r="AA63" s="0" t="n">
        <f aca="false">IF(NOT(ISBLANK(Z63)), ROUND(Z63/60,0), "")</f>
        <v>431</v>
      </c>
      <c r="AC63" s="0" t="s">
        <v>38</v>
      </c>
    </row>
    <row r="64" customFormat="false" ht="12.8" hidden="false" customHeight="false" outlineLevel="0" collapsed="false">
      <c r="A64" s="0" t="s">
        <v>38</v>
      </c>
      <c r="B64" s="0" t="n">
        <v>10</v>
      </c>
      <c r="C64" s="0" t="n">
        <v>19132</v>
      </c>
      <c r="D64" s="25" t="n">
        <f aca="false">IF(NOT(ISBLANK(C64)), ROUND(C64/60,0), "")</f>
        <v>319</v>
      </c>
      <c r="E64" s="0" t="n">
        <v>14839</v>
      </c>
      <c r="F64" s="25" t="n">
        <f aca="false">IF(NOT(ISBLANK(E64)), ROUND(E64/60,0), "")</f>
        <v>247</v>
      </c>
      <c r="G64" s="0" t="n">
        <v>16653</v>
      </c>
      <c r="H64" s="25" t="n">
        <f aca="false">IF(NOT(ISBLANK(G64)), ROUND(G64/60,0), "")</f>
        <v>278</v>
      </c>
      <c r="I64" s="25"/>
      <c r="J64" s="25"/>
      <c r="K64" s="0" t="n">
        <v>13674</v>
      </c>
      <c r="L64" s="25" t="n">
        <f aca="false">IF(NOT(ISBLANK(K64)), ROUND(K64/60,0), "")</f>
        <v>228</v>
      </c>
      <c r="M64" s="0" t="n">
        <v>15403</v>
      </c>
      <c r="N64" s="25" t="n">
        <f aca="false">IF(NOT(ISBLANK(M64)), ROUND(M64/60,0), "")</f>
        <v>257</v>
      </c>
      <c r="O64" s="0" t="n">
        <v>15506</v>
      </c>
      <c r="P64" s="0" t="n">
        <f aca="false">IF(NOT(ISBLANK(O64)), ROUND(O64/60,0), "")</f>
        <v>258</v>
      </c>
      <c r="Q64" s="0" t="n">
        <v>13779</v>
      </c>
      <c r="R64" s="0" t="n">
        <f aca="false">IF(NOT(ISBLANK(Q64)), ROUND(Q64/60,0), "")</f>
        <v>230</v>
      </c>
      <c r="S64" s="0" t="n">
        <v>15109</v>
      </c>
      <c r="T64" s="0" t="n">
        <f aca="false">IF(NOT(ISBLANK(S64)), ROUND(S64/60,0), "")</f>
        <v>252</v>
      </c>
      <c r="U64" s="0" t="n">
        <v>19126</v>
      </c>
      <c r="V64" s="0" t="n">
        <f aca="false">IF(NOT(ISBLANK(U64)), ROUND(U64/60,0), "")</f>
        <v>319</v>
      </c>
      <c r="W64" s="0" t="n">
        <v>11393</v>
      </c>
      <c r="X64" s="0" t="n">
        <f aca="false">IF(NOT(ISBLANK(W64)), ROUND(W64/60,0), "")</f>
        <v>190</v>
      </c>
      <c r="Y64" s="26"/>
      <c r="Z64" s="0" t="n">
        <v>15109</v>
      </c>
      <c r="AA64" s="0" t="n">
        <f aca="false">IF(NOT(ISBLANK(Z64)), ROUND(Z64/60,0), "")</f>
        <v>252</v>
      </c>
      <c r="AC64" s="0" t="s">
        <v>38</v>
      </c>
    </row>
    <row r="65" customFormat="false" ht="12.8" hidden="false" customHeight="false" outlineLevel="0" collapsed="false">
      <c r="A65" s="0" t="s">
        <v>38</v>
      </c>
      <c r="B65" s="0" t="n">
        <v>15</v>
      </c>
      <c r="C65" s="0" t="n">
        <v>15677</v>
      </c>
      <c r="D65" s="25" t="n">
        <f aca="false">IF(NOT(ISBLANK(C65)), ROUND(C65/60,0), "")</f>
        <v>261</v>
      </c>
      <c r="E65" s="0" t="n">
        <v>10019</v>
      </c>
      <c r="F65" s="25" t="n">
        <f aca="false">IF(NOT(ISBLANK(E65)), ROUND(E65/60,0), "")</f>
        <v>167</v>
      </c>
      <c r="G65" s="0" t="n">
        <v>12955</v>
      </c>
      <c r="H65" s="25" t="n">
        <f aca="false">IF(NOT(ISBLANK(G65)), ROUND(G65/60,0), "")</f>
        <v>216</v>
      </c>
      <c r="I65" s="25"/>
      <c r="J65" s="25"/>
      <c r="K65" s="0" t="n">
        <v>10856</v>
      </c>
      <c r="L65" s="25" t="n">
        <f aca="false">IF(NOT(ISBLANK(K65)), ROUND(K65/60,0), "")</f>
        <v>181</v>
      </c>
      <c r="M65" s="0" t="n">
        <v>10232</v>
      </c>
      <c r="N65" s="25" t="n">
        <f aca="false">IF(NOT(ISBLANK(M65)), ROUND(M65/60,0), "")</f>
        <v>171</v>
      </c>
      <c r="O65" s="0" t="n">
        <v>9647</v>
      </c>
      <c r="P65" s="0" t="n">
        <f aca="false">IF(NOT(ISBLANK(O65)), ROUND(O65/60,0), "")</f>
        <v>161</v>
      </c>
      <c r="Q65" s="0" t="n">
        <v>9838</v>
      </c>
      <c r="R65" s="0" t="n">
        <f aca="false">IF(NOT(ISBLANK(Q65)), ROUND(Q65/60,0), "")</f>
        <v>164</v>
      </c>
      <c r="S65" s="0" t="n">
        <v>11233</v>
      </c>
      <c r="T65" s="0" t="n">
        <f aca="false">IF(NOT(ISBLANK(S65)), ROUND(S65/60,0), "")</f>
        <v>187</v>
      </c>
      <c r="U65" s="0" t="n">
        <v>11167</v>
      </c>
      <c r="V65" s="0" t="n">
        <f aca="false">IF(NOT(ISBLANK(U65)), ROUND(U65/60,0), "")</f>
        <v>186</v>
      </c>
      <c r="W65" s="0" t="n">
        <v>9437</v>
      </c>
      <c r="X65" s="0" t="n">
        <f aca="false">IF(NOT(ISBLANK(W65)), ROUND(W65/60,0), "")</f>
        <v>157</v>
      </c>
      <c r="Y65" s="26"/>
      <c r="Z65" s="0" t="n">
        <v>11233</v>
      </c>
      <c r="AA65" s="0" t="n">
        <f aca="false">IF(NOT(ISBLANK(Z65)), ROUND(Z65/60,0), "")</f>
        <v>187</v>
      </c>
      <c r="AC65" s="0" t="s">
        <v>38</v>
      </c>
    </row>
    <row r="66" customFormat="false" ht="12.8" hidden="false" customHeight="false" outlineLevel="0" collapsed="false">
      <c r="A66" s="0" t="s">
        <v>38</v>
      </c>
      <c r="B66" s="0" t="n">
        <v>20</v>
      </c>
      <c r="C66" s="0" t="n">
        <v>8406</v>
      </c>
      <c r="D66" s="25" t="n">
        <f aca="false">IF(NOT(ISBLANK(C66)), ROUND(C66/60,0), "")</f>
        <v>140</v>
      </c>
      <c r="E66" s="0" t="n">
        <v>8787</v>
      </c>
      <c r="F66" s="25" t="n">
        <f aca="false">IF(NOT(ISBLANK(E66)), ROUND(E66/60,0), "")</f>
        <v>146</v>
      </c>
      <c r="G66" s="0" t="n">
        <v>9234</v>
      </c>
      <c r="H66" s="25" t="n">
        <f aca="false">IF(NOT(ISBLANK(G66)), ROUND(G66/60,0), "")</f>
        <v>154</v>
      </c>
      <c r="I66" s="25"/>
      <c r="J66" s="25"/>
      <c r="K66" s="0" t="n">
        <v>10710</v>
      </c>
      <c r="L66" s="25" t="n">
        <f aca="false">IF(NOT(ISBLANK(K66)), ROUND(K66/60,0), "")</f>
        <v>179</v>
      </c>
      <c r="M66" s="0" t="n">
        <v>8336</v>
      </c>
      <c r="N66" s="25" t="n">
        <f aca="false">IF(NOT(ISBLANK(M66)), ROUND(M66/60,0), "")</f>
        <v>139</v>
      </c>
      <c r="O66" s="0" t="n">
        <v>10327</v>
      </c>
      <c r="P66" s="0" t="n">
        <f aca="false">IF(NOT(ISBLANK(O66)), ROUND(O66/60,0), "")</f>
        <v>172</v>
      </c>
      <c r="Q66" s="0" t="n">
        <v>8314</v>
      </c>
      <c r="R66" s="0" t="n">
        <f aca="false">IF(NOT(ISBLANK(Q66)), ROUND(Q66/60,0), "")</f>
        <v>139</v>
      </c>
      <c r="S66" s="0" t="n">
        <v>7818</v>
      </c>
      <c r="T66" s="0" t="n">
        <f aca="false">IF(NOT(ISBLANK(S66)), ROUND(S66/60,0), "")</f>
        <v>130</v>
      </c>
      <c r="U66" s="0" t="n">
        <v>8802</v>
      </c>
      <c r="V66" s="0" t="n">
        <f aca="false">IF(NOT(ISBLANK(U66)), ROUND(U66/60,0), "")</f>
        <v>147</v>
      </c>
      <c r="W66" s="0" t="n">
        <v>5955</v>
      </c>
      <c r="X66" s="0" t="n">
        <f aca="false">IF(NOT(ISBLANK(W66)), ROUND(W66/60,0), "")</f>
        <v>99</v>
      </c>
      <c r="Y66" s="26"/>
      <c r="Z66" s="0" t="n">
        <v>7818</v>
      </c>
      <c r="AA66" s="0" t="n">
        <f aca="false">IF(NOT(ISBLANK(Z66)), ROUND(Z66/60,0), "")</f>
        <v>130</v>
      </c>
      <c r="AC66" s="0" t="s">
        <v>38</v>
      </c>
    </row>
    <row r="67" customFormat="false" ht="12.8" hidden="false" customHeight="false" outlineLevel="0" collapsed="false">
      <c r="A67" s="0" t="s">
        <v>38</v>
      </c>
      <c r="B67" s="0" t="n">
        <v>30</v>
      </c>
      <c r="C67" s="0" t="n">
        <v>6087</v>
      </c>
      <c r="D67" s="25" t="n">
        <f aca="false">IF(NOT(ISBLANK(C67)), ROUND(C67/60,0), "")</f>
        <v>101</v>
      </c>
      <c r="E67" s="0" t="n">
        <v>5615</v>
      </c>
      <c r="F67" s="25" t="n">
        <f aca="false">IF(NOT(ISBLANK(E67)), ROUND(E67/60,0), "")</f>
        <v>94</v>
      </c>
      <c r="G67" s="0" t="n">
        <v>6362</v>
      </c>
      <c r="H67" s="25" t="n">
        <f aca="false">IF(NOT(ISBLANK(G67)), ROUND(G67/60,0), "")</f>
        <v>106</v>
      </c>
      <c r="I67" s="25"/>
      <c r="J67" s="25"/>
      <c r="K67" s="0" t="n">
        <v>6265</v>
      </c>
      <c r="L67" s="25" t="n">
        <f aca="false">IF(NOT(ISBLANK(K67)), ROUND(K67/60,0), "")</f>
        <v>104</v>
      </c>
      <c r="M67" s="0" t="n">
        <v>7368</v>
      </c>
      <c r="N67" s="25" t="n">
        <f aca="false">IF(NOT(ISBLANK(M67)), ROUND(M67/60,0), "")</f>
        <v>123</v>
      </c>
      <c r="O67" s="0" t="n">
        <v>6902</v>
      </c>
      <c r="P67" s="0" t="n">
        <f aca="false">IF(NOT(ISBLANK(O67)), ROUND(O67/60,0), "")</f>
        <v>115</v>
      </c>
      <c r="Q67" s="0" t="n">
        <v>6145</v>
      </c>
      <c r="R67" s="0" t="n">
        <f aca="false">IF(NOT(ISBLANK(Q67)), ROUND(Q67/60,0), "")</f>
        <v>102</v>
      </c>
      <c r="S67" s="0" t="n">
        <v>5866</v>
      </c>
      <c r="T67" s="0" t="n">
        <f aca="false">IF(NOT(ISBLANK(S67)), ROUND(S67/60,0), "")</f>
        <v>98</v>
      </c>
      <c r="U67" s="0" t="n">
        <v>6148</v>
      </c>
      <c r="V67" s="0" t="n">
        <f aca="false">IF(NOT(ISBLANK(U67)), ROUND(U67/60,0), "")</f>
        <v>102</v>
      </c>
      <c r="W67" s="0" t="n">
        <v>5389</v>
      </c>
      <c r="X67" s="0" t="n">
        <f aca="false">IF(NOT(ISBLANK(W67)), ROUND(W67/60,0), "")</f>
        <v>90</v>
      </c>
      <c r="Y67" s="26"/>
      <c r="Z67" s="0" t="n">
        <v>5756</v>
      </c>
      <c r="AA67" s="0" t="n">
        <f aca="false">IF(NOT(ISBLANK(Z67)), ROUND(Z67/60,0), "")</f>
        <v>96</v>
      </c>
      <c r="AC67" s="0" t="s">
        <v>38</v>
      </c>
    </row>
    <row r="68" customFormat="false" ht="12.8" hidden="false" customHeight="false" outlineLevel="0" collapsed="false">
      <c r="A68" s="0" t="s">
        <v>38</v>
      </c>
      <c r="B68" s="0" t="n">
        <v>40</v>
      </c>
      <c r="C68" s="0" t="n">
        <v>5134</v>
      </c>
      <c r="D68" s="25" t="n">
        <f aca="false">IF(NOT(ISBLANK(C68)), ROUND(C68/60,0), "")</f>
        <v>86</v>
      </c>
      <c r="E68" s="0" t="n">
        <v>4768</v>
      </c>
      <c r="F68" s="25" t="n">
        <f aca="false">IF(NOT(ISBLANK(E68)), ROUND(E68/60,0), "")</f>
        <v>79</v>
      </c>
      <c r="G68" s="0" t="n">
        <v>5021</v>
      </c>
      <c r="H68" s="25" t="n">
        <f aca="false">IF(NOT(ISBLANK(G68)), ROUND(G68/60,0), "")</f>
        <v>84</v>
      </c>
      <c r="I68" s="25"/>
      <c r="J68" s="25"/>
      <c r="K68" s="0" t="n">
        <v>5142</v>
      </c>
      <c r="L68" s="25" t="n">
        <f aca="false">IF(NOT(ISBLANK(K68)), ROUND(K68/60,0), "")</f>
        <v>86</v>
      </c>
      <c r="M68" s="0" t="n">
        <v>4480</v>
      </c>
      <c r="N68" s="25" t="n">
        <f aca="false">IF(NOT(ISBLANK(M68)), ROUND(M68/60,0), "")</f>
        <v>75</v>
      </c>
      <c r="O68" s="0" t="n">
        <v>5339</v>
      </c>
      <c r="P68" s="0" t="n">
        <f aca="false">IF(NOT(ISBLANK(O68)), ROUND(O68/60,0), "")</f>
        <v>89</v>
      </c>
      <c r="Q68" s="0" t="n">
        <v>5724</v>
      </c>
      <c r="R68" s="0" t="n">
        <f aca="false">IF(NOT(ISBLANK(Q68)), ROUND(Q68/60,0), "")</f>
        <v>95</v>
      </c>
      <c r="S68" s="0" t="n">
        <v>6321</v>
      </c>
      <c r="T68" s="0" t="n">
        <f aca="false">IF(NOT(ISBLANK(S68)), ROUND(S68/60,0), "")</f>
        <v>105</v>
      </c>
      <c r="U68" s="0" t="n">
        <v>4696</v>
      </c>
      <c r="V68" s="0" t="n">
        <f aca="false">IF(NOT(ISBLANK(U68)), ROUND(U68/60,0), "")</f>
        <v>78</v>
      </c>
      <c r="W68" s="0" t="n">
        <v>4612</v>
      </c>
      <c r="X68" s="0" t="n">
        <f aca="false">IF(NOT(ISBLANK(W68)), ROUND(W68/60,0), "")</f>
        <v>77</v>
      </c>
      <c r="Y68" s="26"/>
      <c r="Z68" s="0" t="n">
        <v>4887</v>
      </c>
      <c r="AA68" s="0" t="n">
        <f aca="false">IF(NOT(ISBLANK(Z68)), ROUND(Z68/60,0), "")</f>
        <v>81</v>
      </c>
      <c r="AC68" s="0" t="s">
        <v>38</v>
      </c>
    </row>
    <row r="69" customFormat="false" ht="12.8" hidden="false" customHeight="false" outlineLevel="0" collapsed="false">
      <c r="A69" s="0" t="s">
        <v>38</v>
      </c>
      <c r="B69" s="0" t="n">
        <v>50</v>
      </c>
      <c r="C69" s="0" t="n">
        <v>3963</v>
      </c>
      <c r="D69" s="25" t="n">
        <f aca="false">IF(NOT(ISBLANK(C69)), ROUND(C69/60,0), "")</f>
        <v>66</v>
      </c>
      <c r="E69" s="0" t="n">
        <v>4217</v>
      </c>
      <c r="F69" s="25" t="n">
        <f aca="false">IF(NOT(ISBLANK(E69)), ROUND(E69/60,0), "")</f>
        <v>70</v>
      </c>
      <c r="G69" s="0" t="n">
        <v>5968</v>
      </c>
      <c r="H69" s="25" t="n">
        <f aca="false">IF(NOT(ISBLANK(G69)), ROUND(G69/60,0), "")</f>
        <v>99</v>
      </c>
      <c r="I69" s="25"/>
      <c r="J69" s="25"/>
      <c r="K69" s="0" t="n">
        <v>4630</v>
      </c>
      <c r="L69" s="25" t="n">
        <f aca="false">IF(NOT(ISBLANK(K69)), ROUND(K69/60,0), "")</f>
        <v>77</v>
      </c>
      <c r="M69" s="0" t="n">
        <v>3692</v>
      </c>
      <c r="N69" s="25" t="n">
        <f aca="false">IF(NOT(ISBLANK(M69)), ROUND(M69/60,0), "")</f>
        <v>62</v>
      </c>
      <c r="O69" s="0" t="n">
        <v>4476</v>
      </c>
      <c r="P69" s="0" t="n">
        <f aca="false">IF(NOT(ISBLANK(O69)), ROUND(O69/60,0), "")</f>
        <v>75</v>
      </c>
      <c r="Q69" s="0" t="n">
        <v>4320</v>
      </c>
      <c r="R69" s="0" t="n">
        <f aca="false">IF(NOT(ISBLANK(Q69)), ROUND(Q69/60,0), "")</f>
        <v>72</v>
      </c>
      <c r="S69" s="0" t="n">
        <v>5681</v>
      </c>
      <c r="T69" s="0" t="n">
        <f aca="false">IF(NOT(ISBLANK(S69)), ROUND(S69/60,0), "")</f>
        <v>95</v>
      </c>
      <c r="U69" s="0" t="n">
        <v>4399</v>
      </c>
      <c r="V69" s="0" t="n">
        <f aca="false">IF(NOT(ISBLANK(U69)), ROUND(U69/60,0), "")</f>
        <v>73</v>
      </c>
      <c r="W69" s="0" t="n">
        <v>3621</v>
      </c>
      <c r="X69" s="0" t="n">
        <f aca="false">IF(NOT(ISBLANK(W69)), ROUND(W69/60,0), "")</f>
        <v>60</v>
      </c>
      <c r="Y69" s="26"/>
      <c r="Z69" s="0" t="n">
        <v>4024</v>
      </c>
      <c r="AA69" s="0" t="n">
        <f aca="false">IF(NOT(ISBLANK(Z69)), ROUND(Z69/60,0), "")</f>
        <v>67</v>
      </c>
      <c r="AC69" s="0" t="s">
        <v>38</v>
      </c>
    </row>
    <row r="70" customFormat="false" ht="12.8" hidden="false" customHeight="false" outlineLevel="0" collapsed="false">
      <c r="A70" s="0" t="s">
        <v>38</v>
      </c>
      <c r="B70" s="0" t="n">
        <v>64</v>
      </c>
      <c r="C70" s="0" t="n">
        <v>3134</v>
      </c>
      <c r="D70" s="25" t="n">
        <f aca="false">IF(NOT(ISBLANK(C70)), ROUND(C70/60,0), "")</f>
        <v>52</v>
      </c>
      <c r="E70" s="0" t="n">
        <v>3511</v>
      </c>
      <c r="F70" s="25" t="n">
        <f aca="false">IF(NOT(ISBLANK(E70)), ROUND(E70/60,0), "")</f>
        <v>59</v>
      </c>
      <c r="G70" s="0" t="n">
        <v>3221</v>
      </c>
      <c r="H70" s="25" t="n">
        <f aca="false">IF(NOT(ISBLANK(G70)), ROUND(G70/60,0), "")</f>
        <v>54</v>
      </c>
      <c r="I70" s="25"/>
      <c r="J70" s="25"/>
      <c r="K70" s="0" t="n">
        <v>3647</v>
      </c>
      <c r="L70" s="25" t="n">
        <f aca="false">IF(NOT(ISBLANK(K70)), ROUND(K70/60,0), "")</f>
        <v>61</v>
      </c>
      <c r="M70" s="0" t="n">
        <v>3411</v>
      </c>
      <c r="N70" s="25" t="n">
        <f aca="false">IF(NOT(ISBLANK(M70)), ROUND(M70/60,0), "")</f>
        <v>57</v>
      </c>
      <c r="O70" s="0" t="n">
        <v>3782</v>
      </c>
      <c r="P70" s="0" t="n">
        <f aca="false">IF(NOT(ISBLANK(O70)), ROUND(O70/60,0), "")</f>
        <v>63</v>
      </c>
      <c r="Q70" s="0" t="n">
        <v>3870</v>
      </c>
      <c r="R70" s="0" t="n">
        <f aca="false">IF(NOT(ISBLANK(Q70)), ROUND(Q70/60,0), "")</f>
        <v>65</v>
      </c>
      <c r="S70" s="0" t="n">
        <v>3178</v>
      </c>
      <c r="T70" s="0" t="n">
        <f aca="false">IF(NOT(ISBLANK(S70)), ROUND(S70/60,0), "")</f>
        <v>53</v>
      </c>
      <c r="U70" s="0" t="n">
        <v>3775</v>
      </c>
      <c r="V70" s="0" t="n">
        <f aca="false">IF(NOT(ISBLANK(U70)), ROUND(U70/60,0), "")</f>
        <v>63</v>
      </c>
      <c r="W70" s="0" t="n">
        <v>3118</v>
      </c>
      <c r="X70" s="0" t="n">
        <f aca="false">IF(NOT(ISBLANK(W70)), ROUND(W70/60,0), "")</f>
        <v>52</v>
      </c>
      <c r="Y70" s="26"/>
      <c r="Z70" s="0" t="n">
        <v>3587</v>
      </c>
      <c r="AA70" s="0" t="n">
        <f aca="false">IF(NOT(ISBLANK(Z70)), ROUND(Z70/60,0), "")</f>
        <v>60</v>
      </c>
      <c r="AC70" s="0" t="s">
        <v>38</v>
      </c>
    </row>
    <row r="71" customFormat="false" ht="12.8" hidden="false" customHeight="false" outlineLevel="0" collapsed="false">
      <c r="A71" s="0" t="s">
        <v>38</v>
      </c>
      <c r="B71" s="0" t="n">
        <v>82</v>
      </c>
      <c r="C71" s="0" t="n">
        <v>2769</v>
      </c>
      <c r="D71" s="25" t="n">
        <f aca="false">IF(NOT(ISBLANK(C71)), ROUND(C71/60,0), "")</f>
        <v>46</v>
      </c>
      <c r="E71" s="0" t="n">
        <v>2943</v>
      </c>
      <c r="F71" s="25" t="n">
        <f aca="false">IF(NOT(ISBLANK(E71)), ROUND(E71/60,0), "")</f>
        <v>49</v>
      </c>
      <c r="G71" s="0" t="n">
        <v>2692</v>
      </c>
      <c r="H71" s="25" t="n">
        <f aca="false">IF(NOT(ISBLANK(G71)), ROUND(G71/60,0), "")</f>
        <v>45</v>
      </c>
      <c r="I71" s="25"/>
      <c r="J71" s="25"/>
      <c r="K71" s="0" t="n">
        <v>3404</v>
      </c>
      <c r="L71" s="25" t="n">
        <f aca="false">IF(NOT(ISBLANK(K71)), ROUND(K71/60,0), "")</f>
        <v>57</v>
      </c>
      <c r="M71" s="0" t="n">
        <v>2860</v>
      </c>
      <c r="N71" s="25" t="n">
        <f aca="false">IF(NOT(ISBLANK(M71)), ROUND(M71/60,0), "")</f>
        <v>48</v>
      </c>
      <c r="O71" s="0" t="n">
        <v>3383</v>
      </c>
      <c r="P71" s="0" t="n">
        <f aca="false">IF(NOT(ISBLANK(O71)), ROUND(O71/60,0), "")</f>
        <v>56</v>
      </c>
      <c r="Q71" s="0" t="n">
        <v>3042</v>
      </c>
      <c r="R71" s="0" t="n">
        <f aca="false">IF(NOT(ISBLANK(Q71)), ROUND(Q71/60,0), "")</f>
        <v>51</v>
      </c>
      <c r="S71" s="0" t="n">
        <v>2810</v>
      </c>
      <c r="T71" s="0" t="n">
        <f aca="false">IF(NOT(ISBLANK(S71)), ROUND(S71/60,0), "")</f>
        <v>47</v>
      </c>
      <c r="U71" s="0" t="n">
        <v>3197</v>
      </c>
      <c r="V71" s="0" t="n">
        <f aca="false">IF(NOT(ISBLANK(U71)), ROUND(U71/60,0), "")</f>
        <v>53</v>
      </c>
      <c r="W71" s="0" t="n">
        <v>2519</v>
      </c>
      <c r="X71" s="0" t="n">
        <f aca="false">IF(NOT(ISBLANK(W71)), ROUND(W71/60,0), "")</f>
        <v>42</v>
      </c>
      <c r="Y71" s="26"/>
      <c r="Z71" s="0" t="n">
        <v>2724</v>
      </c>
      <c r="AA71" s="0" t="n">
        <f aca="false">IF(NOT(ISBLANK(Z71)), ROUND(Z71/60,0), "")</f>
        <v>45</v>
      </c>
      <c r="AC71" s="0" t="s">
        <v>38</v>
      </c>
    </row>
    <row r="72" customFormat="false" ht="12.8" hidden="false" customHeight="false" outlineLevel="0" collapsed="false">
      <c r="A72" s="0" t="s">
        <v>38</v>
      </c>
      <c r="B72" s="0" t="n">
        <v>100</v>
      </c>
      <c r="C72" s="0" t="n">
        <v>2594</v>
      </c>
      <c r="D72" s="25" t="n">
        <f aca="false">IF(NOT(ISBLANK(C72)), ROUND(C72/60,0), "")</f>
        <v>43</v>
      </c>
      <c r="E72" s="0" t="n">
        <v>3002</v>
      </c>
      <c r="F72" s="25" t="n">
        <f aca="false">IF(NOT(ISBLANK(E72)), ROUND(E72/60,0), "")</f>
        <v>50</v>
      </c>
      <c r="G72" s="0" t="n">
        <v>2535</v>
      </c>
      <c r="H72" s="25" t="n">
        <f aca="false">IF(NOT(ISBLANK(G72)), ROUND(G72/60,0), "")</f>
        <v>42</v>
      </c>
      <c r="I72" s="25"/>
      <c r="J72" s="25"/>
      <c r="K72" s="0" t="n">
        <v>2401</v>
      </c>
      <c r="L72" s="25" t="n">
        <f aca="false">IF(NOT(ISBLANK(K72)), ROUND(K72/60,0), "")</f>
        <v>40</v>
      </c>
      <c r="M72" s="0" t="n">
        <v>2625</v>
      </c>
      <c r="N72" s="25" t="n">
        <f aca="false">IF(NOT(ISBLANK(M72)), ROUND(M72/60,0), "")</f>
        <v>44</v>
      </c>
      <c r="O72" s="0" t="n">
        <v>2911</v>
      </c>
      <c r="P72" s="0" t="n">
        <f aca="false">IF(NOT(ISBLANK(O72)), ROUND(O72/60,0), "")</f>
        <v>49</v>
      </c>
      <c r="Q72" s="0" t="n">
        <v>2616</v>
      </c>
      <c r="R72" s="0" t="n">
        <f aca="false">IF(NOT(ISBLANK(Q72)), ROUND(Q72/60,0), "")</f>
        <v>44</v>
      </c>
      <c r="S72" s="0" t="n">
        <v>2817</v>
      </c>
      <c r="T72" s="0" t="n">
        <f aca="false">IF(NOT(ISBLANK(S72)), ROUND(S72/60,0), "")</f>
        <v>47</v>
      </c>
      <c r="U72" s="0" t="n">
        <v>2550</v>
      </c>
      <c r="V72" s="0" t="n">
        <f aca="false">IF(NOT(ISBLANK(U72)), ROUND(U72/60,0), "")</f>
        <v>43</v>
      </c>
      <c r="W72" s="0" t="n">
        <v>9146</v>
      </c>
      <c r="X72" s="0" t="n">
        <f aca="false">IF(NOT(ISBLANK(W72)), ROUND(W72/60,0), "")</f>
        <v>152</v>
      </c>
      <c r="Y72" s="26"/>
      <c r="Z72" s="0" t="n">
        <v>2417</v>
      </c>
      <c r="AA72" s="0" t="n">
        <f aca="false">IF(NOT(ISBLANK(Z72)), ROUND(Z72/60,0), "")</f>
        <v>40</v>
      </c>
      <c r="AC72" s="0" t="s">
        <v>38</v>
      </c>
    </row>
    <row r="73" customFormat="false" ht="12.8" hidden="false" customHeight="false" outlineLevel="0" collapsed="false">
      <c r="A73" s="0" t="s">
        <v>39</v>
      </c>
      <c r="B73" s="0" t="n">
        <v>5</v>
      </c>
      <c r="C73" s="0" t="n">
        <v>105345</v>
      </c>
      <c r="D73" s="25" t="n">
        <f aca="false">IF(NOT(ISBLANK(C73)), ROUND(C73/60,0), "")</f>
        <v>1756</v>
      </c>
      <c r="F73" s="25" t="str">
        <f aca="false">IF(NOT(ISBLANK(E73)), ROUND(E73/60,0), "")</f>
        <v/>
      </c>
      <c r="H73" s="25" t="str">
        <f aca="false">IF(NOT(ISBLANK(G73)), ROUND(G73/60,0), "")</f>
        <v/>
      </c>
      <c r="I73" s="25"/>
      <c r="J73" s="25"/>
      <c r="L73" s="25" t="str">
        <f aca="false">IF(NOT(ISBLANK(K73)), ROUND(K73/60,0), "")</f>
        <v/>
      </c>
      <c r="N73" s="25" t="str">
        <f aca="false">IF(NOT(ISBLANK(M73)), ROUND(M73/60,0), "")</f>
        <v/>
      </c>
      <c r="P73" s="0" t="str">
        <f aca="false">IF(NOT(ISBLANK(O73)), ROUND(O73/60,0), "")</f>
        <v/>
      </c>
      <c r="R73" s="0" t="str">
        <f aca="false">IF(NOT(ISBLANK(Q73)), ROUND(Q73/60,0), "")</f>
        <v/>
      </c>
      <c r="T73" s="0" t="str">
        <f aca="false">IF(NOT(ISBLANK(S73)), ROUND(S73/60,0), "")</f>
        <v/>
      </c>
      <c r="V73" s="0" t="str">
        <f aca="false">IF(NOT(ISBLANK(U73)), ROUND(U73/60,0), "")</f>
        <v/>
      </c>
      <c r="X73" s="0" t="str">
        <f aca="false">IF(NOT(ISBLANK(W73)), ROUND(W73/60,0), "")</f>
        <v/>
      </c>
      <c r="Y73" s="26"/>
      <c r="AA73" s="0" t="str">
        <f aca="false">IF(NOT(ISBLANK(Z73)), ROUND(Z73/60,0), "")</f>
        <v/>
      </c>
      <c r="AC73" s="0" t="s">
        <v>39</v>
      </c>
    </row>
    <row r="74" customFormat="false" ht="12.8" hidden="false" customHeight="false" outlineLevel="0" collapsed="false">
      <c r="A74" s="0" t="s">
        <v>39</v>
      </c>
      <c r="B74" s="0" t="n">
        <v>10</v>
      </c>
      <c r="C74" s="0" t="n">
        <v>81111</v>
      </c>
      <c r="D74" s="25" t="n">
        <f aca="false">IF(NOT(ISBLANK(C74)), ROUND(C74/60,0), "")</f>
        <v>1352</v>
      </c>
      <c r="F74" s="25" t="str">
        <f aca="false">IF(NOT(ISBLANK(E74)), ROUND(E74/60,0), "")</f>
        <v/>
      </c>
      <c r="H74" s="25" t="str">
        <f aca="false">IF(NOT(ISBLANK(G74)), ROUND(G74/60,0), "")</f>
        <v/>
      </c>
      <c r="I74" s="25"/>
      <c r="J74" s="25"/>
      <c r="L74" s="25" t="str">
        <f aca="false">IF(NOT(ISBLANK(K74)), ROUND(K74/60,0), "")</f>
        <v/>
      </c>
      <c r="N74" s="25" t="str">
        <f aca="false">IF(NOT(ISBLANK(M74)), ROUND(M74/60,0), "")</f>
        <v/>
      </c>
      <c r="P74" s="0" t="str">
        <f aca="false">IF(NOT(ISBLANK(O74)), ROUND(O74/60,0), "")</f>
        <v/>
      </c>
      <c r="R74" s="0" t="str">
        <f aca="false">IF(NOT(ISBLANK(Q74)), ROUND(Q74/60,0), "")</f>
        <v/>
      </c>
      <c r="T74" s="0" t="str">
        <f aca="false">IF(NOT(ISBLANK(S74)), ROUND(S74/60,0), "")</f>
        <v/>
      </c>
      <c r="V74" s="0" t="str">
        <f aca="false">IF(NOT(ISBLANK(U74)), ROUND(U74/60,0), "")</f>
        <v/>
      </c>
      <c r="X74" s="0" t="str">
        <f aca="false">IF(NOT(ISBLANK(W74)), ROUND(W74/60,0), "")</f>
        <v/>
      </c>
      <c r="Y74" s="26"/>
      <c r="AA74" s="0" t="str">
        <f aca="false">IF(NOT(ISBLANK(Z74)), ROUND(Z74/60,0), "")</f>
        <v/>
      </c>
      <c r="AC74" s="0" t="s">
        <v>39</v>
      </c>
    </row>
    <row r="75" customFormat="false" ht="12.8" hidden="false" customHeight="false" outlineLevel="0" collapsed="false">
      <c r="A75" s="0" t="s">
        <v>39</v>
      </c>
      <c r="B75" s="0" t="n">
        <v>15</v>
      </c>
      <c r="C75" s="0" t="n">
        <v>55144</v>
      </c>
      <c r="D75" s="25" t="n">
        <f aca="false">IF(NOT(ISBLANK(C75)), ROUND(C75/60,0), "")</f>
        <v>919</v>
      </c>
      <c r="F75" s="25" t="str">
        <f aca="false">IF(NOT(ISBLANK(E75)), ROUND(E75/60,0), "")</f>
        <v/>
      </c>
      <c r="H75" s="25" t="str">
        <f aca="false">IF(NOT(ISBLANK(G75)), ROUND(G75/60,0), "")</f>
        <v/>
      </c>
      <c r="I75" s="25"/>
      <c r="J75" s="25"/>
      <c r="L75" s="25" t="str">
        <f aca="false">IF(NOT(ISBLANK(K75)), ROUND(K75/60,0), "")</f>
        <v/>
      </c>
      <c r="N75" s="25" t="str">
        <f aca="false">IF(NOT(ISBLANK(M75)), ROUND(M75/60,0), "")</f>
        <v/>
      </c>
      <c r="P75" s="0" t="str">
        <f aca="false">IF(NOT(ISBLANK(O75)), ROUND(O75/60,0), "")</f>
        <v/>
      </c>
      <c r="R75" s="0" t="str">
        <f aca="false">IF(NOT(ISBLANK(Q75)), ROUND(Q75/60,0), "")</f>
        <v/>
      </c>
      <c r="S75" s="0" t="n">
        <v>46192</v>
      </c>
      <c r="T75" s="0" t="n">
        <f aca="false">IF(NOT(ISBLANK(S75)), ROUND(S75/60,0), "")</f>
        <v>770</v>
      </c>
      <c r="V75" s="0" t="str">
        <f aca="false">IF(NOT(ISBLANK(U75)), ROUND(U75/60,0), "")</f>
        <v/>
      </c>
      <c r="X75" s="0" t="str">
        <f aca="false">IF(NOT(ISBLANK(W75)), ROUND(W75/60,0), "")</f>
        <v/>
      </c>
      <c r="Y75" s="26"/>
      <c r="AA75" s="0" t="str">
        <f aca="false">IF(NOT(ISBLANK(Z75)), ROUND(Z75/60,0), "")</f>
        <v/>
      </c>
      <c r="AC75" s="0" t="s">
        <v>39</v>
      </c>
    </row>
    <row r="76" customFormat="false" ht="12.8" hidden="false" customHeight="false" outlineLevel="0" collapsed="false">
      <c r="A76" s="0" t="s">
        <v>39</v>
      </c>
      <c r="B76" s="0" t="n">
        <v>20</v>
      </c>
      <c r="C76" s="0" t="n">
        <v>47718</v>
      </c>
      <c r="D76" s="25" t="n">
        <f aca="false">IF(NOT(ISBLANK(C76)), ROUND(C76/60,0), "")</f>
        <v>795</v>
      </c>
      <c r="F76" s="25" t="str">
        <f aca="false">IF(NOT(ISBLANK(E76)), ROUND(E76/60,0), "")</f>
        <v/>
      </c>
      <c r="H76" s="25" t="str">
        <f aca="false">IF(NOT(ISBLANK(G76)), ROUND(G76/60,0), "")</f>
        <v/>
      </c>
      <c r="I76" s="25"/>
      <c r="J76" s="25"/>
      <c r="L76" s="25" t="str">
        <f aca="false">IF(NOT(ISBLANK(K76)), ROUND(K76/60,0), "")</f>
        <v/>
      </c>
      <c r="N76" s="25" t="str">
        <f aca="false">IF(NOT(ISBLANK(M76)), ROUND(M76/60,0), "")</f>
        <v/>
      </c>
      <c r="P76" s="0" t="str">
        <f aca="false">IF(NOT(ISBLANK(O76)), ROUND(O76/60,0), "")</f>
        <v/>
      </c>
      <c r="R76" s="0" t="str">
        <f aca="false">IF(NOT(ISBLANK(Q76)), ROUND(Q76/60,0), "")</f>
        <v/>
      </c>
      <c r="S76" s="0" t="n">
        <v>43679</v>
      </c>
      <c r="T76" s="0" t="n">
        <f aca="false">IF(NOT(ISBLANK(S76)), ROUND(S76/60,0), "")</f>
        <v>728</v>
      </c>
      <c r="V76" s="0" t="str">
        <f aca="false">IF(NOT(ISBLANK(U76)), ROUND(U76/60,0), "")</f>
        <v/>
      </c>
      <c r="X76" s="0" t="str">
        <f aca="false">IF(NOT(ISBLANK(W76)), ROUND(W76/60,0), "")</f>
        <v/>
      </c>
      <c r="Y76" s="26"/>
      <c r="AA76" s="0" t="str">
        <f aca="false">IF(NOT(ISBLANK(Z76)), ROUND(Z76/60,0), "")</f>
        <v/>
      </c>
      <c r="AC76" s="0" t="s">
        <v>39</v>
      </c>
    </row>
    <row r="77" customFormat="false" ht="12.8" hidden="false" customHeight="false" outlineLevel="0" collapsed="false">
      <c r="A77" s="0" t="s">
        <v>39</v>
      </c>
      <c r="B77" s="0" t="n">
        <v>30</v>
      </c>
      <c r="C77" s="0" t="n">
        <v>31531</v>
      </c>
      <c r="D77" s="25" t="n">
        <f aca="false">IF(NOT(ISBLANK(C77)), ROUND(C77/60,0), "")</f>
        <v>526</v>
      </c>
      <c r="F77" s="25" t="str">
        <f aca="false">IF(NOT(ISBLANK(E77)), ROUND(E77/60,0), "")</f>
        <v/>
      </c>
      <c r="H77" s="25" t="str">
        <f aca="false">IF(NOT(ISBLANK(G77)), ROUND(G77/60,0), "")</f>
        <v/>
      </c>
      <c r="I77" s="25"/>
      <c r="J77" s="25"/>
      <c r="L77" s="25" t="str">
        <f aca="false">IF(NOT(ISBLANK(K77)), ROUND(K77/60,0), "")</f>
        <v/>
      </c>
      <c r="N77" s="25" t="str">
        <f aca="false">IF(NOT(ISBLANK(M77)), ROUND(M77/60,0), "")</f>
        <v/>
      </c>
      <c r="P77" s="0" t="str">
        <f aca="false">IF(NOT(ISBLANK(O77)), ROUND(O77/60,0), "")</f>
        <v/>
      </c>
      <c r="R77" s="0" t="str">
        <f aca="false">IF(NOT(ISBLANK(Q77)), ROUND(Q77/60,0), "")</f>
        <v/>
      </c>
      <c r="S77" s="0" t="n">
        <v>29326</v>
      </c>
      <c r="T77" s="0" t="n">
        <f aca="false">IF(NOT(ISBLANK(S77)), ROUND(S77/60,0), "")</f>
        <v>489</v>
      </c>
      <c r="V77" s="0" t="str">
        <f aca="false">IF(NOT(ISBLANK(U77)), ROUND(U77/60,0), "")</f>
        <v/>
      </c>
      <c r="X77" s="0" t="str">
        <f aca="false">IF(NOT(ISBLANK(W77)), ROUND(W77/60,0), "")</f>
        <v/>
      </c>
      <c r="Y77" s="26"/>
      <c r="AA77" s="0" t="str">
        <f aca="false">IF(NOT(ISBLANK(Z77)), ROUND(Z77/60,0), "")</f>
        <v/>
      </c>
      <c r="AC77" s="0" t="s">
        <v>39</v>
      </c>
    </row>
    <row r="78" customFormat="false" ht="12.8" hidden="false" customHeight="false" outlineLevel="0" collapsed="false">
      <c r="A78" s="0" t="s">
        <v>39</v>
      </c>
      <c r="B78" s="0" t="n">
        <v>40</v>
      </c>
      <c r="C78" s="0" t="n">
        <v>35755</v>
      </c>
      <c r="D78" s="25" t="n">
        <f aca="false">IF(NOT(ISBLANK(C78)), ROUND(C78/60,0), "")</f>
        <v>596</v>
      </c>
      <c r="F78" s="25" t="str">
        <f aca="false">IF(NOT(ISBLANK(E78)), ROUND(E78/60,0), "")</f>
        <v/>
      </c>
      <c r="H78" s="25" t="str">
        <f aca="false">IF(NOT(ISBLANK(G78)), ROUND(G78/60,0), "")</f>
        <v/>
      </c>
      <c r="I78" s="25"/>
      <c r="J78" s="25"/>
      <c r="L78" s="25" t="str">
        <f aca="false">IF(NOT(ISBLANK(K78)), ROUND(K78/60,0), "")</f>
        <v/>
      </c>
      <c r="N78" s="25" t="str">
        <f aca="false">IF(NOT(ISBLANK(M78)), ROUND(M78/60,0), "")</f>
        <v/>
      </c>
      <c r="P78" s="0" t="str">
        <f aca="false">IF(NOT(ISBLANK(O78)), ROUND(O78/60,0), "")</f>
        <v/>
      </c>
      <c r="R78" s="0" t="str">
        <f aca="false">IF(NOT(ISBLANK(Q78)), ROUND(Q78/60,0), "")</f>
        <v/>
      </c>
      <c r="S78" s="0" t="n">
        <v>21200</v>
      </c>
      <c r="T78" s="0" t="n">
        <f aca="false">IF(NOT(ISBLANK(S78)), ROUND(S78/60,0), "")</f>
        <v>353</v>
      </c>
      <c r="V78" s="0" t="str">
        <f aca="false">IF(NOT(ISBLANK(U78)), ROUND(U78/60,0), "")</f>
        <v/>
      </c>
      <c r="X78" s="0" t="str">
        <f aca="false">IF(NOT(ISBLANK(W78)), ROUND(W78/60,0), "")</f>
        <v/>
      </c>
      <c r="Y78" s="26"/>
      <c r="AA78" s="0" t="str">
        <f aca="false">IF(NOT(ISBLANK(Z78)), ROUND(Z78/60,0), "")</f>
        <v/>
      </c>
      <c r="AC78" s="0" t="s">
        <v>39</v>
      </c>
    </row>
    <row r="79" customFormat="false" ht="12.8" hidden="false" customHeight="false" outlineLevel="0" collapsed="false">
      <c r="A79" s="0" t="s">
        <v>39</v>
      </c>
      <c r="B79" s="0" t="n">
        <v>50</v>
      </c>
      <c r="C79" s="0" t="n">
        <v>21405</v>
      </c>
      <c r="D79" s="25" t="n">
        <f aca="false">IF(NOT(ISBLANK(C79)), ROUND(C79/60,0), "")</f>
        <v>357</v>
      </c>
      <c r="F79" s="25" t="str">
        <f aca="false">IF(NOT(ISBLANK(E79)), ROUND(E79/60,0), "")</f>
        <v/>
      </c>
      <c r="H79" s="25" t="str">
        <f aca="false">IF(NOT(ISBLANK(G79)), ROUND(G79/60,0), "")</f>
        <v/>
      </c>
      <c r="I79" s="25"/>
      <c r="J79" s="25"/>
      <c r="L79" s="25" t="str">
        <f aca="false">IF(NOT(ISBLANK(K79)), ROUND(K79/60,0), "")</f>
        <v/>
      </c>
      <c r="N79" s="25" t="str">
        <f aca="false">IF(NOT(ISBLANK(M79)), ROUND(M79/60,0), "")</f>
        <v/>
      </c>
      <c r="P79" s="0" t="str">
        <f aca="false">IF(NOT(ISBLANK(O79)), ROUND(O79/60,0), "")</f>
        <v/>
      </c>
      <c r="R79" s="0" t="str">
        <f aca="false">IF(NOT(ISBLANK(Q79)), ROUND(Q79/60,0), "")</f>
        <v/>
      </c>
      <c r="S79" s="0" t="n">
        <v>20086</v>
      </c>
      <c r="T79" s="0" t="n">
        <f aca="false">IF(NOT(ISBLANK(S79)), ROUND(S79/60,0), "")</f>
        <v>335</v>
      </c>
      <c r="V79" s="0" t="str">
        <f aca="false">IF(NOT(ISBLANK(U79)), ROUND(U79/60,0), "")</f>
        <v/>
      </c>
      <c r="X79" s="0" t="str">
        <f aca="false">IF(NOT(ISBLANK(W79)), ROUND(W79/60,0), "")</f>
        <v/>
      </c>
      <c r="Y79" s="26"/>
      <c r="AA79" s="0" t="str">
        <f aca="false">IF(NOT(ISBLANK(Z79)), ROUND(Z79/60,0), "")</f>
        <v/>
      </c>
      <c r="AC79" s="0" t="s">
        <v>39</v>
      </c>
    </row>
    <row r="80" customFormat="false" ht="12.8" hidden="false" customHeight="false" outlineLevel="0" collapsed="false">
      <c r="A80" s="0" t="s">
        <v>39</v>
      </c>
      <c r="B80" s="0" t="n">
        <v>64</v>
      </c>
      <c r="C80" s="0" t="n">
        <v>15315</v>
      </c>
      <c r="D80" s="25" t="n">
        <f aca="false">IF(NOT(ISBLANK(C80)), ROUND(C80/60,0), "")</f>
        <v>255</v>
      </c>
      <c r="F80" s="25" t="str">
        <f aca="false">IF(NOT(ISBLANK(E80)), ROUND(E80/60,0), "")</f>
        <v/>
      </c>
      <c r="H80" s="25" t="str">
        <f aca="false">IF(NOT(ISBLANK(G80)), ROUND(G80/60,0), "")</f>
        <v/>
      </c>
      <c r="I80" s="25"/>
      <c r="J80" s="25"/>
      <c r="L80" s="25" t="str">
        <f aca="false">IF(NOT(ISBLANK(K80)), ROUND(K80/60,0), "")</f>
        <v/>
      </c>
      <c r="N80" s="25" t="str">
        <f aca="false">IF(NOT(ISBLANK(M80)), ROUND(M80/60,0), "")</f>
        <v/>
      </c>
      <c r="P80" s="0" t="str">
        <f aca="false">IF(NOT(ISBLANK(O80)), ROUND(O80/60,0), "")</f>
        <v/>
      </c>
      <c r="R80" s="0" t="str">
        <f aca="false">IF(NOT(ISBLANK(Q80)), ROUND(Q80/60,0), "")</f>
        <v/>
      </c>
      <c r="S80" s="0" t="n">
        <v>14215</v>
      </c>
      <c r="T80" s="0" t="n">
        <f aca="false">IF(NOT(ISBLANK(S80)), ROUND(S80/60,0), "")</f>
        <v>237</v>
      </c>
      <c r="V80" s="0" t="str">
        <f aca="false">IF(NOT(ISBLANK(U80)), ROUND(U80/60,0), "")</f>
        <v/>
      </c>
      <c r="X80" s="0" t="str">
        <f aca="false">IF(NOT(ISBLANK(W80)), ROUND(W80/60,0), "")</f>
        <v/>
      </c>
      <c r="Y80" s="26"/>
      <c r="AA80" s="0" t="str">
        <f aca="false">IF(NOT(ISBLANK(Z80)), ROUND(Z80/60,0), "")</f>
        <v/>
      </c>
      <c r="AC80" s="0" t="s">
        <v>39</v>
      </c>
    </row>
    <row r="81" customFormat="false" ht="12.8" hidden="false" customHeight="false" outlineLevel="0" collapsed="false">
      <c r="A81" s="0" t="s">
        <v>39</v>
      </c>
      <c r="B81" s="0" t="n">
        <v>82</v>
      </c>
      <c r="C81" s="0" t="n">
        <v>10649</v>
      </c>
      <c r="D81" s="25" t="n">
        <f aca="false">IF(NOT(ISBLANK(C81)), ROUND(C81/60,0), "")</f>
        <v>177</v>
      </c>
      <c r="F81" s="25" t="str">
        <f aca="false">IF(NOT(ISBLANK(E81)), ROUND(E81/60,0), "")</f>
        <v/>
      </c>
      <c r="H81" s="25" t="str">
        <f aca="false">IF(NOT(ISBLANK(G81)), ROUND(G81/60,0), "")</f>
        <v/>
      </c>
      <c r="I81" s="25"/>
      <c r="J81" s="25"/>
      <c r="L81" s="25" t="str">
        <f aca="false">IF(NOT(ISBLANK(K81)), ROUND(K81/60,0), "")</f>
        <v/>
      </c>
      <c r="N81" s="25" t="str">
        <f aca="false">IF(NOT(ISBLANK(M81)), ROUND(M81/60,0), "")</f>
        <v/>
      </c>
      <c r="P81" s="0" t="str">
        <f aca="false">IF(NOT(ISBLANK(O81)), ROUND(O81/60,0), "")</f>
        <v/>
      </c>
      <c r="R81" s="0" t="str">
        <f aca="false">IF(NOT(ISBLANK(Q81)), ROUND(Q81/60,0), "")</f>
        <v/>
      </c>
      <c r="S81" s="0" t="n">
        <v>14785</v>
      </c>
      <c r="T81" s="0" t="n">
        <f aca="false">IF(NOT(ISBLANK(S81)), ROUND(S81/60,0), "")</f>
        <v>246</v>
      </c>
      <c r="V81" s="0" t="str">
        <f aca="false">IF(NOT(ISBLANK(U81)), ROUND(U81/60,0), "")</f>
        <v/>
      </c>
      <c r="X81" s="0" t="str">
        <f aca="false">IF(NOT(ISBLANK(W81)), ROUND(W81/60,0), "")</f>
        <v/>
      </c>
      <c r="Y81" s="26"/>
      <c r="AA81" s="0" t="str">
        <f aca="false">IF(NOT(ISBLANK(Z81)), ROUND(Z81/60,0), "")</f>
        <v/>
      </c>
      <c r="AC81" s="0" t="s">
        <v>39</v>
      </c>
    </row>
    <row r="82" customFormat="false" ht="12.8" hidden="false" customHeight="false" outlineLevel="0" collapsed="false">
      <c r="A82" s="0" t="s">
        <v>39</v>
      </c>
      <c r="B82" s="0" t="n">
        <v>100</v>
      </c>
      <c r="C82" s="0" t="n">
        <v>10705</v>
      </c>
      <c r="D82" s="25" t="n">
        <f aca="false">IF(NOT(ISBLANK(C82)), ROUND(C82/60,0), "")</f>
        <v>178</v>
      </c>
      <c r="F82" s="25" t="str">
        <f aca="false">IF(NOT(ISBLANK(E82)), ROUND(E82/60,0), "")</f>
        <v/>
      </c>
      <c r="H82" s="25" t="str">
        <f aca="false">IF(NOT(ISBLANK(G82)), ROUND(G82/60,0), "")</f>
        <v/>
      </c>
      <c r="I82" s="25"/>
      <c r="J82" s="25"/>
      <c r="L82" s="25" t="str">
        <f aca="false">IF(NOT(ISBLANK(K82)), ROUND(K82/60,0), "")</f>
        <v/>
      </c>
      <c r="N82" s="25" t="str">
        <f aca="false">IF(NOT(ISBLANK(M82)), ROUND(M82/60,0), "")</f>
        <v/>
      </c>
      <c r="P82" s="0" t="str">
        <f aca="false">IF(NOT(ISBLANK(O82)), ROUND(O82/60,0), "")</f>
        <v/>
      </c>
      <c r="R82" s="0" t="str">
        <f aca="false">IF(NOT(ISBLANK(Q82)), ROUND(Q82/60,0), "")</f>
        <v/>
      </c>
      <c r="S82" s="0" t="n">
        <v>11492</v>
      </c>
      <c r="T82" s="0" t="n">
        <f aca="false">IF(NOT(ISBLANK(S82)), ROUND(S82/60,0), "")</f>
        <v>192</v>
      </c>
      <c r="V82" s="0" t="str">
        <f aca="false">IF(NOT(ISBLANK(U82)), ROUND(U82/60,0), "")</f>
        <v/>
      </c>
      <c r="X82" s="0" t="str">
        <f aca="false">IF(NOT(ISBLANK(W82)), ROUND(W82/60,0), "")</f>
        <v/>
      </c>
      <c r="Y82" s="26"/>
      <c r="AA82" s="0" t="str">
        <f aca="false">IF(NOT(ISBLANK(Z82)), ROUND(Z82/60,0), "")</f>
        <v/>
      </c>
      <c r="AC82" s="0" t="s">
        <v>39</v>
      </c>
    </row>
    <row r="83" customFormat="false" ht="12.8" hidden="false" customHeight="false" outlineLevel="0" collapsed="false">
      <c r="A83" s="0" t="s">
        <v>41</v>
      </c>
      <c r="B83" s="0" t="n">
        <v>5</v>
      </c>
      <c r="C83" s="0" t="n">
        <v>10938</v>
      </c>
      <c r="D83" s="25" t="n">
        <f aca="false">IF(NOT(ISBLANK(C83)), ROUND(C83/60,0), "")</f>
        <v>182</v>
      </c>
      <c r="E83" s="0" t="n">
        <v>10048</v>
      </c>
      <c r="F83" s="25" t="n">
        <f aca="false">IF(NOT(ISBLANK(E83)), ROUND(E83/60,0), "")</f>
        <v>167</v>
      </c>
      <c r="G83" s="0" t="n">
        <v>10386</v>
      </c>
      <c r="H83" s="25" t="n">
        <f aca="false">IF(NOT(ISBLANK(G83)), ROUND(G83/60,0), "")</f>
        <v>173</v>
      </c>
      <c r="I83" s="25"/>
      <c r="J83" s="25"/>
      <c r="K83" s="0" t="n">
        <v>9871</v>
      </c>
      <c r="L83" s="25" t="n">
        <f aca="false">IF(NOT(ISBLANK(K83)), ROUND(K83/60,0), "")</f>
        <v>165</v>
      </c>
      <c r="M83" s="0" t="n">
        <v>11553</v>
      </c>
      <c r="N83" s="25" t="n">
        <f aca="false">IF(NOT(ISBLANK(M83)), ROUND(M83/60,0), "")</f>
        <v>193</v>
      </c>
      <c r="O83" s="0" t="n">
        <v>10529</v>
      </c>
      <c r="P83" s="0" t="n">
        <f aca="false">IF(NOT(ISBLANK(O83)), ROUND(O83/60,0), "")</f>
        <v>175</v>
      </c>
      <c r="Q83" s="0" t="n">
        <v>9871</v>
      </c>
      <c r="R83" s="0" t="n">
        <f aca="false">IF(NOT(ISBLANK(Q83)), ROUND(Q83/60,0), "")</f>
        <v>165</v>
      </c>
      <c r="S83" s="0" t="n">
        <v>10459</v>
      </c>
      <c r="T83" s="0" t="n">
        <f aca="false">IF(NOT(ISBLANK(S83)), ROUND(S83/60,0), "")</f>
        <v>174</v>
      </c>
      <c r="U83" s="0" t="n">
        <v>11497</v>
      </c>
      <c r="V83" s="0" t="n">
        <f aca="false">IF(NOT(ISBLANK(U83)), ROUND(U83/60,0), "")</f>
        <v>192</v>
      </c>
      <c r="W83" s="0" t="n">
        <v>6059</v>
      </c>
      <c r="X83" s="0" t="n">
        <f aca="false">IF(NOT(ISBLANK(W83)), ROUND(W83/60,0), "")</f>
        <v>101</v>
      </c>
      <c r="Y83" s="26"/>
      <c r="Z83" s="0" t="n">
        <v>9650</v>
      </c>
      <c r="AA83" s="0" t="n">
        <f aca="false">IF(NOT(ISBLANK(Z83)), ROUND(Z83/60,0), "")</f>
        <v>161</v>
      </c>
      <c r="AC83" s="0" t="s">
        <v>41</v>
      </c>
    </row>
    <row r="84" customFormat="false" ht="12.8" hidden="false" customHeight="false" outlineLevel="0" collapsed="false">
      <c r="A84" s="0" t="s">
        <v>41</v>
      </c>
      <c r="B84" s="0" t="n">
        <v>10</v>
      </c>
      <c r="C84" s="0" t="n">
        <v>5687</v>
      </c>
      <c r="D84" s="25" t="n">
        <f aca="false">IF(NOT(ISBLANK(C84)), ROUND(C84/60,0), "")</f>
        <v>95</v>
      </c>
      <c r="E84" s="0" t="n">
        <v>6586</v>
      </c>
      <c r="F84" s="25" t="n">
        <f aca="false">IF(NOT(ISBLANK(E84)), ROUND(E84/60,0), "")</f>
        <v>110</v>
      </c>
      <c r="G84" s="0" t="n">
        <v>4836</v>
      </c>
      <c r="H84" s="25" t="n">
        <f aca="false">IF(NOT(ISBLANK(G84)), ROUND(G84/60,0), "")</f>
        <v>81</v>
      </c>
      <c r="I84" s="25"/>
      <c r="J84" s="25"/>
      <c r="K84" s="0" t="n">
        <v>6881</v>
      </c>
      <c r="L84" s="25" t="n">
        <f aca="false">IF(NOT(ISBLANK(K84)), ROUND(K84/60,0), "")</f>
        <v>115</v>
      </c>
      <c r="M84" s="0" t="n">
        <v>6038</v>
      </c>
      <c r="N84" s="25" t="n">
        <f aca="false">IF(NOT(ISBLANK(M84)), ROUND(M84/60,0), "")</f>
        <v>101</v>
      </c>
      <c r="O84" s="0" t="n">
        <v>6292</v>
      </c>
      <c r="P84" s="0" t="n">
        <f aca="false">IF(NOT(ISBLANK(O84)), ROUND(O84/60,0), "")</f>
        <v>105</v>
      </c>
      <c r="Q84" s="0" t="n">
        <v>6881</v>
      </c>
      <c r="R84" s="0" t="n">
        <f aca="false">IF(NOT(ISBLANK(Q84)), ROUND(Q84/60,0), "")</f>
        <v>115</v>
      </c>
      <c r="S84" s="0" t="n">
        <v>6553</v>
      </c>
      <c r="T84" s="0" t="n">
        <f aca="false">IF(NOT(ISBLANK(S84)), ROUND(S84/60,0), "")</f>
        <v>109</v>
      </c>
      <c r="U84" s="0" t="n">
        <v>5723</v>
      </c>
      <c r="V84" s="0" t="n">
        <f aca="false">IF(NOT(ISBLANK(U84)), ROUND(U84/60,0), "")</f>
        <v>95</v>
      </c>
      <c r="W84" s="0" t="n">
        <v>4694</v>
      </c>
      <c r="X84" s="0" t="n">
        <f aca="false">IF(NOT(ISBLANK(W84)), ROUND(W84/60,0), "")</f>
        <v>78</v>
      </c>
      <c r="Y84" s="26"/>
      <c r="Z84" s="0" t="n">
        <v>5270</v>
      </c>
      <c r="AA84" s="0" t="n">
        <f aca="false">IF(NOT(ISBLANK(Z84)), ROUND(Z84/60,0), "")</f>
        <v>88</v>
      </c>
      <c r="AC84" s="0" t="s">
        <v>41</v>
      </c>
    </row>
    <row r="85" customFormat="false" ht="12.8" hidden="false" customHeight="false" outlineLevel="0" collapsed="false">
      <c r="A85" s="0" t="s">
        <v>41</v>
      </c>
      <c r="B85" s="0" t="n">
        <v>15</v>
      </c>
      <c r="C85" s="0" t="n">
        <v>4666</v>
      </c>
      <c r="D85" s="25" t="n">
        <f aca="false">IF(NOT(ISBLANK(C85)), ROUND(C85/60,0), "")</f>
        <v>78</v>
      </c>
      <c r="E85" s="0" t="n">
        <v>4402</v>
      </c>
      <c r="F85" s="25" t="n">
        <f aca="false">IF(NOT(ISBLANK(E85)), ROUND(E85/60,0), "")</f>
        <v>73</v>
      </c>
      <c r="G85" s="0" t="n">
        <v>4556</v>
      </c>
      <c r="H85" s="25" t="n">
        <f aca="false">IF(NOT(ISBLANK(G85)), ROUND(G85/60,0), "")</f>
        <v>76</v>
      </c>
      <c r="I85" s="25"/>
      <c r="J85" s="25"/>
      <c r="K85" s="0" t="n">
        <v>5474</v>
      </c>
      <c r="L85" s="25" t="n">
        <f aca="false">IF(NOT(ISBLANK(K85)), ROUND(K85/60,0), "")</f>
        <v>91</v>
      </c>
      <c r="M85" s="0" t="n">
        <v>4072</v>
      </c>
      <c r="N85" s="25" t="n">
        <f aca="false">IF(NOT(ISBLANK(M85)), ROUND(M85/60,0), "")</f>
        <v>68</v>
      </c>
      <c r="O85" s="0" t="n">
        <v>5456</v>
      </c>
      <c r="P85" s="0" t="n">
        <f aca="false">IF(NOT(ISBLANK(O85)), ROUND(O85/60,0), "")</f>
        <v>91</v>
      </c>
      <c r="Q85" s="0" t="n">
        <v>5517</v>
      </c>
      <c r="R85" s="0" t="n">
        <f aca="false">IF(NOT(ISBLANK(Q85)), ROUND(Q85/60,0), "")</f>
        <v>92</v>
      </c>
      <c r="S85" s="0" t="n">
        <v>4759</v>
      </c>
      <c r="T85" s="0" t="n">
        <f aca="false">IF(NOT(ISBLANK(S85)), ROUND(S85/60,0), "")</f>
        <v>79</v>
      </c>
      <c r="U85" s="0" t="n">
        <v>4415</v>
      </c>
      <c r="V85" s="0" t="n">
        <f aca="false">IF(NOT(ISBLANK(U85)), ROUND(U85/60,0), "")</f>
        <v>74</v>
      </c>
      <c r="W85" s="0" t="n">
        <v>3705</v>
      </c>
      <c r="X85" s="0" t="n">
        <f aca="false">IF(NOT(ISBLANK(W85)), ROUND(W85/60,0), "")</f>
        <v>62</v>
      </c>
      <c r="Y85" s="26"/>
      <c r="Z85" s="0" t="n">
        <v>4893</v>
      </c>
      <c r="AA85" s="0" t="n">
        <f aca="false">IF(NOT(ISBLANK(Z85)), ROUND(Z85/60,0), "")</f>
        <v>82</v>
      </c>
      <c r="AC85" s="0" t="s">
        <v>41</v>
      </c>
    </row>
    <row r="86" customFormat="false" ht="12.8" hidden="false" customHeight="false" outlineLevel="0" collapsed="false">
      <c r="A86" s="0" t="s">
        <v>41</v>
      </c>
      <c r="B86" s="0" t="n">
        <v>20</v>
      </c>
      <c r="C86" s="0" t="n">
        <v>3686</v>
      </c>
      <c r="D86" s="25" t="n">
        <f aca="false">IF(NOT(ISBLANK(C86)), ROUND(C86/60,0), "")</f>
        <v>61</v>
      </c>
      <c r="E86" s="0" t="n">
        <v>3871</v>
      </c>
      <c r="F86" s="25" t="n">
        <f aca="false">IF(NOT(ISBLANK(E86)), ROUND(E86/60,0), "")</f>
        <v>65</v>
      </c>
      <c r="G86" s="0" t="n">
        <v>4375</v>
      </c>
      <c r="H86" s="25" t="n">
        <f aca="false">IF(NOT(ISBLANK(G86)), ROUND(G86/60,0), "")</f>
        <v>73</v>
      </c>
      <c r="I86" s="25"/>
      <c r="J86" s="25"/>
      <c r="K86" s="0" t="n">
        <v>4508</v>
      </c>
      <c r="L86" s="25" t="n">
        <f aca="false">IF(NOT(ISBLANK(K86)), ROUND(K86/60,0), "")</f>
        <v>75</v>
      </c>
      <c r="M86" s="0" t="n">
        <v>4088</v>
      </c>
      <c r="N86" s="25" t="n">
        <f aca="false">IF(NOT(ISBLANK(M86)), ROUND(M86/60,0), "")</f>
        <v>68</v>
      </c>
      <c r="O86" s="0" t="n">
        <v>4247</v>
      </c>
      <c r="P86" s="0" t="n">
        <f aca="false">IF(NOT(ISBLANK(O86)), ROUND(O86/60,0), "")</f>
        <v>71</v>
      </c>
      <c r="Q86" s="0" t="n">
        <v>4039</v>
      </c>
      <c r="R86" s="0" t="n">
        <f aca="false">IF(NOT(ISBLANK(Q86)), ROUND(Q86/60,0), "")</f>
        <v>67</v>
      </c>
      <c r="S86" s="0" t="n">
        <v>3702</v>
      </c>
      <c r="T86" s="0" t="n">
        <f aca="false">IF(NOT(ISBLANK(S86)), ROUND(S86/60,0), "")</f>
        <v>62</v>
      </c>
      <c r="U86" s="0" t="n">
        <v>3962</v>
      </c>
      <c r="V86" s="0" t="n">
        <f aca="false">IF(NOT(ISBLANK(U86)), ROUND(U86/60,0), "")</f>
        <v>66</v>
      </c>
      <c r="W86" s="0" t="n">
        <v>3169</v>
      </c>
      <c r="X86" s="0" t="n">
        <f aca="false">IF(NOT(ISBLANK(W86)), ROUND(W86/60,0), "")</f>
        <v>53</v>
      </c>
      <c r="Y86" s="26"/>
      <c r="Z86" s="0" t="n">
        <v>3555</v>
      </c>
      <c r="AA86" s="0" t="n">
        <f aca="false">IF(NOT(ISBLANK(Z86)), ROUND(Z86/60,0), "")</f>
        <v>59</v>
      </c>
      <c r="AC86" s="0" t="s">
        <v>41</v>
      </c>
    </row>
    <row r="87" customFormat="false" ht="12.8" hidden="false" customHeight="false" outlineLevel="0" collapsed="false">
      <c r="A87" s="0" t="s">
        <v>41</v>
      </c>
      <c r="B87" s="0" t="n">
        <v>30</v>
      </c>
      <c r="C87" s="0" t="n">
        <v>2938</v>
      </c>
      <c r="D87" s="25" t="n">
        <f aca="false">IF(NOT(ISBLANK(C87)), ROUND(C87/60,0), "")</f>
        <v>49</v>
      </c>
      <c r="E87" s="0" t="n">
        <v>3097</v>
      </c>
      <c r="F87" s="25" t="n">
        <f aca="false">IF(NOT(ISBLANK(E87)), ROUND(E87/60,0), "")</f>
        <v>52</v>
      </c>
      <c r="G87" s="0" t="n">
        <v>3391</v>
      </c>
      <c r="H87" s="25" t="n">
        <f aca="false">IF(NOT(ISBLANK(G87)), ROUND(G87/60,0), "")</f>
        <v>57</v>
      </c>
      <c r="I87" s="25"/>
      <c r="J87" s="25"/>
      <c r="K87" s="0" t="n">
        <v>3410</v>
      </c>
      <c r="L87" s="25" t="n">
        <f aca="false">IF(NOT(ISBLANK(K87)), ROUND(K87/60,0), "")</f>
        <v>57</v>
      </c>
      <c r="M87" s="0" t="n">
        <v>3380</v>
      </c>
      <c r="N87" s="25" t="n">
        <f aca="false">IF(NOT(ISBLANK(M87)), ROUND(M87/60,0), "")</f>
        <v>56</v>
      </c>
      <c r="O87" s="0" t="n">
        <v>3149</v>
      </c>
      <c r="P87" s="0" t="n">
        <f aca="false">IF(NOT(ISBLANK(O87)), ROUND(O87/60,0), "")</f>
        <v>52</v>
      </c>
      <c r="Q87" s="0" t="n">
        <v>3208</v>
      </c>
      <c r="R87" s="0" t="n">
        <f aca="false">IF(NOT(ISBLANK(Q87)), ROUND(Q87/60,0), "")</f>
        <v>53</v>
      </c>
      <c r="S87" s="0" t="n">
        <v>3376</v>
      </c>
      <c r="T87" s="0" t="n">
        <f aca="false">IF(NOT(ISBLANK(S87)), ROUND(S87/60,0), "")</f>
        <v>56</v>
      </c>
      <c r="U87" s="0" t="n">
        <v>2754</v>
      </c>
      <c r="V87" s="0" t="n">
        <f aca="false">IF(NOT(ISBLANK(U87)), ROUND(U87/60,0), "")</f>
        <v>46</v>
      </c>
      <c r="W87" s="0" t="n">
        <v>2528</v>
      </c>
      <c r="X87" s="0" t="n">
        <f aca="false">IF(NOT(ISBLANK(W87)), ROUND(W87/60,0), "")</f>
        <v>42</v>
      </c>
      <c r="Y87" s="26"/>
      <c r="Z87" s="0" t="n">
        <v>3076</v>
      </c>
      <c r="AA87" s="0" t="n">
        <f aca="false">IF(NOT(ISBLANK(Z87)), ROUND(Z87/60,0), "")</f>
        <v>51</v>
      </c>
      <c r="AC87" s="0" t="s">
        <v>41</v>
      </c>
    </row>
    <row r="88" customFormat="false" ht="12.8" hidden="false" customHeight="false" outlineLevel="0" collapsed="false">
      <c r="A88" s="0" t="s">
        <v>41</v>
      </c>
      <c r="B88" s="0" t="n">
        <v>40</v>
      </c>
      <c r="C88" s="0" t="n">
        <v>3273</v>
      </c>
      <c r="D88" s="25" t="n">
        <f aca="false">IF(NOT(ISBLANK(C88)), ROUND(C88/60,0), "")</f>
        <v>55</v>
      </c>
      <c r="E88" s="0" t="n">
        <v>2449</v>
      </c>
      <c r="F88" s="25" t="n">
        <f aca="false">IF(NOT(ISBLANK(E88)), ROUND(E88/60,0), "")</f>
        <v>41</v>
      </c>
      <c r="G88" s="0" t="n">
        <v>2643</v>
      </c>
      <c r="H88" s="25" t="n">
        <f aca="false">IF(NOT(ISBLANK(G88)), ROUND(G88/60,0), "")</f>
        <v>44</v>
      </c>
      <c r="I88" s="25"/>
      <c r="J88" s="25"/>
      <c r="K88" s="0" t="n">
        <v>2579</v>
      </c>
      <c r="L88" s="25" t="n">
        <f aca="false">IF(NOT(ISBLANK(K88)), ROUND(K88/60,0), "")</f>
        <v>43</v>
      </c>
      <c r="M88" s="0" t="n">
        <v>2803</v>
      </c>
      <c r="N88" s="25" t="n">
        <f aca="false">IF(NOT(ISBLANK(M88)), ROUND(M88/60,0), "")</f>
        <v>47</v>
      </c>
      <c r="O88" s="0" t="n">
        <v>2618</v>
      </c>
      <c r="P88" s="0" t="n">
        <f aca="false">IF(NOT(ISBLANK(O88)), ROUND(O88/60,0), "")</f>
        <v>44</v>
      </c>
      <c r="Q88" s="0" t="n">
        <v>2279</v>
      </c>
      <c r="R88" s="0" t="n">
        <f aca="false">IF(NOT(ISBLANK(Q88)), ROUND(Q88/60,0), "")</f>
        <v>38</v>
      </c>
      <c r="S88" s="0" t="n">
        <v>2651</v>
      </c>
      <c r="T88" s="0" t="n">
        <f aca="false">IF(NOT(ISBLANK(S88)), ROUND(S88/60,0), "")</f>
        <v>44</v>
      </c>
      <c r="U88" s="0" t="n">
        <v>2441</v>
      </c>
      <c r="V88" s="0" t="n">
        <f aca="false">IF(NOT(ISBLANK(U88)), ROUND(U88/60,0), "")</f>
        <v>41</v>
      </c>
      <c r="W88" s="0" t="n">
        <v>2335</v>
      </c>
      <c r="X88" s="0" t="n">
        <f aca="false">IF(NOT(ISBLANK(W88)), ROUND(W88/60,0), "")</f>
        <v>39</v>
      </c>
      <c r="Y88" s="26"/>
      <c r="Z88" s="0" t="n">
        <v>2409</v>
      </c>
      <c r="AA88" s="0" t="n">
        <f aca="false">IF(NOT(ISBLANK(Z88)), ROUND(Z88/60,0), "")</f>
        <v>40</v>
      </c>
      <c r="AC88" s="0" t="s">
        <v>41</v>
      </c>
    </row>
    <row r="89" customFormat="false" ht="12.8" hidden="false" customHeight="false" outlineLevel="0" collapsed="false">
      <c r="A89" s="0" t="s">
        <v>41</v>
      </c>
      <c r="B89" s="0" t="n">
        <v>50</v>
      </c>
      <c r="C89" s="0" t="n">
        <v>2275</v>
      </c>
      <c r="D89" s="25" t="n">
        <f aca="false">IF(NOT(ISBLANK(C89)), ROUND(C89/60,0), "")</f>
        <v>38</v>
      </c>
      <c r="E89" s="0" t="n">
        <v>2067</v>
      </c>
      <c r="F89" s="25" t="n">
        <f aca="false">IF(NOT(ISBLANK(E89)), ROUND(E89/60,0), "")</f>
        <v>34</v>
      </c>
      <c r="G89" s="0" t="n">
        <v>2263</v>
      </c>
      <c r="H89" s="25" t="n">
        <f aca="false">IF(NOT(ISBLANK(G89)), ROUND(G89/60,0), "")</f>
        <v>38</v>
      </c>
      <c r="I89" s="25"/>
      <c r="J89" s="25"/>
      <c r="K89" s="0" t="n">
        <v>1849</v>
      </c>
      <c r="L89" s="25" t="n">
        <f aca="false">IF(NOT(ISBLANK(K89)), ROUND(K89/60,0), "")</f>
        <v>31</v>
      </c>
      <c r="M89" s="0" t="n">
        <v>2429</v>
      </c>
      <c r="N89" s="25" t="n">
        <f aca="false">IF(NOT(ISBLANK(M89)), ROUND(M89/60,0), "")</f>
        <v>40</v>
      </c>
      <c r="O89" s="0" t="n">
        <v>2835</v>
      </c>
      <c r="P89" s="0" t="n">
        <f aca="false">IF(NOT(ISBLANK(O89)), ROUND(O89/60,0), "")</f>
        <v>47</v>
      </c>
      <c r="Q89" s="0" t="n">
        <v>1797</v>
      </c>
      <c r="R89" s="0" t="n">
        <f aca="false">IF(NOT(ISBLANK(Q89)), ROUND(Q89/60,0), "")</f>
        <v>30</v>
      </c>
      <c r="S89" s="0" t="n">
        <v>2196</v>
      </c>
      <c r="T89" s="0" t="n">
        <f aca="false">IF(NOT(ISBLANK(S89)), ROUND(S89/60,0), "")</f>
        <v>37</v>
      </c>
      <c r="U89" s="0" t="n">
        <v>2213</v>
      </c>
      <c r="V89" s="0" t="n">
        <f aca="false">IF(NOT(ISBLANK(U89)), ROUND(U89/60,0), "")</f>
        <v>37</v>
      </c>
      <c r="W89" s="0" t="n">
        <v>2129</v>
      </c>
      <c r="X89" s="0" t="n">
        <f aca="false">IF(NOT(ISBLANK(W89)), ROUND(W89/60,0), "")</f>
        <v>35</v>
      </c>
      <c r="Y89" s="26"/>
      <c r="Z89" s="0" t="n">
        <v>2003</v>
      </c>
      <c r="AA89" s="0" t="n">
        <f aca="false">IF(NOT(ISBLANK(Z89)), ROUND(Z89/60,0), "")</f>
        <v>33</v>
      </c>
      <c r="AC89" s="0" t="s">
        <v>41</v>
      </c>
    </row>
    <row r="90" customFormat="false" ht="12.8" hidden="false" customHeight="false" outlineLevel="0" collapsed="false">
      <c r="A90" s="0" t="s">
        <v>41</v>
      </c>
      <c r="B90" s="0" t="n">
        <v>64</v>
      </c>
      <c r="C90" s="0" t="n">
        <v>2348</v>
      </c>
      <c r="D90" s="25" t="n">
        <f aca="false">IF(NOT(ISBLANK(C90)), ROUND(C90/60,0), "")</f>
        <v>39</v>
      </c>
      <c r="E90" s="0" t="n">
        <v>2048</v>
      </c>
      <c r="F90" s="25" t="n">
        <f aca="false">IF(NOT(ISBLANK(E90)), ROUND(E90/60,0), "")</f>
        <v>34</v>
      </c>
      <c r="G90" s="0" t="n">
        <v>1905</v>
      </c>
      <c r="H90" s="25" t="n">
        <f aca="false">IF(NOT(ISBLANK(G90)), ROUND(G90/60,0), "")</f>
        <v>32</v>
      </c>
      <c r="I90" s="25"/>
      <c r="J90" s="25"/>
      <c r="K90" s="0" t="n">
        <v>1996</v>
      </c>
      <c r="L90" s="25" t="n">
        <f aca="false">IF(NOT(ISBLANK(K90)), ROUND(K90/60,0), "")</f>
        <v>33</v>
      </c>
      <c r="M90" s="0" t="n">
        <v>2146</v>
      </c>
      <c r="N90" s="25" t="n">
        <f aca="false">IF(NOT(ISBLANK(M90)), ROUND(M90/60,0), "")</f>
        <v>36</v>
      </c>
      <c r="O90" s="0" t="n">
        <v>1898</v>
      </c>
      <c r="P90" s="0" t="n">
        <f aca="false">IF(NOT(ISBLANK(O90)), ROUND(O90/60,0), "")</f>
        <v>32</v>
      </c>
      <c r="Q90" s="0" t="n">
        <v>1943</v>
      </c>
      <c r="R90" s="0" t="n">
        <f aca="false">IF(NOT(ISBLANK(Q90)), ROUND(Q90/60,0), "")</f>
        <v>32</v>
      </c>
      <c r="S90" s="0" t="n">
        <v>2212</v>
      </c>
      <c r="T90" s="0" t="n">
        <f aca="false">IF(NOT(ISBLANK(S90)), ROUND(S90/60,0), "")</f>
        <v>37</v>
      </c>
      <c r="U90" s="0" t="n">
        <v>2185</v>
      </c>
      <c r="V90" s="0" t="n">
        <f aca="false">IF(NOT(ISBLANK(U90)), ROUND(U90/60,0), "")</f>
        <v>36</v>
      </c>
      <c r="W90" s="0" t="n">
        <v>1698</v>
      </c>
      <c r="X90" s="0" t="n">
        <f aca="false">IF(NOT(ISBLANK(W90)), ROUND(W90/60,0), "")</f>
        <v>28</v>
      </c>
      <c r="Y90" s="26"/>
      <c r="Z90" s="0" t="n">
        <v>1720</v>
      </c>
      <c r="AA90" s="0" t="n">
        <f aca="false">IF(NOT(ISBLANK(Z90)), ROUND(Z90/60,0), "")</f>
        <v>29</v>
      </c>
      <c r="AC90" s="0" t="s">
        <v>41</v>
      </c>
    </row>
    <row r="91" customFormat="false" ht="12.8" hidden="false" customHeight="false" outlineLevel="0" collapsed="false">
      <c r="A91" s="0" t="s">
        <v>41</v>
      </c>
      <c r="B91" s="0" t="n">
        <v>82</v>
      </c>
      <c r="C91" s="0" t="n">
        <v>1877</v>
      </c>
      <c r="D91" s="25" t="n">
        <f aca="false">IF(NOT(ISBLANK(C91)), ROUND(C91/60,0), "")</f>
        <v>31</v>
      </c>
      <c r="E91" s="0" t="n">
        <v>1657</v>
      </c>
      <c r="F91" s="25" t="n">
        <f aca="false">IF(NOT(ISBLANK(E91)), ROUND(E91/60,0), "")</f>
        <v>28</v>
      </c>
      <c r="G91" s="0" t="n">
        <v>1979</v>
      </c>
      <c r="H91" s="25" t="n">
        <f aca="false">IF(NOT(ISBLANK(G91)), ROUND(G91/60,0), "")</f>
        <v>33</v>
      </c>
      <c r="I91" s="25"/>
      <c r="J91" s="25"/>
      <c r="K91" s="0" t="n">
        <v>1784</v>
      </c>
      <c r="L91" s="25" t="n">
        <f aca="false">IF(NOT(ISBLANK(K91)), ROUND(K91/60,0), "")</f>
        <v>30</v>
      </c>
      <c r="M91" s="0" t="n">
        <v>1775</v>
      </c>
      <c r="N91" s="25" t="n">
        <f aca="false">IF(NOT(ISBLANK(M91)), ROUND(M91/60,0), "")</f>
        <v>30</v>
      </c>
      <c r="O91" s="0" t="n">
        <v>1704</v>
      </c>
      <c r="P91" s="0" t="n">
        <f aca="false">IF(NOT(ISBLANK(O91)), ROUND(O91/60,0), "")</f>
        <v>28</v>
      </c>
      <c r="Q91" s="0" t="n">
        <v>1610</v>
      </c>
      <c r="R91" s="0" t="n">
        <f aca="false">IF(NOT(ISBLANK(Q91)), ROUND(Q91/60,0), "")</f>
        <v>27</v>
      </c>
      <c r="S91" s="0" t="n">
        <v>1741</v>
      </c>
      <c r="T91" s="0" t="n">
        <f aca="false">IF(NOT(ISBLANK(S91)), ROUND(S91/60,0), "")</f>
        <v>29</v>
      </c>
      <c r="U91" s="0" t="n">
        <v>1648</v>
      </c>
      <c r="V91" s="0" t="n">
        <f aca="false">IF(NOT(ISBLANK(U91)), ROUND(U91/60,0), "")</f>
        <v>27</v>
      </c>
      <c r="W91" s="0" t="n">
        <v>1850</v>
      </c>
      <c r="X91" s="0" t="n">
        <f aca="false">IF(NOT(ISBLANK(W91)), ROUND(W91/60,0), "")</f>
        <v>31</v>
      </c>
      <c r="Y91" s="26"/>
      <c r="Z91" s="0" t="n">
        <v>1741</v>
      </c>
      <c r="AA91" s="0" t="n">
        <f aca="false">IF(NOT(ISBLANK(Z91)), ROUND(Z91/60,0), "")</f>
        <v>29</v>
      </c>
      <c r="AC91" s="0" t="s">
        <v>41</v>
      </c>
    </row>
    <row r="92" customFormat="false" ht="12.8" hidden="false" customHeight="false" outlineLevel="0" collapsed="false">
      <c r="A92" s="0" t="s">
        <v>41</v>
      </c>
      <c r="B92" s="0" t="n">
        <v>100</v>
      </c>
      <c r="C92" s="0" t="n">
        <v>1848</v>
      </c>
      <c r="D92" s="25" t="n">
        <f aca="false">IF(NOT(ISBLANK(C92)), ROUND(C92/60,0), "")</f>
        <v>31</v>
      </c>
      <c r="E92" s="0" t="n">
        <v>1693</v>
      </c>
      <c r="F92" s="25" t="n">
        <f aca="false">IF(NOT(ISBLANK(E92)), ROUND(E92/60,0), "")</f>
        <v>28</v>
      </c>
      <c r="G92" s="0" t="n">
        <v>1639</v>
      </c>
      <c r="H92" s="25" t="n">
        <f aca="false">IF(NOT(ISBLANK(G92)), ROUND(G92/60,0), "")</f>
        <v>27</v>
      </c>
      <c r="I92" s="25"/>
      <c r="J92" s="25"/>
      <c r="K92" s="0" t="n">
        <v>1750</v>
      </c>
      <c r="L92" s="25" t="n">
        <f aca="false">IF(NOT(ISBLANK(K92)), ROUND(K92/60,0), "")</f>
        <v>29</v>
      </c>
      <c r="M92" s="0" t="n">
        <v>1697</v>
      </c>
      <c r="N92" s="25" t="n">
        <f aca="false">IF(NOT(ISBLANK(M92)), ROUND(M92/60,0), "")</f>
        <v>28</v>
      </c>
      <c r="O92" s="0" t="n">
        <v>1822</v>
      </c>
      <c r="P92" s="0" t="n">
        <f aca="false">IF(NOT(ISBLANK(O92)), ROUND(O92/60,0), "")</f>
        <v>30</v>
      </c>
      <c r="Q92" s="0" t="n">
        <v>1939</v>
      </c>
      <c r="R92" s="0" t="n">
        <f aca="false">IF(NOT(ISBLANK(Q92)), ROUND(Q92/60,0), "")</f>
        <v>32</v>
      </c>
      <c r="S92" s="0" t="n">
        <v>1644</v>
      </c>
      <c r="T92" s="0" t="n">
        <f aca="false">IF(NOT(ISBLANK(S92)), ROUND(S92/60,0), "")</f>
        <v>27</v>
      </c>
      <c r="U92" s="0" t="n">
        <v>1991</v>
      </c>
      <c r="V92" s="0" t="n">
        <f aca="false">IF(NOT(ISBLANK(U92)), ROUND(U92/60,0), "")</f>
        <v>33</v>
      </c>
      <c r="X92" s="0" t="str">
        <f aca="false">IF(NOT(ISBLANK(W92)), ROUND(W92/60,0), "")</f>
        <v/>
      </c>
      <c r="Y92" s="26"/>
      <c r="Z92" s="0" t="n">
        <v>1614</v>
      </c>
      <c r="AA92" s="0" t="n">
        <f aca="false">IF(NOT(ISBLANK(Z92)), ROUND(Z92/60,0), "")</f>
        <v>27</v>
      </c>
      <c r="AC92" s="0" t="s">
        <v>41</v>
      </c>
    </row>
    <row r="93" customFormat="false" ht="12.8" hidden="false" customHeight="false" outlineLevel="0" collapsed="false">
      <c r="A93" s="0" t="s">
        <v>42</v>
      </c>
      <c r="B93" s="0" t="n">
        <v>5</v>
      </c>
      <c r="D93" s="25" t="str">
        <f aca="false">IF(NOT(ISBLANK(C93)), ROUND(C93/60,0), "")</f>
        <v/>
      </c>
      <c r="F93" s="25" t="str">
        <f aca="false">IF(NOT(ISBLANK(E93)), ROUND(E93/60,0), "")</f>
        <v/>
      </c>
      <c r="H93" s="25" t="str">
        <f aca="false">IF(NOT(ISBLANK(G93)), ROUND(G93/60,0), "")</f>
        <v/>
      </c>
      <c r="I93" s="25"/>
      <c r="J93" s="25"/>
      <c r="L93" s="25" t="str">
        <f aca="false">IF(NOT(ISBLANK(K93)), ROUND(K93/60,0), "")</f>
        <v/>
      </c>
      <c r="N93" s="25" t="str">
        <f aca="false">IF(NOT(ISBLANK(M93)), ROUND(M93/60,0), "")</f>
        <v/>
      </c>
      <c r="P93" s="0" t="str">
        <f aca="false">IF(NOT(ISBLANK(O93)), ROUND(O93/60,0), "")</f>
        <v/>
      </c>
      <c r="R93" s="0" t="str">
        <f aca="false">IF(NOT(ISBLANK(Q93)), ROUND(Q93/60,0), "")</f>
        <v/>
      </c>
      <c r="T93" s="0" t="str">
        <f aca="false">IF(NOT(ISBLANK(S93)), ROUND(S93/60,0), "")</f>
        <v/>
      </c>
      <c r="V93" s="0" t="str">
        <f aca="false">IF(NOT(ISBLANK(U93)), ROUND(U93/60,0), "")</f>
        <v/>
      </c>
      <c r="W93" s="0" t="n">
        <v>28989</v>
      </c>
      <c r="X93" s="0" t="n">
        <f aca="false">IF(NOT(ISBLANK(W93)), ROUND(W93/60,0), "")</f>
        <v>483</v>
      </c>
      <c r="Y93" s="26"/>
      <c r="AA93" s="0" t="str">
        <f aca="false">IF(NOT(ISBLANK(Z93)), ROUND(Z93/60,0), "")</f>
        <v/>
      </c>
      <c r="AC93" s="0" t="s">
        <v>42</v>
      </c>
    </row>
    <row r="94" customFormat="false" ht="12.8" hidden="false" customHeight="false" outlineLevel="0" collapsed="false">
      <c r="A94" s="0" t="s">
        <v>42</v>
      </c>
      <c r="B94" s="0" t="n">
        <v>10</v>
      </c>
      <c r="C94" s="0" t="n">
        <v>29281</v>
      </c>
      <c r="D94" s="25" t="n">
        <f aca="false">IF(NOT(ISBLANK(C94)), ROUND(C94/60,0), "")</f>
        <v>488</v>
      </c>
      <c r="E94" s="0" t="n">
        <v>30741</v>
      </c>
      <c r="F94" s="25" t="n">
        <f aca="false">IF(NOT(ISBLANK(E94)), ROUND(E94/60,0), "")</f>
        <v>512</v>
      </c>
      <c r="G94" s="0" t="n">
        <v>24154</v>
      </c>
      <c r="H94" s="25" t="n">
        <f aca="false">IF(NOT(ISBLANK(G94)), ROUND(G94/60,0), "")</f>
        <v>403</v>
      </c>
      <c r="I94" s="25"/>
      <c r="J94" s="25"/>
      <c r="K94" s="0" t="n">
        <v>26928</v>
      </c>
      <c r="L94" s="25" t="n">
        <f aca="false">IF(NOT(ISBLANK(K94)), ROUND(K94/60,0), "")</f>
        <v>449</v>
      </c>
      <c r="N94" s="25" t="str">
        <f aca="false">IF(NOT(ISBLANK(M94)), ROUND(M94/60,0), "")</f>
        <v/>
      </c>
      <c r="O94" s="0" t="n">
        <v>29283</v>
      </c>
      <c r="P94" s="0" t="n">
        <f aca="false">IF(NOT(ISBLANK(O94)), ROUND(O94/60,0), "")</f>
        <v>488</v>
      </c>
      <c r="Q94" s="0" t="n">
        <v>26928</v>
      </c>
      <c r="R94" s="0" t="n">
        <f aca="false">IF(NOT(ISBLANK(Q94)), ROUND(Q94/60,0), "")</f>
        <v>449</v>
      </c>
      <c r="S94" s="0" t="n">
        <v>43816</v>
      </c>
      <c r="T94" s="0" t="n">
        <f aca="false">IF(NOT(ISBLANK(S94)), ROUND(S94/60,0), "")</f>
        <v>730</v>
      </c>
      <c r="U94" s="0" t="n">
        <v>29380</v>
      </c>
      <c r="V94" s="0" t="n">
        <f aca="false">IF(NOT(ISBLANK(U94)), ROUND(U94/60,0), "")</f>
        <v>490</v>
      </c>
      <c r="W94" s="0" t="n">
        <v>20506</v>
      </c>
      <c r="X94" s="0" t="n">
        <f aca="false">IF(NOT(ISBLANK(W94)), ROUND(W94/60,0), "")</f>
        <v>342</v>
      </c>
      <c r="Y94" s="26"/>
      <c r="Z94" s="0" t="n">
        <v>30848</v>
      </c>
      <c r="AA94" s="0" t="n">
        <f aca="false">IF(NOT(ISBLANK(Z94)), ROUND(Z94/60,0), "")</f>
        <v>514</v>
      </c>
      <c r="AC94" s="0" t="s">
        <v>42</v>
      </c>
    </row>
    <row r="95" customFormat="false" ht="12.8" hidden="false" customHeight="false" outlineLevel="0" collapsed="false">
      <c r="A95" s="0" t="s">
        <v>42</v>
      </c>
      <c r="B95" s="0" t="n">
        <v>15</v>
      </c>
      <c r="C95" s="0" t="n">
        <v>21915</v>
      </c>
      <c r="D95" s="25" t="n">
        <f aca="false">IF(NOT(ISBLANK(C95)), ROUND(C95/60,0), "")</f>
        <v>365</v>
      </c>
      <c r="E95" s="0" t="n">
        <v>20418</v>
      </c>
      <c r="F95" s="25" t="n">
        <f aca="false">IF(NOT(ISBLANK(E95)), ROUND(E95/60,0), "")</f>
        <v>340</v>
      </c>
      <c r="G95" s="0" t="n">
        <v>20410</v>
      </c>
      <c r="H95" s="25" t="n">
        <f aca="false">IF(NOT(ISBLANK(G95)), ROUND(G95/60,0), "")</f>
        <v>340</v>
      </c>
      <c r="I95" s="25"/>
      <c r="J95" s="25"/>
      <c r="K95" s="0" t="n">
        <v>24198</v>
      </c>
      <c r="L95" s="25" t="n">
        <f aca="false">IF(NOT(ISBLANK(K95)), ROUND(K95/60,0), "")</f>
        <v>403</v>
      </c>
      <c r="M95" s="0" t="n">
        <v>20370</v>
      </c>
      <c r="N95" s="25" t="n">
        <f aca="false">IF(NOT(ISBLANK(M95)), ROUND(M95/60,0), "")</f>
        <v>340</v>
      </c>
      <c r="O95" s="0" t="n">
        <v>20291</v>
      </c>
      <c r="P95" s="0" t="n">
        <f aca="false">IF(NOT(ISBLANK(O95)), ROUND(O95/60,0), "")</f>
        <v>338</v>
      </c>
      <c r="Q95" s="0" t="n">
        <v>23574</v>
      </c>
      <c r="R95" s="0" t="n">
        <f aca="false">IF(NOT(ISBLANK(Q95)), ROUND(Q95/60,0), "")</f>
        <v>393</v>
      </c>
      <c r="S95" s="0" t="n">
        <v>21401</v>
      </c>
      <c r="T95" s="0" t="n">
        <f aca="false">IF(NOT(ISBLANK(S95)), ROUND(S95/60,0), "")</f>
        <v>357</v>
      </c>
      <c r="U95" s="0" t="n">
        <v>22073</v>
      </c>
      <c r="V95" s="0" t="n">
        <f aca="false">IF(NOT(ISBLANK(U95)), ROUND(U95/60,0), "")</f>
        <v>368</v>
      </c>
      <c r="W95" s="0" t="n">
        <v>18117</v>
      </c>
      <c r="X95" s="0" t="n">
        <f aca="false">IF(NOT(ISBLANK(W95)), ROUND(W95/60,0), "")</f>
        <v>302</v>
      </c>
      <c r="Y95" s="26"/>
      <c r="Z95" s="0" t="n">
        <v>21420</v>
      </c>
      <c r="AA95" s="0" t="n">
        <f aca="false">IF(NOT(ISBLANK(Z95)), ROUND(Z95/60,0), "")</f>
        <v>357</v>
      </c>
      <c r="AC95" s="0" t="s">
        <v>42</v>
      </c>
    </row>
    <row r="96" customFormat="false" ht="12.8" hidden="false" customHeight="false" outlineLevel="0" collapsed="false">
      <c r="A96" s="0" t="s">
        <v>42</v>
      </c>
      <c r="B96" s="0" t="n">
        <v>20</v>
      </c>
      <c r="C96" s="0" t="n">
        <v>16573</v>
      </c>
      <c r="D96" s="25" t="n">
        <f aca="false">IF(NOT(ISBLANK(C96)), ROUND(C96/60,0), "")</f>
        <v>276</v>
      </c>
      <c r="E96" s="0" t="n">
        <v>13979</v>
      </c>
      <c r="F96" s="25" t="n">
        <f aca="false">IF(NOT(ISBLANK(E96)), ROUND(E96/60,0), "")</f>
        <v>233</v>
      </c>
      <c r="G96" s="0" t="n">
        <v>18714</v>
      </c>
      <c r="H96" s="25" t="n">
        <f aca="false">IF(NOT(ISBLANK(G96)), ROUND(G96/60,0), "")</f>
        <v>312</v>
      </c>
      <c r="I96" s="25"/>
      <c r="J96" s="25"/>
      <c r="K96" s="0" t="n">
        <v>16310</v>
      </c>
      <c r="L96" s="25" t="n">
        <f aca="false">IF(NOT(ISBLANK(K96)), ROUND(K96/60,0), "")</f>
        <v>272</v>
      </c>
      <c r="M96" s="0" t="n">
        <v>18689</v>
      </c>
      <c r="N96" s="25" t="n">
        <f aca="false">IF(NOT(ISBLANK(M96)), ROUND(M96/60,0), "")</f>
        <v>311</v>
      </c>
      <c r="O96" s="0" t="n">
        <v>17344</v>
      </c>
      <c r="P96" s="0" t="n">
        <f aca="false">IF(NOT(ISBLANK(O96)), ROUND(O96/60,0), "")</f>
        <v>289</v>
      </c>
      <c r="Q96" s="0" t="n">
        <v>16310</v>
      </c>
      <c r="R96" s="0" t="n">
        <f aca="false">IF(NOT(ISBLANK(Q96)), ROUND(Q96/60,0), "")</f>
        <v>272</v>
      </c>
      <c r="S96" s="0" t="n">
        <v>17751</v>
      </c>
      <c r="T96" s="0" t="n">
        <f aca="false">IF(NOT(ISBLANK(S96)), ROUND(S96/60,0), "")</f>
        <v>296</v>
      </c>
      <c r="U96" s="0" t="n">
        <v>13956</v>
      </c>
      <c r="V96" s="0" t="n">
        <f aca="false">IF(NOT(ISBLANK(U96)), ROUND(U96/60,0), "")</f>
        <v>233</v>
      </c>
      <c r="W96" s="0" t="n">
        <v>12545</v>
      </c>
      <c r="X96" s="0" t="n">
        <f aca="false">IF(NOT(ISBLANK(W96)), ROUND(W96/60,0), "")</f>
        <v>209</v>
      </c>
      <c r="Y96" s="26"/>
      <c r="Z96" s="0" t="n">
        <v>16657</v>
      </c>
      <c r="AA96" s="0" t="n">
        <f aca="false">IF(NOT(ISBLANK(Z96)), ROUND(Z96/60,0), "")</f>
        <v>278</v>
      </c>
      <c r="AC96" s="0" t="s">
        <v>42</v>
      </c>
    </row>
    <row r="97" customFormat="false" ht="12.8" hidden="false" customHeight="false" outlineLevel="0" collapsed="false">
      <c r="A97" s="0" t="s">
        <v>42</v>
      </c>
      <c r="B97" s="0" t="n">
        <v>30</v>
      </c>
      <c r="C97" s="0" t="n">
        <v>14829</v>
      </c>
      <c r="D97" s="25" t="n">
        <f aca="false">IF(NOT(ISBLANK(C97)), ROUND(C97/60,0), "")</f>
        <v>247</v>
      </c>
      <c r="E97" s="0" t="n">
        <v>13459</v>
      </c>
      <c r="F97" s="25" t="n">
        <f aca="false">IF(NOT(ISBLANK(E97)), ROUND(E97/60,0), "")</f>
        <v>224</v>
      </c>
      <c r="G97" s="0" t="n">
        <v>13613</v>
      </c>
      <c r="H97" s="25" t="n">
        <f aca="false">IF(NOT(ISBLANK(G97)), ROUND(G97/60,0), "")</f>
        <v>227</v>
      </c>
      <c r="I97" s="25"/>
      <c r="J97" s="25"/>
      <c r="K97" s="0" t="n">
        <v>12693</v>
      </c>
      <c r="L97" s="25" t="n">
        <f aca="false">IF(NOT(ISBLANK(K97)), ROUND(K97/60,0), "")</f>
        <v>212</v>
      </c>
      <c r="M97" s="0" t="n">
        <v>13330</v>
      </c>
      <c r="N97" s="25" t="n">
        <f aca="false">IF(NOT(ISBLANK(M97)), ROUND(M97/60,0), "")</f>
        <v>222</v>
      </c>
      <c r="O97" s="0" t="n">
        <v>11979</v>
      </c>
      <c r="P97" s="0" t="n">
        <f aca="false">IF(NOT(ISBLANK(O97)), ROUND(O97/60,0), "")</f>
        <v>200</v>
      </c>
      <c r="Q97" s="0" t="n">
        <v>13066</v>
      </c>
      <c r="R97" s="0" t="n">
        <f aca="false">IF(NOT(ISBLANK(Q97)), ROUND(Q97/60,0), "")</f>
        <v>218</v>
      </c>
      <c r="S97" s="0" t="n">
        <v>13993</v>
      </c>
      <c r="T97" s="0" t="n">
        <f aca="false">IF(NOT(ISBLANK(S97)), ROUND(S97/60,0), "")</f>
        <v>233</v>
      </c>
      <c r="U97" s="0" t="n">
        <v>11728</v>
      </c>
      <c r="V97" s="0" t="n">
        <f aca="false">IF(NOT(ISBLANK(U97)), ROUND(U97/60,0), "")</f>
        <v>195</v>
      </c>
      <c r="W97" s="0" t="n">
        <v>12007</v>
      </c>
      <c r="X97" s="0" t="n">
        <f aca="false">IF(NOT(ISBLANK(W97)), ROUND(W97/60,0), "")</f>
        <v>200</v>
      </c>
      <c r="Y97" s="26"/>
      <c r="Z97" s="0" t="n">
        <v>12230</v>
      </c>
      <c r="AA97" s="0" t="n">
        <f aca="false">IF(NOT(ISBLANK(Z97)), ROUND(Z97/60,0), "")</f>
        <v>204</v>
      </c>
      <c r="AC97" s="0" t="s">
        <v>42</v>
      </c>
    </row>
    <row r="98" customFormat="false" ht="12.8" hidden="false" customHeight="false" outlineLevel="0" collapsed="false">
      <c r="A98" s="0" t="s">
        <v>42</v>
      </c>
      <c r="B98" s="0" t="n">
        <v>40</v>
      </c>
      <c r="C98" s="0" t="n">
        <v>11240</v>
      </c>
      <c r="D98" s="25" t="n">
        <f aca="false">IF(NOT(ISBLANK(C98)), ROUND(C98/60,0), "")</f>
        <v>187</v>
      </c>
      <c r="E98" s="0" t="n">
        <v>11368</v>
      </c>
      <c r="F98" s="25" t="n">
        <f aca="false">IF(NOT(ISBLANK(E98)), ROUND(E98/60,0), "")</f>
        <v>189</v>
      </c>
      <c r="G98" s="0" t="n">
        <v>11046</v>
      </c>
      <c r="H98" s="25" t="n">
        <f aca="false">IF(NOT(ISBLANK(G98)), ROUND(G98/60,0), "")</f>
        <v>184</v>
      </c>
      <c r="I98" s="25"/>
      <c r="J98" s="25"/>
      <c r="K98" s="0" t="n">
        <v>11408</v>
      </c>
      <c r="L98" s="25" t="n">
        <f aca="false">IF(NOT(ISBLANK(K98)), ROUND(K98/60,0), "")</f>
        <v>190</v>
      </c>
      <c r="M98" s="0" t="n">
        <v>11185</v>
      </c>
      <c r="N98" s="25" t="n">
        <f aca="false">IF(NOT(ISBLANK(M98)), ROUND(M98/60,0), "")</f>
        <v>186</v>
      </c>
      <c r="O98" s="0" t="n">
        <v>10920</v>
      </c>
      <c r="P98" s="0" t="n">
        <f aca="false">IF(NOT(ISBLANK(O98)), ROUND(O98/60,0), "")</f>
        <v>182</v>
      </c>
      <c r="Q98" s="0" t="n">
        <v>9622</v>
      </c>
      <c r="R98" s="0" t="n">
        <f aca="false">IF(NOT(ISBLANK(Q98)), ROUND(Q98/60,0), "")</f>
        <v>160</v>
      </c>
      <c r="S98" s="0" t="n">
        <v>9729</v>
      </c>
      <c r="T98" s="0" t="n">
        <f aca="false">IF(NOT(ISBLANK(S98)), ROUND(S98/60,0), "")</f>
        <v>162</v>
      </c>
      <c r="U98" s="0" t="n">
        <v>12599</v>
      </c>
      <c r="V98" s="0" t="n">
        <f aca="false">IF(NOT(ISBLANK(U98)), ROUND(U98/60,0), "")</f>
        <v>210</v>
      </c>
      <c r="W98" s="0" t="n">
        <v>10979</v>
      </c>
      <c r="X98" s="0" t="n">
        <f aca="false">IF(NOT(ISBLANK(W98)), ROUND(W98/60,0), "")</f>
        <v>183</v>
      </c>
      <c r="Y98" s="26"/>
      <c r="Z98" s="0" t="n">
        <v>10615</v>
      </c>
      <c r="AA98" s="0" t="n">
        <f aca="false">IF(NOT(ISBLANK(Z98)), ROUND(Z98/60,0), "")</f>
        <v>177</v>
      </c>
      <c r="AC98" s="0" t="s">
        <v>42</v>
      </c>
    </row>
    <row r="99" customFormat="false" ht="12.8" hidden="false" customHeight="false" outlineLevel="0" collapsed="false">
      <c r="A99" s="0" t="s">
        <v>42</v>
      </c>
      <c r="B99" s="0" t="n">
        <v>50</v>
      </c>
      <c r="C99" s="0" t="n">
        <v>10759</v>
      </c>
      <c r="D99" s="25" t="n">
        <f aca="false">IF(NOT(ISBLANK(C99)), ROUND(C99/60,0), "")</f>
        <v>179</v>
      </c>
      <c r="E99" s="0" t="n">
        <v>10894</v>
      </c>
      <c r="F99" s="25" t="n">
        <f aca="false">IF(NOT(ISBLANK(E99)), ROUND(E99/60,0), "")</f>
        <v>182</v>
      </c>
      <c r="G99" s="0" t="n">
        <v>11046</v>
      </c>
      <c r="H99" s="25" t="n">
        <f aca="false">IF(NOT(ISBLANK(G99)), ROUND(G99/60,0), "")</f>
        <v>184</v>
      </c>
      <c r="I99" s="25"/>
      <c r="J99" s="25"/>
      <c r="K99" s="0" t="n">
        <v>9367</v>
      </c>
      <c r="L99" s="25" t="n">
        <f aca="false">IF(NOT(ISBLANK(K99)), ROUND(K99/60,0), "")</f>
        <v>156</v>
      </c>
      <c r="M99" s="0" t="n">
        <v>10290</v>
      </c>
      <c r="N99" s="25" t="n">
        <f aca="false">IF(NOT(ISBLANK(M99)), ROUND(M99/60,0), "")</f>
        <v>172</v>
      </c>
      <c r="O99" s="0" t="n">
        <v>8919</v>
      </c>
      <c r="P99" s="0" t="n">
        <f aca="false">IF(NOT(ISBLANK(O99)), ROUND(O99/60,0), "")</f>
        <v>149</v>
      </c>
      <c r="Q99" s="0" t="n">
        <v>10948</v>
      </c>
      <c r="R99" s="0" t="n">
        <f aca="false">IF(NOT(ISBLANK(Q99)), ROUND(Q99/60,0), "")</f>
        <v>182</v>
      </c>
      <c r="S99" s="0" t="n">
        <v>10068</v>
      </c>
      <c r="T99" s="0" t="n">
        <f aca="false">IF(NOT(ISBLANK(S99)), ROUND(S99/60,0), "")</f>
        <v>168</v>
      </c>
      <c r="U99" s="0" t="n">
        <v>9079</v>
      </c>
      <c r="V99" s="0" t="n">
        <f aca="false">IF(NOT(ISBLANK(U99)), ROUND(U99/60,0), "")</f>
        <v>151</v>
      </c>
      <c r="W99" s="0" t="n">
        <v>8700</v>
      </c>
      <c r="X99" s="0" t="n">
        <f aca="false">IF(NOT(ISBLANK(W99)), ROUND(W99/60,0), "")</f>
        <v>145</v>
      </c>
      <c r="Y99" s="26"/>
      <c r="Z99" s="0" t="n">
        <v>9815</v>
      </c>
      <c r="AA99" s="0" t="n">
        <f aca="false">IF(NOT(ISBLANK(Z99)), ROUND(Z99/60,0), "")</f>
        <v>164</v>
      </c>
      <c r="AC99" s="0" t="s">
        <v>42</v>
      </c>
    </row>
    <row r="100" customFormat="false" ht="12.8" hidden="false" customHeight="false" outlineLevel="0" collapsed="false">
      <c r="A100" s="0" t="s">
        <v>42</v>
      </c>
      <c r="B100" s="0" t="n">
        <v>64</v>
      </c>
      <c r="C100" s="0" t="n">
        <v>8390</v>
      </c>
      <c r="D100" s="25" t="n">
        <f aca="false">IF(NOT(ISBLANK(C100)), ROUND(C100/60,0), "")</f>
        <v>140</v>
      </c>
      <c r="E100" s="0" t="n">
        <v>7942</v>
      </c>
      <c r="F100" s="25" t="n">
        <f aca="false">IF(NOT(ISBLANK(E100)), ROUND(E100/60,0), "")</f>
        <v>132</v>
      </c>
      <c r="G100" s="0" t="n">
        <v>8688</v>
      </c>
      <c r="H100" s="25" t="n">
        <f aca="false">IF(NOT(ISBLANK(G100)), ROUND(G100/60,0), "")</f>
        <v>145</v>
      </c>
      <c r="I100" s="25"/>
      <c r="J100" s="25"/>
      <c r="K100" s="0" t="n">
        <v>8815</v>
      </c>
      <c r="L100" s="25" t="n">
        <f aca="false">IF(NOT(ISBLANK(K100)), ROUND(K100/60,0), "")</f>
        <v>147</v>
      </c>
      <c r="M100" s="0" t="n">
        <v>8905</v>
      </c>
      <c r="N100" s="25" t="n">
        <f aca="false">IF(NOT(ISBLANK(M100)), ROUND(M100/60,0), "")</f>
        <v>148</v>
      </c>
      <c r="O100" s="0" t="n">
        <v>7746</v>
      </c>
      <c r="P100" s="0" t="n">
        <f aca="false">IF(NOT(ISBLANK(O100)), ROUND(O100/60,0), "")</f>
        <v>129</v>
      </c>
      <c r="Q100" s="0" t="n">
        <v>8815</v>
      </c>
      <c r="R100" s="0" t="n">
        <f aca="false">IF(NOT(ISBLANK(Q100)), ROUND(Q100/60,0), "")</f>
        <v>147</v>
      </c>
      <c r="S100" s="0" t="n">
        <v>8311</v>
      </c>
      <c r="T100" s="0" t="n">
        <f aca="false">IF(NOT(ISBLANK(S100)), ROUND(S100/60,0), "")</f>
        <v>139</v>
      </c>
      <c r="U100" s="0" t="n">
        <v>7681</v>
      </c>
      <c r="V100" s="0" t="n">
        <f aca="false">IF(NOT(ISBLANK(U100)), ROUND(U100/60,0), "")</f>
        <v>128</v>
      </c>
      <c r="W100" s="0" t="n">
        <v>6761</v>
      </c>
      <c r="X100" s="0" t="n">
        <f aca="false">IF(NOT(ISBLANK(W100)), ROUND(W100/60,0), "")</f>
        <v>113</v>
      </c>
      <c r="Y100" s="26"/>
      <c r="Z100" s="0" t="n">
        <v>8872</v>
      </c>
      <c r="AA100" s="0" t="n">
        <f aca="false">IF(NOT(ISBLANK(Z100)), ROUND(Z100/60,0), "")</f>
        <v>148</v>
      </c>
      <c r="AC100" s="0" t="s">
        <v>42</v>
      </c>
    </row>
    <row r="101" customFormat="false" ht="12.8" hidden="false" customHeight="false" outlineLevel="0" collapsed="false">
      <c r="A101" s="0" t="s">
        <v>42</v>
      </c>
      <c r="B101" s="0" t="n">
        <v>82</v>
      </c>
      <c r="C101" s="0" t="n">
        <v>7874</v>
      </c>
      <c r="D101" s="25" t="n">
        <f aca="false">IF(NOT(ISBLANK(C101)), ROUND(C101/60,0), "")</f>
        <v>131</v>
      </c>
      <c r="E101" s="0" t="n">
        <v>7059</v>
      </c>
      <c r="F101" s="25" t="n">
        <f aca="false">IF(NOT(ISBLANK(E101)), ROUND(E101/60,0), "")</f>
        <v>118</v>
      </c>
      <c r="G101" s="0" t="n">
        <v>7628</v>
      </c>
      <c r="H101" s="25" t="n">
        <f aca="false">IF(NOT(ISBLANK(G101)), ROUND(G101/60,0), "")</f>
        <v>127</v>
      </c>
      <c r="I101" s="25"/>
      <c r="J101" s="25"/>
      <c r="K101" s="0" t="n">
        <v>7888</v>
      </c>
      <c r="L101" s="25" t="n">
        <f aca="false">IF(NOT(ISBLANK(K101)), ROUND(K101/60,0), "")</f>
        <v>131</v>
      </c>
      <c r="M101" s="0" t="n">
        <v>7949</v>
      </c>
      <c r="N101" s="25" t="n">
        <f aca="false">IF(NOT(ISBLANK(M101)), ROUND(M101/60,0), "")</f>
        <v>132</v>
      </c>
      <c r="O101" s="0" t="n">
        <v>8825</v>
      </c>
      <c r="P101" s="0" t="n">
        <f aca="false">IF(NOT(ISBLANK(O101)), ROUND(O101/60,0), "")</f>
        <v>147</v>
      </c>
      <c r="Q101" s="0" t="n">
        <v>6450</v>
      </c>
      <c r="R101" s="0" t="n">
        <f aca="false">IF(NOT(ISBLANK(Q101)), ROUND(Q101/60,0), "")</f>
        <v>108</v>
      </c>
      <c r="S101" s="0" t="n">
        <v>9155</v>
      </c>
      <c r="T101" s="0" t="n">
        <f aca="false">IF(NOT(ISBLANK(S101)), ROUND(S101/60,0), "")</f>
        <v>153</v>
      </c>
      <c r="U101" s="0" t="n">
        <v>8186</v>
      </c>
      <c r="V101" s="0" t="n">
        <f aca="false">IF(NOT(ISBLANK(U101)), ROUND(U101/60,0), "")</f>
        <v>136</v>
      </c>
      <c r="W101" s="0" t="n">
        <v>8021</v>
      </c>
      <c r="X101" s="0" t="n">
        <f aca="false">IF(NOT(ISBLANK(W101)), ROUND(W101/60,0), "")</f>
        <v>134</v>
      </c>
      <c r="Y101" s="26"/>
      <c r="Z101" s="0" t="n">
        <v>8096</v>
      </c>
      <c r="AA101" s="0" t="n">
        <f aca="false">IF(NOT(ISBLANK(Z101)), ROUND(Z101/60,0), "")</f>
        <v>135</v>
      </c>
      <c r="AC101" s="0" t="s">
        <v>42</v>
      </c>
    </row>
    <row r="102" customFormat="false" ht="12.8" hidden="false" customHeight="false" outlineLevel="0" collapsed="false">
      <c r="A102" s="0" t="s">
        <v>42</v>
      </c>
      <c r="B102" s="0" t="n">
        <v>100</v>
      </c>
      <c r="C102" s="0" t="n">
        <v>5989</v>
      </c>
      <c r="D102" s="25" t="n">
        <f aca="false">IF(NOT(ISBLANK(C102)), ROUND(C102/60,0), "")</f>
        <v>100</v>
      </c>
      <c r="E102" s="0" t="n">
        <v>7583</v>
      </c>
      <c r="F102" s="25" t="n">
        <f aca="false">IF(NOT(ISBLANK(E102)), ROUND(E102/60,0), "")</f>
        <v>126</v>
      </c>
      <c r="G102" s="0" t="n">
        <v>8561</v>
      </c>
      <c r="H102" s="25" t="n">
        <f aca="false">IF(NOT(ISBLANK(G102)), ROUND(G102/60,0), "")</f>
        <v>143</v>
      </c>
      <c r="I102" s="25"/>
      <c r="J102" s="25"/>
      <c r="K102" s="0" t="n">
        <v>5118</v>
      </c>
      <c r="L102" s="25" t="n">
        <f aca="false">IF(NOT(ISBLANK(K102)), ROUND(K102/60,0), "")</f>
        <v>85</v>
      </c>
      <c r="M102" s="0" t="n">
        <v>6832</v>
      </c>
      <c r="N102" s="25" t="n">
        <f aca="false">IF(NOT(ISBLANK(M102)), ROUND(M102/60,0), "")</f>
        <v>114</v>
      </c>
      <c r="O102" s="0" t="n">
        <v>6282</v>
      </c>
      <c r="P102" s="0" t="n">
        <f aca="false">IF(NOT(ISBLANK(O102)), ROUND(O102/60,0), "")</f>
        <v>105</v>
      </c>
      <c r="Q102" s="0" t="n">
        <v>5308</v>
      </c>
      <c r="R102" s="0" t="n">
        <f aca="false">IF(NOT(ISBLANK(Q102)), ROUND(Q102/60,0), "")</f>
        <v>88</v>
      </c>
      <c r="S102" s="0" t="n">
        <v>6459</v>
      </c>
      <c r="T102" s="0" t="n">
        <f aca="false">IF(NOT(ISBLANK(S102)), ROUND(S102/60,0), "")</f>
        <v>108</v>
      </c>
      <c r="U102" s="0" t="n">
        <v>5560</v>
      </c>
      <c r="V102" s="0" t="n">
        <f aca="false">IF(NOT(ISBLANK(U102)), ROUND(U102/60,0), "")</f>
        <v>93</v>
      </c>
      <c r="W102" s="0" t="n">
        <v>45896</v>
      </c>
      <c r="X102" s="0" t="n">
        <f aca="false">IF(NOT(ISBLANK(W102)), ROUND(W102/60,0), "")</f>
        <v>765</v>
      </c>
      <c r="Y102" s="26"/>
      <c r="Z102" s="0" t="n">
        <v>7582</v>
      </c>
      <c r="AA102" s="0" t="n">
        <f aca="false">IF(NOT(ISBLANK(Z102)), ROUND(Z102/60,0), "")</f>
        <v>126</v>
      </c>
      <c r="AC102" s="0" t="s">
        <v>42</v>
      </c>
    </row>
    <row r="103" customFormat="false" ht="12.8" hidden="false" customHeight="false" outlineLevel="0" collapsed="false">
      <c r="A103" s="0" t="s">
        <v>43</v>
      </c>
      <c r="B103" s="0" t="n">
        <v>5</v>
      </c>
      <c r="D103" s="25" t="str">
        <f aca="false">IF(NOT(ISBLANK(C103)), ROUND(C103/60,0), "")</f>
        <v/>
      </c>
      <c r="F103" s="25" t="str">
        <f aca="false">IF(NOT(ISBLANK(E103)), ROUND(E103/60,0), "")</f>
        <v/>
      </c>
      <c r="H103" s="25" t="str">
        <f aca="false">IF(NOT(ISBLANK(G103)), ROUND(G103/60,0), "")</f>
        <v/>
      </c>
      <c r="I103" s="25"/>
      <c r="J103" s="25"/>
      <c r="L103" s="25" t="str">
        <f aca="false">IF(NOT(ISBLANK(K103)), ROUND(K103/60,0), "")</f>
        <v/>
      </c>
      <c r="N103" s="25" t="str">
        <f aca="false">IF(NOT(ISBLANK(M103)), ROUND(M103/60,0), "")</f>
        <v/>
      </c>
      <c r="P103" s="0" t="str">
        <f aca="false">IF(NOT(ISBLANK(O103)), ROUND(O103/60,0), "")</f>
        <v/>
      </c>
      <c r="R103" s="0" t="str">
        <f aca="false">IF(NOT(ISBLANK(Q103)), ROUND(Q103/60,0), "")</f>
        <v/>
      </c>
      <c r="T103" s="0" t="str">
        <f aca="false">IF(NOT(ISBLANK(S103)), ROUND(S103/60,0), "")</f>
        <v/>
      </c>
      <c r="V103" s="0" t="str">
        <f aca="false">IF(NOT(ISBLANK(U103)), ROUND(U103/60,0), "")</f>
        <v/>
      </c>
      <c r="X103" s="0" t="str">
        <f aca="false">IF(NOT(ISBLANK(W103)), ROUND(W103/60,0), "")</f>
        <v/>
      </c>
      <c r="Y103" s="26"/>
      <c r="AA103" s="0" t="str">
        <f aca="false">IF(NOT(ISBLANK(Z103)), ROUND(Z103/60,0), "")</f>
        <v/>
      </c>
      <c r="AC103" s="0" t="s">
        <v>43</v>
      </c>
    </row>
    <row r="104" customFormat="false" ht="12.8" hidden="false" customHeight="false" outlineLevel="0" collapsed="false">
      <c r="A104" s="0" t="s">
        <v>43</v>
      </c>
      <c r="B104" s="0" t="n">
        <v>10</v>
      </c>
      <c r="D104" s="25" t="str">
        <f aca="false">IF(NOT(ISBLANK(C104)), ROUND(C104/60,0), "")</f>
        <v/>
      </c>
      <c r="F104" s="25" t="str">
        <f aca="false">IF(NOT(ISBLANK(E104)), ROUND(E104/60,0), "")</f>
        <v/>
      </c>
      <c r="H104" s="25" t="str">
        <f aca="false">IF(NOT(ISBLANK(G104)), ROUND(G104/60,0), "")</f>
        <v/>
      </c>
      <c r="I104" s="25"/>
      <c r="J104" s="25"/>
      <c r="L104" s="25" t="str">
        <f aca="false">IF(NOT(ISBLANK(K104)), ROUND(K104/60,0), "")</f>
        <v/>
      </c>
      <c r="N104" s="25" t="str">
        <f aca="false">IF(NOT(ISBLANK(M104)), ROUND(M104/60,0), "")</f>
        <v/>
      </c>
      <c r="P104" s="0" t="str">
        <f aca="false">IF(NOT(ISBLANK(O104)), ROUND(O104/60,0), "")</f>
        <v/>
      </c>
      <c r="R104" s="0" t="str">
        <f aca="false">IF(NOT(ISBLANK(Q104)), ROUND(Q104/60,0), "")</f>
        <v/>
      </c>
      <c r="S104" s="0" t="n">
        <v>122105</v>
      </c>
      <c r="T104" s="0" t="n">
        <f aca="false">IF(NOT(ISBLANK(S104)), ROUND(S104/60,0), "")</f>
        <v>2035</v>
      </c>
      <c r="V104" s="0" t="str">
        <f aca="false">IF(NOT(ISBLANK(U104)), ROUND(U104/60,0), "")</f>
        <v/>
      </c>
      <c r="X104" s="0" t="str">
        <f aca="false">IF(NOT(ISBLANK(W104)), ROUND(W104/60,0), "")</f>
        <v/>
      </c>
      <c r="Y104" s="26"/>
      <c r="AA104" s="0" t="str">
        <f aca="false">IF(NOT(ISBLANK(Z104)), ROUND(Z104/60,0), "")</f>
        <v/>
      </c>
      <c r="AC104" s="0" t="s">
        <v>43</v>
      </c>
    </row>
    <row r="105" customFormat="false" ht="12.8" hidden="false" customHeight="false" outlineLevel="0" collapsed="false">
      <c r="A105" s="0" t="s">
        <v>43</v>
      </c>
      <c r="B105" s="0" t="n">
        <v>15</v>
      </c>
      <c r="C105" s="0" t="n">
        <v>93118</v>
      </c>
      <c r="D105" s="25" t="n">
        <f aca="false">IF(NOT(ISBLANK(C105)), ROUND(C105/60,0), "")</f>
        <v>1552</v>
      </c>
      <c r="F105" s="25" t="str">
        <f aca="false">IF(NOT(ISBLANK(E105)), ROUND(E105/60,0), "")</f>
        <v/>
      </c>
      <c r="H105" s="25" t="str">
        <f aca="false">IF(NOT(ISBLANK(G105)), ROUND(G105/60,0), "")</f>
        <v/>
      </c>
      <c r="I105" s="25"/>
      <c r="J105" s="25"/>
      <c r="L105" s="25"/>
      <c r="N105" s="25" t="str">
        <f aca="false">IF(NOT(ISBLANK(M105)), ROUND(M105/60,0), "")</f>
        <v/>
      </c>
      <c r="P105" s="0" t="str">
        <f aca="false">IF(NOT(ISBLANK(O105)), ROUND(O105/60,0), "")</f>
        <v/>
      </c>
      <c r="R105" s="0" t="str">
        <f aca="false">IF(NOT(ISBLANK(Q105)), ROUND(Q105/60,0), "")</f>
        <v/>
      </c>
      <c r="T105" s="0" t="str">
        <f aca="false">IF(NOT(ISBLANK(S105)), ROUND(S105/60,0), "")</f>
        <v/>
      </c>
      <c r="V105" s="0" t="str">
        <f aca="false">IF(NOT(ISBLANK(U105)), ROUND(U105/60,0), "")</f>
        <v/>
      </c>
      <c r="X105" s="0" t="str">
        <f aca="false">IF(NOT(ISBLANK(W105)), ROUND(W105/60,0), "")</f>
        <v/>
      </c>
      <c r="Y105" s="26"/>
      <c r="AA105" s="0" t="str">
        <f aca="false">IF(NOT(ISBLANK(Z105)), ROUND(Z105/60,0), "")</f>
        <v/>
      </c>
      <c r="AC105" s="0" t="s">
        <v>43</v>
      </c>
    </row>
    <row r="106" customFormat="false" ht="12.8" hidden="false" customHeight="false" outlineLevel="0" collapsed="false">
      <c r="A106" s="0" t="s">
        <v>43</v>
      </c>
      <c r="B106" s="0" t="n">
        <v>20</v>
      </c>
      <c r="C106" s="0" t="n">
        <v>64855</v>
      </c>
      <c r="D106" s="25" t="n">
        <f aca="false">IF(NOT(ISBLANK(C106)), ROUND(C106/60,0), "")</f>
        <v>1081</v>
      </c>
      <c r="F106" s="25" t="str">
        <f aca="false">IF(NOT(ISBLANK(E106)), ROUND(E106/60,0), "")</f>
        <v/>
      </c>
      <c r="H106" s="25" t="str">
        <f aca="false">IF(NOT(ISBLANK(G106)), ROUND(G106/60,0), "")</f>
        <v/>
      </c>
      <c r="I106" s="25"/>
      <c r="J106" s="25"/>
      <c r="L106" s="25"/>
      <c r="N106" s="25" t="str">
        <f aca="false">IF(NOT(ISBLANK(M106)), ROUND(M106/60,0), "")</f>
        <v/>
      </c>
      <c r="P106" s="0" t="str">
        <f aca="false">IF(NOT(ISBLANK(O106)), ROUND(O106/60,0), "")</f>
        <v/>
      </c>
      <c r="R106" s="0" t="str">
        <f aca="false">IF(NOT(ISBLANK(Q106)), ROUND(Q106/60,0), "")</f>
        <v/>
      </c>
      <c r="S106" s="0" t="n">
        <v>68182</v>
      </c>
      <c r="T106" s="0" t="n">
        <f aca="false">IF(NOT(ISBLANK(S106)), ROUND(S106/60,0), "")</f>
        <v>1136</v>
      </c>
      <c r="V106" s="0" t="str">
        <f aca="false">IF(NOT(ISBLANK(U106)), ROUND(U106/60,0), "")</f>
        <v/>
      </c>
      <c r="X106" s="0" t="str">
        <f aca="false">IF(NOT(ISBLANK(W106)), ROUND(W106/60,0), "")</f>
        <v/>
      </c>
      <c r="Y106" s="26"/>
      <c r="AA106" s="0" t="str">
        <f aca="false">IF(NOT(ISBLANK(Z106)), ROUND(Z106/60,0), "")</f>
        <v/>
      </c>
      <c r="AC106" s="0" t="s">
        <v>43</v>
      </c>
    </row>
    <row r="107" customFormat="false" ht="12.8" hidden="false" customHeight="false" outlineLevel="0" collapsed="false">
      <c r="A107" s="0" t="s">
        <v>43</v>
      </c>
      <c r="B107" s="0" t="n">
        <v>30</v>
      </c>
      <c r="C107" s="0" t="n">
        <v>46432</v>
      </c>
      <c r="D107" s="25" t="n">
        <f aca="false">IF(NOT(ISBLANK(C107)), ROUND(C107/60,0), "")</f>
        <v>774</v>
      </c>
      <c r="F107" s="25" t="str">
        <f aca="false">IF(NOT(ISBLANK(E107)), ROUND(E107/60,0), "")</f>
        <v/>
      </c>
      <c r="H107" s="25" t="str">
        <f aca="false">IF(NOT(ISBLANK(G107)), ROUND(G107/60,0), "")</f>
        <v/>
      </c>
      <c r="I107" s="25"/>
      <c r="J107" s="25"/>
      <c r="L107" s="25"/>
      <c r="N107" s="25" t="str">
        <f aca="false">IF(NOT(ISBLANK(M107)), ROUND(M107/60,0), "")</f>
        <v/>
      </c>
      <c r="P107" s="0" t="str">
        <f aca="false">IF(NOT(ISBLANK(O107)), ROUND(O107/60,0), "")</f>
        <v/>
      </c>
      <c r="R107" s="0" t="str">
        <f aca="false">IF(NOT(ISBLANK(Q107)), ROUND(Q107/60,0), "")</f>
        <v/>
      </c>
      <c r="S107" s="0" t="n">
        <v>47242</v>
      </c>
      <c r="T107" s="0" t="n">
        <f aca="false">IF(NOT(ISBLANK(S107)), ROUND(S107/60,0), "")</f>
        <v>787</v>
      </c>
      <c r="V107" s="0" t="str">
        <f aca="false">IF(NOT(ISBLANK(U107)), ROUND(U107/60,0), "")</f>
        <v/>
      </c>
      <c r="X107" s="0" t="str">
        <f aca="false">IF(NOT(ISBLANK(W107)), ROUND(W107/60,0), "")</f>
        <v/>
      </c>
      <c r="Y107" s="26"/>
      <c r="AA107" s="0" t="str">
        <f aca="false">IF(NOT(ISBLANK(Z107)), ROUND(Z107/60,0), "")</f>
        <v/>
      </c>
      <c r="AC107" s="0" t="s">
        <v>43</v>
      </c>
    </row>
    <row r="108" customFormat="false" ht="12.8" hidden="false" customHeight="false" outlineLevel="0" collapsed="false">
      <c r="A108" s="0" t="s">
        <v>43</v>
      </c>
      <c r="B108" s="0" t="n">
        <v>40</v>
      </c>
      <c r="C108" s="0" t="n">
        <v>40801</v>
      </c>
      <c r="D108" s="25" t="n">
        <f aca="false">IF(NOT(ISBLANK(C108)), ROUND(C108/60,0), "")</f>
        <v>680</v>
      </c>
      <c r="F108" s="25" t="str">
        <f aca="false">IF(NOT(ISBLANK(E108)), ROUND(E108/60,0), "")</f>
        <v/>
      </c>
      <c r="H108" s="25" t="str">
        <f aca="false">IF(NOT(ISBLANK(G108)), ROUND(G108/60,0), "")</f>
        <v/>
      </c>
      <c r="I108" s="25"/>
      <c r="J108" s="25"/>
      <c r="L108" s="25"/>
      <c r="N108" s="25" t="str">
        <f aca="false">IF(NOT(ISBLANK(M108)), ROUND(M108/60,0), "")</f>
        <v/>
      </c>
      <c r="P108" s="0" t="str">
        <f aca="false">IF(NOT(ISBLANK(O108)), ROUND(O108/60,0), "")</f>
        <v/>
      </c>
      <c r="R108" s="0" t="str">
        <f aca="false">IF(NOT(ISBLANK(Q108)), ROUND(Q108/60,0), "")</f>
        <v/>
      </c>
      <c r="S108" s="0" t="n">
        <v>34323</v>
      </c>
      <c r="T108" s="0" t="n">
        <f aca="false">IF(NOT(ISBLANK(S108)), ROUND(S108/60,0), "")</f>
        <v>572</v>
      </c>
      <c r="V108" s="0" t="str">
        <f aca="false">IF(NOT(ISBLANK(U108)), ROUND(U108/60,0), "")</f>
        <v/>
      </c>
      <c r="X108" s="0" t="str">
        <f aca="false">IF(NOT(ISBLANK(W108)), ROUND(W108/60,0), "")</f>
        <v/>
      </c>
      <c r="Y108" s="26"/>
      <c r="AA108" s="0" t="str">
        <f aca="false">IF(NOT(ISBLANK(Z108)), ROUND(Z108/60,0), "")</f>
        <v/>
      </c>
      <c r="AC108" s="0" t="s">
        <v>43</v>
      </c>
    </row>
    <row r="109" customFormat="false" ht="12.8" hidden="false" customHeight="false" outlineLevel="0" collapsed="false">
      <c r="A109" s="0" t="s">
        <v>43</v>
      </c>
      <c r="B109" s="0" t="n">
        <v>50</v>
      </c>
      <c r="C109" s="0" t="n">
        <v>32194</v>
      </c>
      <c r="D109" s="25" t="n">
        <f aca="false">IF(NOT(ISBLANK(C109)), ROUND(C109/60,0), "")</f>
        <v>537</v>
      </c>
      <c r="F109" s="25" t="str">
        <f aca="false">IF(NOT(ISBLANK(E109)), ROUND(E109/60,0), "")</f>
        <v/>
      </c>
      <c r="H109" s="25" t="str">
        <f aca="false">IF(NOT(ISBLANK(G109)), ROUND(G109/60,0), "")</f>
        <v/>
      </c>
      <c r="I109" s="25"/>
      <c r="J109" s="25"/>
      <c r="L109" s="25"/>
      <c r="N109" s="25" t="str">
        <f aca="false">IF(NOT(ISBLANK(M109)), ROUND(M109/60,0), "")</f>
        <v/>
      </c>
      <c r="P109" s="0" t="str">
        <f aca="false">IF(NOT(ISBLANK(O109)), ROUND(O109/60,0), "")</f>
        <v/>
      </c>
      <c r="R109" s="0" t="str">
        <f aca="false">IF(NOT(ISBLANK(Q109)), ROUND(Q109/60,0), "")</f>
        <v/>
      </c>
      <c r="S109" s="0" t="n">
        <v>30291</v>
      </c>
      <c r="T109" s="0" t="n">
        <f aca="false">IF(NOT(ISBLANK(S109)), ROUND(S109/60,0), "")</f>
        <v>505</v>
      </c>
      <c r="V109" s="0" t="str">
        <f aca="false">IF(NOT(ISBLANK(U109)), ROUND(U109/60,0), "")</f>
        <v/>
      </c>
      <c r="X109" s="0" t="str">
        <f aca="false">IF(NOT(ISBLANK(W109)), ROUND(W109/60,0), "")</f>
        <v/>
      </c>
      <c r="Y109" s="26"/>
      <c r="AA109" s="0" t="str">
        <f aca="false">IF(NOT(ISBLANK(Z109)), ROUND(Z109/60,0), "")</f>
        <v/>
      </c>
      <c r="AC109" s="0" t="s">
        <v>43</v>
      </c>
    </row>
    <row r="110" customFormat="false" ht="12.8" hidden="false" customHeight="false" outlineLevel="0" collapsed="false">
      <c r="A110" s="0" t="s">
        <v>43</v>
      </c>
      <c r="B110" s="0" t="n">
        <v>64</v>
      </c>
      <c r="C110" s="0" t="n">
        <v>27789</v>
      </c>
      <c r="D110" s="25" t="n">
        <f aca="false">IF(NOT(ISBLANK(C110)), ROUND(C110/60,0), "")</f>
        <v>463</v>
      </c>
      <c r="F110" s="25" t="str">
        <f aca="false">IF(NOT(ISBLANK(E110)), ROUND(E110/60,0), "")</f>
        <v/>
      </c>
      <c r="H110" s="25" t="str">
        <f aca="false">IF(NOT(ISBLANK(G110)), ROUND(G110/60,0), "")</f>
        <v/>
      </c>
      <c r="I110" s="25"/>
      <c r="J110" s="25"/>
      <c r="L110" s="25"/>
      <c r="N110" s="25" t="str">
        <f aca="false">IF(NOT(ISBLANK(M110)), ROUND(M110/60,0), "")</f>
        <v/>
      </c>
      <c r="P110" s="0" t="str">
        <f aca="false">IF(NOT(ISBLANK(O110)), ROUND(O110/60,0), "")</f>
        <v/>
      </c>
      <c r="R110" s="0" t="str">
        <f aca="false">IF(NOT(ISBLANK(Q110)), ROUND(Q110/60,0), "")</f>
        <v/>
      </c>
      <c r="S110" s="0" t="n">
        <v>25205</v>
      </c>
      <c r="T110" s="0" t="n">
        <f aca="false">IF(NOT(ISBLANK(S110)), ROUND(S110/60,0), "")</f>
        <v>420</v>
      </c>
      <c r="V110" s="0" t="str">
        <f aca="false">IF(NOT(ISBLANK(U110)), ROUND(U110/60,0), "")</f>
        <v/>
      </c>
      <c r="X110" s="0" t="str">
        <f aca="false">IF(NOT(ISBLANK(W110)), ROUND(W110/60,0), "")</f>
        <v/>
      </c>
      <c r="Y110" s="26"/>
      <c r="AA110" s="0" t="str">
        <f aca="false">IF(NOT(ISBLANK(Z110)), ROUND(Z110/60,0), "")</f>
        <v/>
      </c>
      <c r="AC110" s="0" t="s">
        <v>43</v>
      </c>
    </row>
    <row r="111" customFormat="false" ht="12.8" hidden="false" customHeight="false" outlineLevel="0" collapsed="false">
      <c r="A111" s="0" t="s">
        <v>43</v>
      </c>
      <c r="B111" s="0" t="n">
        <v>82</v>
      </c>
      <c r="C111" s="0" t="n">
        <v>19607</v>
      </c>
      <c r="D111" s="25" t="n">
        <f aca="false">IF(NOT(ISBLANK(C111)), ROUND(C111/60,0), "")</f>
        <v>327</v>
      </c>
      <c r="F111" s="25" t="str">
        <f aca="false">IF(NOT(ISBLANK(E111)), ROUND(E111/60,0), "")</f>
        <v/>
      </c>
      <c r="H111" s="25" t="str">
        <f aca="false">IF(NOT(ISBLANK(G111)), ROUND(G111/60,0), "")</f>
        <v/>
      </c>
      <c r="I111" s="25"/>
      <c r="J111" s="25"/>
      <c r="L111" s="25"/>
      <c r="N111" s="25" t="str">
        <f aca="false">IF(NOT(ISBLANK(M111)), ROUND(M111/60,0), "")</f>
        <v/>
      </c>
      <c r="P111" s="0" t="str">
        <f aca="false">IF(NOT(ISBLANK(O111)), ROUND(O111/60,0), "")</f>
        <v/>
      </c>
      <c r="R111" s="0" t="str">
        <f aca="false">IF(NOT(ISBLANK(Q111)), ROUND(Q111/60,0), "")</f>
        <v/>
      </c>
      <c r="S111" s="0" t="n">
        <v>20497</v>
      </c>
      <c r="T111" s="0" t="n">
        <f aca="false">IF(NOT(ISBLANK(S111)), ROUND(S111/60,0), "")</f>
        <v>342</v>
      </c>
      <c r="V111" s="0" t="str">
        <f aca="false">IF(NOT(ISBLANK(U111)), ROUND(U111/60,0), "")</f>
        <v/>
      </c>
      <c r="X111" s="0" t="str">
        <f aca="false">IF(NOT(ISBLANK(W111)), ROUND(W111/60,0), "")</f>
        <v/>
      </c>
      <c r="Y111" s="26"/>
      <c r="AA111" s="0" t="str">
        <f aca="false">IF(NOT(ISBLANK(Z111)), ROUND(Z111/60,0), "")</f>
        <v/>
      </c>
      <c r="AC111" s="0" t="s">
        <v>43</v>
      </c>
    </row>
    <row r="112" customFormat="false" ht="12.8" hidden="false" customHeight="false" outlineLevel="0" collapsed="false">
      <c r="A112" s="0" t="s">
        <v>43</v>
      </c>
      <c r="B112" s="0" t="n">
        <v>100</v>
      </c>
      <c r="D112" s="25" t="str">
        <f aca="false">IF(NOT(ISBLANK(C112)), ROUND(C112/60,0), "")</f>
        <v/>
      </c>
      <c r="F112" s="25" t="str">
        <f aca="false">IF(NOT(ISBLANK(E112)), ROUND(E112/60,0), "")</f>
        <v/>
      </c>
      <c r="H112" s="25" t="str">
        <f aca="false">IF(NOT(ISBLANK(G112)), ROUND(G112/60,0), "")</f>
        <v/>
      </c>
      <c r="I112" s="25"/>
      <c r="J112" s="25"/>
      <c r="L112" s="25"/>
      <c r="N112" s="25" t="str">
        <f aca="false">IF(NOT(ISBLANK(M112)), ROUND(M112/60,0), "")</f>
        <v/>
      </c>
      <c r="P112" s="0" t="str">
        <f aca="false">IF(NOT(ISBLANK(O112)), ROUND(O112/60,0), "")</f>
        <v/>
      </c>
      <c r="R112" s="0" t="str">
        <f aca="false">IF(NOT(ISBLANK(Q112)), ROUND(Q112/60,0), "")</f>
        <v/>
      </c>
      <c r="S112" s="0" t="n">
        <v>20865</v>
      </c>
      <c r="T112" s="0" t="n">
        <f aca="false">IF(NOT(ISBLANK(S112)), ROUND(S112/60,0), "")</f>
        <v>348</v>
      </c>
      <c r="V112" s="0" t="str">
        <f aca="false">IF(NOT(ISBLANK(U112)), ROUND(U112/60,0), "")</f>
        <v/>
      </c>
      <c r="X112" s="0" t="str">
        <f aca="false">IF(NOT(ISBLANK(W112)), ROUND(W112/60,0), "")</f>
        <v/>
      </c>
      <c r="Y112" s="26"/>
      <c r="AA112" s="0" t="str">
        <f aca="false">IF(NOT(ISBLANK(Z112)), ROUND(Z112/60,0), "")</f>
        <v/>
      </c>
      <c r="AC112" s="0" t="s">
        <v>43</v>
      </c>
    </row>
    <row r="113" customFormat="false" ht="12.8" hidden="false" customHeight="false" outlineLevel="0" collapsed="false">
      <c r="A113" s="0" t="s">
        <v>44</v>
      </c>
      <c r="B113" s="0" t="n">
        <v>5</v>
      </c>
      <c r="D113" s="25" t="str">
        <f aca="false">IF(NOT(ISBLANK(C113)), ROUND(C113/60,0), "")</f>
        <v/>
      </c>
      <c r="F113" s="25" t="str">
        <f aca="false">IF(NOT(ISBLANK(E113)), ROUND(E113/60,0), "")</f>
        <v/>
      </c>
      <c r="H113" s="25" t="str">
        <f aca="false">IF(NOT(ISBLANK(G113)), ROUND(G113/60,0), "")</f>
        <v/>
      </c>
      <c r="I113" s="25"/>
      <c r="J113" s="25"/>
      <c r="L113" s="25"/>
      <c r="N113" s="25" t="str">
        <f aca="false">IF(NOT(ISBLANK(M113)), ROUND(M113/60,0), "")</f>
        <v/>
      </c>
      <c r="P113" s="0" t="str">
        <f aca="false">IF(NOT(ISBLANK(O113)), ROUND(O113/60,0), "")</f>
        <v/>
      </c>
      <c r="R113" s="0" t="str">
        <f aca="false">IF(NOT(ISBLANK(Q113)), ROUND(Q113/60,0), "")</f>
        <v/>
      </c>
      <c r="T113" s="0" t="str">
        <f aca="false">IF(NOT(ISBLANK(S113)), ROUND(S113/60,0), "")</f>
        <v/>
      </c>
      <c r="V113" s="0" t="str">
        <f aca="false">IF(NOT(ISBLANK(U113)), ROUND(U113/60,0), "")</f>
        <v/>
      </c>
      <c r="X113" s="0" t="str">
        <f aca="false">IF(NOT(ISBLANK(W113)), ROUND(W113/60,0), "")</f>
        <v/>
      </c>
      <c r="Y113" s="26"/>
      <c r="AA113" s="0" t="str">
        <f aca="false">IF(NOT(ISBLANK(Z113)), ROUND(Z113/60,0), "")</f>
        <v/>
      </c>
      <c r="AC113" s="0" t="s">
        <v>44</v>
      </c>
    </row>
    <row r="114" customFormat="false" ht="12.8" hidden="false" customHeight="false" outlineLevel="0" collapsed="false">
      <c r="A114" s="0" t="s">
        <v>44</v>
      </c>
      <c r="B114" s="0" t="n">
        <v>10</v>
      </c>
      <c r="D114" s="25" t="str">
        <f aca="false">IF(NOT(ISBLANK(C114)), ROUND(C114/60,0), "")</f>
        <v/>
      </c>
      <c r="F114" s="25" t="str">
        <f aca="false">IF(NOT(ISBLANK(E114)), ROUND(E114/60,0), "")</f>
        <v/>
      </c>
      <c r="H114" s="25" t="str">
        <f aca="false">IF(NOT(ISBLANK(G114)), ROUND(G114/60,0), "")</f>
        <v/>
      </c>
      <c r="I114" s="25"/>
      <c r="J114" s="25"/>
      <c r="L114" s="25"/>
      <c r="N114" s="25" t="str">
        <f aca="false">IF(NOT(ISBLANK(M114)), ROUND(M114/60,0), "")</f>
        <v/>
      </c>
      <c r="P114" s="0" t="str">
        <f aca="false">IF(NOT(ISBLANK(O114)), ROUND(O114/60,0), "")</f>
        <v/>
      </c>
      <c r="R114" s="0" t="str">
        <f aca="false">IF(NOT(ISBLANK(Q114)), ROUND(Q114/60,0), "")</f>
        <v/>
      </c>
      <c r="T114" s="0" t="str">
        <f aca="false">IF(NOT(ISBLANK(S114)), ROUND(S114/60,0), "")</f>
        <v/>
      </c>
      <c r="V114" s="0" t="str">
        <f aca="false">IF(NOT(ISBLANK(U114)), ROUND(U114/60,0), "")</f>
        <v/>
      </c>
      <c r="X114" s="0" t="str">
        <f aca="false">IF(NOT(ISBLANK(W114)), ROUND(W114/60,0), "")</f>
        <v/>
      </c>
      <c r="Y114" s="26"/>
      <c r="AA114" s="0" t="str">
        <f aca="false">IF(NOT(ISBLANK(Z114)), ROUND(Z114/60,0), "")</f>
        <v/>
      </c>
      <c r="AC114" s="0" t="s">
        <v>44</v>
      </c>
    </row>
    <row r="115" customFormat="false" ht="12.8" hidden="false" customHeight="false" outlineLevel="0" collapsed="false">
      <c r="A115" s="0" t="s">
        <v>44</v>
      </c>
      <c r="B115" s="0" t="n">
        <v>15</v>
      </c>
      <c r="D115" s="25" t="str">
        <f aca="false">IF(NOT(ISBLANK(C115)), ROUND(C115/60,0), "")</f>
        <v/>
      </c>
      <c r="F115" s="25" t="str">
        <f aca="false">IF(NOT(ISBLANK(E115)), ROUND(E115/60,0), "")</f>
        <v/>
      </c>
      <c r="H115" s="25" t="str">
        <f aca="false">IF(NOT(ISBLANK(G115)), ROUND(G115/60,0), "")</f>
        <v/>
      </c>
      <c r="I115" s="25"/>
      <c r="J115" s="25"/>
      <c r="L115" s="25"/>
      <c r="N115" s="25" t="str">
        <f aca="false">IF(NOT(ISBLANK(M115)), ROUND(M115/60,0), "")</f>
        <v/>
      </c>
      <c r="P115" s="0" t="str">
        <f aca="false">IF(NOT(ISBLANK(O115)), ROUND(O115/60,0), "")</f>
        <v/>
      </c>
      <c r="R115" s="0" t="str">
        <f aca="false">IF(NOT(ISBLANK(Q115)), ROUND(Q115/60,0), "")</f>
        <v/>
      </c>
      <c r="T115" s="0" t="str">
        <f aca="false">IF(NOT(ISBLANK(S115)), ROUND(S115/60,0), "")</f>
        <v/>
      </c>
      <c r="V115" s="0" t="str">
        <f aca="false">IF(NOT(ISBLANK(U115)), ROUND(U115/60,0), "")</f>
        <v/>
      </c>
      <c r="X115" s="0" t="str">
        <f aca="false">IF(NOT(ISBLANK(W115)), ROUND(W115/60,0), "")</f>
        <v/>
      </c>
      <c r="Y115" s="26"/>
      <c r="AA115" s="0" t="str">
        <f aca="false">IF(NOT(ISBLANK(Z115)), ROUND(Z115/60,0), "")</f>
        <v/>
      </c>
      <c r="AC115" s="0" t="s">
        <v>44</v>
      </c>
    </row>
    <row r="116" customFormat="false" ht="12.8" hidden="false" customHeight="false" outlineLevel="0" collapsed="false">
      <c r="A116" s="0" t="s">
        <v>44</v>
      </c>
      <c r="B116" s="0" t="n">
        <v>20</v>
      </c>
      <c r="D116" s="25" t="str">
        <f aca="false">IF(NOT(ISBLANK(C116)), ROUND(C116/60,0), "")</f>
        <v/>
      </c>
      <c r="F116" s="25" t="str">
        <f aca="false">IF(NOT(ISBLANK(E116)), ROUND(E116/60,0), "")</f>
        <v/>
      </c>
      <c r="H116" s="25" t="str">
        <f aca="false">IF(NOT(ISBLANK(G116)), ROUND(G116/60,0), "")</f>
        <v/>
      </c>
      <c r="I116" s="25"/>
      <c r="J116" s="25"/>
      <c r="L116" s="25"/>
      <c r="N116" s="25" t="str">
        <f aca="false">IF(NOT(ISBLANK(M116)), ROUND(M116/60,0), "")</f>
        <v/>
      </c>
      <c r="P116" s="0" t="str">
        <f aca="false">IF(NOT(ISBLANK(O116)), ROUND(O116/60,0), "")</f>
        <v/>
      </c>
      <c r="R116" s="0" t="str">
        <f aca="false">IF(NOT(ISBLANK(Q116)), ROUND(Q116/60,0), "")</f>
        <v/>
      </c>
      <c r="T116" s="0" t="str">
        <f aca="false">IF(NOT(ISBLANK(S116)), ROUND(S116/60,0), "")</f>
        <v/>
      </c>
      <c r="V116" s="0" t="str">
        <f aca="false">IF(NOT(ISBLANK(U116)), ROUND(U116/60,0), "")</f>
        <v/>
      </c>
      <c r="X116" s="0" t="str">
        <f aca="false">IF(NOT(ISBLANK(W116)), ROUND(W116/60,0), "")</f>
        <v/>
      </c>
      <c r="Y116" s="26"/>
      <c r="AA116" s="0" t="str">
        <f aca="false">IF(NOT(ISBLANK(Z116)), ROUND(Z116/60,0), "")</f>
        <v/>
      </c>
      <c r="AC116" s="0" t="s">
        <v>44</v>
      </c>
    </row>
    <row r="117" customFormat="false" ht="12.8" hidden="false" customHeight="false" outlineLevel="0" collapsed="false">
      <c r="A117" s="0" t="s">
        <v>44</v>
      </c>
      <c r="B117" s="0" t="n">
        <v>30</v>
      </c>
      <c r="D117" s="25" t="str">
        <f aca="false">IF(NOT(ISBLANK(C117)), ROUND(C117/60,0), "")</f>
        <v/>
      </c>
      <c r="F117" s="25" t="str">
        <f aca="false">IF(NOT(ISBLANK(E117)), ROUND(E117/60,0), "")</f>
        <v/>
      </c>
      <c r="H117" s="25" t="str">
        <f aca="false">IF(NOT(ISBLANK(G117)), ROUND(G117/60,0), "")</f>
        <v/>
      </c>
      <c r="I117" s="25"/>
      <c r="J117" s="25"/>
      <c r="L117" s="25"/>
      <c r="N117" s="25" t="str">
        <f aca="false">IF(NOT(ISBLANK(M117)), ROUND(M117/60,0), "")</f>
        <v/>
      </c>
      <c r="P117" s="0" t="str">
        <f aca="false">IF(NOT(ISBLANK(O117)), ROUND(O117/60,0), "")</f>
        <v/>
      </c>
      <c r="R117" s="0" t="str">
        <f aca="false">IF(NOT(ISBLANK(Q117)), ROUND(Q117/60,0), "")</f>
        <v/>
      </c>
      <c r="T117" s="0" t="str">
        <f aca="false">IF(NOT(ISBLANK(S117)), ROUND(S117/60,0), "")</f>
        <v/>
      </c>
      <c r="V117" s="0" t="str">
        <f aca="false">IF(NOT(ISBLANK(U117)), ROUND(U117/60,0), "")</f>
        <v/>
      </c>
      <c r="X117" s="0" t="str">
        <f aca="false">IF(NOT(ISBLANK(W117)), ROUND(W117/60,0), "")</f>
        <v/>
      </c>
      <c r="Y117" s="26"/>
      <c r="AA117" s="0" t="str">
        <f aca="false">IF(NOT(ISBLANK(Z117)), ROUND(Z117/60,0), "")</f>
        <v/>
      </c>
      <c r="AC117" s="0" t="s">
        <v>44</v>
      </c>
    </row>
    <row r="118" customFormat="false" ht="12.8" hidden="false" customHeight="false" outlineLevel="0" collapsed="false">
      <c r="A118" s="0" t="s">
        <v>44</v>
      </c>
      <c r="B118" s="0" t="n">
        <v>40</v>
      </c>
      <c r="D118" s="25" t="str">
        <f aca="false">IF(NOT(ISBLANK(C118)), ROUND(C118/60,0), "")</f>
        <v/>
      </c>
      <c r="F118" s="25" t="str">
        <f aca="false">IF(NOT(ISBLANK(E118)), ROUND(E118/60,0), "")</f>
        <v/>
      </c>
      <c r="H118" s="25" t="str">
        <f aca="false">IF(NOT(ISBLANK(G118)), ROUND(G118/60,0), "")</f>
        <v/>
      </c>
      <c r="I118" s="25"/>
      <c r="J118" s="25"/>
      <c r="L118" s="25"/>
      <c r="N118" s="25" t="str">
        <f aca="false">IF(NOT(ISBLANK(M118)), ROUND(M118/60,0), "")</f>
        <v/>
      </c>
      <c r="P118" s="0" t="str">
        <f aca="false">IF(NOT(ISBLANK(O118)), ROUND(O118/60,0), "")</f>
        <v/>
      </c>
      <c r="R118" s="0" t="str">
        <f aca="false">IF(NOT(ISBLANK(Q118)), ROUND(Q118/60,0), "")</f>
        <v/>
      </c>
      <c r="S118" s="0" t="n">
        <v>158930</v>
      </c>
      <c r="T118" s="0" t="n">
        <f aca="false">IF(NOT(ISBLANK(S118)), ROUND(S118/60,0), "")</f>
        <v>2649</v>
      </c>
      <c r="V118" s="0" t="str">
        <f aca="false">IF(NOT(ISBLANK(U118)), ROUND(U118/60,0), "")</f>
        <v/>
      </c>
      <c r="X118" s="0" t="str">
        <f aca="false">IF(NOT(ISBLANK(W118)), ROUND(W118/60,0), "")</f>
        <v/>
      </c>
      <c r="Y118" s="26"/>
      <c r="AA118" s="0" t="str">
        <f aca="false">IF(NOT(ISBLANK(Z118)), ROUND(Z118/60,0), "")</f>
        <v/>
      </c>
      <c r="AC118" s="0" t="s">
        <v>44</v>
      </c>
    </row>
    <row r="119" customFormat="false" ht="12.8" hidden="false" customHeight="false" outlineLevel="0" collapsed="false">
      <c r="A119" s="0" t="s">
        <v>44</v>
      </c>
      <c r="B119" s="0" t="n">
        <v>50</v>
      </c>
      <c r="D119" s="25" t="str">
        <f aca="false">IF(NOT(ISBLANK(C119)), ROUND(C119/60,0), "")</f>
        <v/>
      </c>
      <c r="F119" s="25" t="str">
        <f aca="false">IF(NOT(ISBLANK(E119)), ROUND(E119/60,0), "")</f>
        <v/>
      </c>
      <c r="H119" s="25" t="str">
        <f aca="false">IF(NOT(ISBLANK(G119)), ROUND(G119/60,0), "")</f>
        <v/>
      </c>
      <c r="I119" s="25"/>
      <c r="J119" s="25"/>
      <c r="L119" s="25"/>
      <c r="N119" s="25" t="str">
        <f aca="false">IF(NOT(ISBLANK(M119)), ROUND(M119/60,0), "")</f>
        <v/>
      </c>
      <c r="P119" s="0" t="str">
        <f aca="false">IF(NOT(ISBLANK(O119)), ROUND(O119/60,0), "")</f>
        <v/>
      </c>
      <c r="R119" s="0" t="str">
        <f aca="false">IF(NOT(ISBLANK(Q119)), ROUND(Q119/60,0), "")</f>
        <v/>
      </c>
      <c r="S119" s="0" t="n">
        <v>111651</v>
      </c>
      <c r="T119" s="0" t="n">
        <f aca="false">IF(NOT(ISBLANK(S119)), ROUND(S119/60,0), "")</f>
        <v>1861</v>
      </c>
      <c r="V119" s="0" t="str">
        <f aca="false">IF(NOT(ISBLANK(U119)), ROUND(U119/60,0), "")</f>
        <v/>
      </c>
      <c r="X119" s="0" t="str">
        <f aca="false">IF(NOT(ISBLANK(W119)), ROUND(W119/60,0), "")</f>
        <v/>
      </c>
      <c r="Y119" s="26"/>
      <c r="AA119" s="0" t="str">
        <f aca="false">IF(NOT(ISBLANK(Z119)), ROUND(Z119/60,0), "")</f>
        <v/>
      </c>
      <c r="AC119" s="0" t="s">
        <v>44</v>
      </c>
    </row>
    <row r="120" customFormat="false" ht="12.8" hidden="false" customHeight="false" outlineLevel="0" collapsed="false">
      <c r="A120" s="0" t="s">
        <v>44</v>
      </c>
      <c r="B120" s="0" t="n">
        <v>64</v>
      </c>
      <c r="C120" s="0" t="n">
        <v>107153</v>
      </c>
      <c r="D120" s="25" t="n">
        <f aca="false">IF(NOT(ISBLANK(C120)), ROUND(C120/60,0), "")</f>
        <v>1786</v>
      </c>
      <c r="F120" s="25" t="str">
        <f aca="false">IF(NOT(ISBLANK(E120)), ROUND(E120/60,0), "")</f>
        <v/>
      </c>
      <c r="H120" s="25" t="str">
        <f aca="false">IF(NOT(ISBLANK(G120)), ROUND(G120/60,0), "")</f>
        <v/>
      </c>
      <c r="I120" s="25"/>
      <c r="J120" s="25"/>
      <c r="L120" s="25"/>
      <c r="N120" s="25" t="str">
        <f aca="false">IF(NOT(ISBLANK(M120)), ROUND(M120/60,0), "")</f>
        <v/>
      </c>
      <c r="P120" s="0" t="str">
        <f aca="false">IF(NOT(ISBLANK(O120)), ROUND(O120/60,0), "")</f>
        <v/>
      </c>
      <c r="R120" s="0" t="str">
        <f aca="false">IF(NOT(ISBLANK(Q120)), ROUND(Q120/60,0), "")</f>
        <v/>
      </c>
      <c r="T120" s="0" t="str">
        <f aca="false">IF(NOT(ISBLANK(S120)), ROUND(S120/60,0), "")</f>
        <v/>
      </c>
      <c r="V120" s="0" t="str">
        <f aca="false">IF(NOT(ISBLANK(U120)), ROUND(U120/60,0), "")</f>
        <v/>
      </c>
      <c r="X120" s="0" t="str">
        <f aca="false">IF(NOT(ISBLANK(W120)), ROUND(W120/60,0), "")</f>
        <v/>
      </c>
      <c r="Y120" s="26"/>
      <c r="AA120" s="0" t="str">
        <f aca="false">IF(NOT(ISBLANK(Z120)), ROUND(Z120/60,0), "")</f>
        <v/>
      </c>
      <c r="AC120" s="0" t="s">
        <v>44</v>
      </c>
    </row>
    <row r="121" customFormat="false" ht="12.8" hidden="false" customHeight="false" outlineLevel="0" collapsed="false">
      <c r="A121" s="0" t="s">
        <v>44</v>
      </c>
      <c r="B121" s="0" t="n">
        <v>82</v>
      </c>
      <c r="C121" s="0" t="n">
        <v>63392</v>
      </c>
      <c r="D121" s="25" t="n">
        <f aca="false">IF(NOT(ISBLANK(C121)), ROUND(C121/60,0), "")</f>
        <v>1057</v>
      </c>
      <c r="F121" s="25" t="str">
        <f aca="false">IF(NOT(ISBLANK(E121)), ROUND(E121/60,0), "")</f>
        <v/>
      </c>
      <c r="H121" s="25" t="str">
        <f aca="false">IF(NOT(ISBLANK(G121)), ROUND(G121/60,0), "")</f>
        <v/>
      </c>
      <c r="I121" s="25"/>
      <c r="J121" s="25"/>
      <c r="L121" s="25"/>
      <c r="N121" s="25" t="str">
        <f aca="false">IF(NOT(ISBLANK(M121)), ROUND(M121/60,0), "")</f>
        <v/>
      </c>
      <c r="P121" s="0" t="str">
        <f aca="false">IF(NOT(ISBLANK(O121)), ROUND(O121/60,0), "")</f>
        <v/>
      </c>
      <c r="R121" s="0" t="str">
        <f aca="false">IF(NOT(ISBLANK(Q121)), ROUND(Q121/60,0), "")</f>
        <v/>
      </c>
      <c r="S121" s="0" t="n">
        <v>68984</v>
      </c>
      <c r="T121" s="0" t="n">
        <f aca="false">IF(NOT(ISBLANK(S121)), ROUND(S121/60,0), "")</f>
        <v>1150</v>
      </c>
      <c r="V121" s="0" t="str">
        <f aca="false">IF(NOT(ISBLANK(U121)), ROUND(U121/60,0), "")</f>
        <v/>
      </c>
      <c r="X121" s="0" t="str">
        <f aca="false">IF(NOT(ISBLANK(W121)), ROUND(W121/60,0), "")</f>
        <v/>
      </c>
      <c r="Y121" s="26"/>
      <c r="AA121" s="0" t="str">
        <f aca="false">IF(NOT(ISBLANK(Z121)), ROUND(Z121/60,0), "")</f>
        <v/>
      </c>
      <c r="AC121" s="0" t="s">
        <v>44</v>
      </c>
    </row>
    <row r="122" customFormat="false" ht="12.8" hidden="false" customHeight="false" outlineLevel="0" collapsed="false">
      <c r="A122" s="0" t="s">
        <v>44</v>
      </c>
      <c r="B122" s="0" t="n">
        <v>100</v>
      </c>
      <c r="C122" s="0" t="n">
        <v>55716</v>
      </c>
      <c r="D122" s="25" t="n">
        <f aca="false">IF(NOT(ISBLANK(C122)), ROUND(C122/60,0), "")</f>
        <v>929</v>
      </c>
      <c r="F122" s="25" t="str">
        <f aca="false">IF(NOT(ISBLANK(E122)), ROUND(E122/60,0), "")</f>
        <v/>
      </c>
      <c r="H122" s="25" t="str">
        <f aca="false">IF(NOT(ISBLANK(G122)), ROUND(G122/60,0), "")</f>
        <v/>
      </c>
      <c r="I122" s="25"/>
      <c r="J122" s="25"/>
      <c r="L122" s="25"/>
      <c r="N122" s="25" t="str">
        <f aca="false">IF(NOT(ISBLANK(M122)), ROUND(M122/60,0), "")</f>
        <v/>
      </c>
      <c r="P122" s="0" t="str">
        <f aca="false">IF(NOT(ISBLANK(O122)), ROUND(O122/60,0), "")</f>
        <v/>
      </c>
      <c r="R122" s="0" t="str">
        <f aca="false">IF(NOT(ISBLANK(Q122)), ROUND(Q122/60,0), "")</f>
        <v/>
      </c>
      <c r="S122" s="0" t="n">
        <v>53989</v>
      </c>
      <c r="T122" s="0" t="n">
        <f aca="false">IF(NOT(ISBLANK(S122)), ROUND(S122/60,0), "")</f>
        <v>900</v>
      </c>
      <c r="V122" s="0" t="str">
        <f aca="false">IF(NOT(ISBLANK(U122)), ROUND(U122/60,0), "")</f>
        <v/>
      </c>
      <c r="X122" s="0" t="str">
        <f aca="false">IF(NOT(ISBLANK(W122)), ROUND(W122/60,0), "")</f>
        <v/>
      </c>
      <c r="Y122" s="26"/>
      <c r="AA122" s="0" t="str">
        <f aca="false">IF(NOT(ISBLANK(Z122)), ROUND(Z122/60,0), "")</f>
        <v/>
      </c>
      <c r="AC122" s="0" t="s">
        <v>44</v>
      </c>
    </row>
    <row r="123" customFormat="false" ht="12.8" hidden="false" customHeight="false" outlineLevel="0" collapsed="false">
      <c r="A123" s="0" t="s">
        <v>46</v>
      </c>
      <c r="B123" s="0" t="n">
        <v>5</v>
      </c>
      <c r="C123" s="0" t="n">
        <v>43410</v>
      </c>
      <c r="D123" s="25" t="n">
        <f aca="false">IF(NOT(ISBLANK(C123)), ROUND(C123/60,0), "")</f>
        <v>724</v>
      </c>
      <c r="E123" s="0" t="n">
        <v>48854</v>
      </c>
      <c r="F123" s="25" t="n">
        <f aca="false">IF(NOT(ISBLANK(E123)), ROUND(E123/60,0), "")</f>
        <v>814</v>
      </c>
      <c r="G123" s="0" t="n">
        <v>46144</v>
      </c>
      <c r="H123" s="25" t="n">
        <f aca="false">IF(NOT(ISBLANK(G123)), ROUND(G123/60,0), "")</f>
        <v>769</v>
      </c>
      <c r="I123" s="25"/>
      <c r="J123" s="25"/>
      <c r="K123" s="0" t="n">
        <v>51944</v>
      </c>
      <c r="L123" s="25" t="n">
        <f aca="false">IF(NOT(ISBLANK(K123)), ROUND(K123/60,0), "")</f>
        <v>866</v>
      </c>
      <c r="M123" s="0" t="n">
        <v>37694</v>
      </c>
      <c r="N123" s="25" t="n">
        <f aca="false">IF(NOT(ISBLANK(M123)), ROUND(M123/60,0), "")</f>
        <v>628</v>
      </c>
      <c r="O123" s="0" t="n">
        <v>47060</v>
      </c>
      <c r="P123" s="0" t="n">
        <f aca="false">IF(NOT(ISBLANK(O123)), ROUND(O123/60,0), "")</f>
        <v>784</v>
      </c>
      <c r="Q123" s="0" t="n">
        <v>51944</v>
      </c>
      <c r="R123" s="0" t="n">
        <f aca="false">IF(NOT(ISBLANK(Q123)), ROUND(Q123/60,0), "")</f>
        <v>866</v>
      </c>
      <c r="S123" s="0" t="n">
        <v>43980</v>
      </c>
      <c r="T123" s="0" t="n">
        <f aca="false">IF(NOT(ISBLANK(S123)), ROUND(S123/60,0), "")</f>
        <v>733</v>
      </c>
      <c r="U123" s="0" t="n">
        <v>41080</v>
      </c>
      <c r="V123" s="0" t="n">
        <f aca="false">IF(NOT(ISBLANK(U123)), ROUND(U123/60,0), "")</f>
        <v>685</v>
      </c>
      <c r="W123" s="0" t="n">
        <v>21999</v>
      </c>
      <c r="X123" s="0" t="n">
        <f aca="false">IF(NOT(ISBLANK(W123)), ROUND(W123/60,0), "")</f>
        <v>367</v>
      </c>
      <c r="Y123" s="26"/>
      <c r="Z123" s="0" t="n">
        <v>43979</v>
      </c>
      <c r="AA123" s="0" t="n">
        <f aca="false">IF(NOT(ISBLANK(Z123)), ROUND(Z123/60,0), "")</f>
        <v>733</v>
      </c>
      <c r="AC123" s="0" t="s">
        <v>46</v>
      </c>
    </row>
    <row r="124" customFormat="false" ht="12.8" hidden="false" customHeight="false" outlineLevel="0" collapsed="false">
      <c r="A124" s="0" t="s">
        <v>46</v>
      </c>
      <c r="B124" s="0" t="n">
        <v>10</v>
      </c>
      <c r="C124" s="0" t="n">
        <v>22302</v>
      </c>
      <c r="D124" s="25" t="n">
        <f aca="false">IF(NOT(ISBLANK(C124)), ROUND(C124/60,0), "")</f>
        <v>372</v>
      </c>
      <c r="E124" s="0" t="n">
        <v>27023</v>
      </c>
      <c r="F124" s="25" t="n">
        <f aca="false">IF(NOT(ISBLANK(E124)), ROUND(E124/60,0), "")</f>
        <v>450</v>
      </c>
      <c r="G124" s="0" t="n">
        <v>21997</v>
      </c>
      <c r="H124" s="25" t="n">
        <f aca="false">IF(NOT(ISBLANK(G124)), ROUND(G124/60,0), "")</f>
        <v>367</v>
      </c>
      <c r="I124" s="25"/>
      <c r="J124" s="25"/>
      <c r="K124" s="0" t="n">
        <v>22283</v>
      </c>
      <c r="L124" s="25" t="n">
        <f aca="false">IF(NOT(ISBLANK(K124)), ROUND(K124/60,0), "")</f>
        <v>371</v>
      </c>
      <c r="M124" s="0" t="n">
        <v>23927</v>
      </c>
      <c r="N124" s="25" t="n">
        <f aca="false">IF(NOT(ISBLANK(M124)), ROUND(M124/60,0), "")</f>
        <v>399</v>
      </c>
      <c r="O124" s="0" t="n">
        <v>27786</v>
      </c>
      <c r="P124" s="0" t="n">
        <f aca="false">IF(NOT(ISBLANK(O124)), ROUND(O124/60,0), "")</f>
        <v>463</v>
      </c>
      <c r="Q124" s="0" t="n">
        <v>22283</v>
      </c>
      <c r="R124" s="0" t="n">
        <f aca="false">IF(NOT(ISBLANK(Q124)), ROUND(Q124/60,0), "")</f>
        <v>371</v>
      </c>
      <c r="S124" s="0" t="n">
        <v>24921</v>
      </c>
      <c r="T124" s="0" t="n">
        <f aca="false">IF(NOT(ISBLANK(S124)), ROUND(S124/60,0), "")</f>
        <v>415</v>
      </c>
      <c r="U124" s="0" t="n">
        <v>20062</v>
      </c>
      <c r="V124" s="0" t="n">
        <f aca="false">IF(NOT(ISBLANK(U124)), ROUND(U124/60,0), "")</f>
        <v>334</v>
      </c>
      <c r="W124" s="0" t="n">
        <v>19534</v>
      </c>
      <c r="X124" s="0" t="n">
        <f aca="false">IF(NOT(ISBLANK(W124)), ROUND(W124/60,0), "")</f>
        <v>326</v>
      </c>
      <c r="Y124" s="26"/>
      <c r="Z124" s="0" t="n">
        <v>25798</v>
      </c>
      <c r="AA124" s="0" t="n">
        <f aca="false">IF(NOT(ISBLANK(Z124)), ROUND(Z124/60,0), "")</f>
        <v>430</v>
      </c>
      <c r="AC124" s="0" t="s">
        <v>46</v>
      </c>
    </row>
    <row r="125" customFormat="false" ht="12.8" hidden="false" customHeight="false" outlineLevel="0" collapsed="false">
      <c r="A125" s="0" t="s">
        <v>46</v>
      </c>
      <c r="B125" s="0" t="n">
        <v>15</v>
      </c>
      <c r="C125" s="0" t="n">
        <v>15568</v>
      </c>
      <c r="D125" s="25" t="n">
        <f aca="false">IF(NOT(ISBLANK(C125)), ROUND(C125/60,0), "")</f>
        <v>259</v>
      </c>
      <c r="E125" s="0" t="n">
        <v>15383</v>
      </c>
      <c r="F125" s="25" t="n">
        <f aca="false">IF(NOT(ISBLANK(E125)), ROUND(E125/60,0), "")</f>
        <v>256</v>
      </c>
      <c r="G125" s="0" t="n">
        <v>16804</v>
      </c>
      <c r="H125" s="25" t="n">
        <f aca="false">IF(NOT(ISBLANK(G125)), ROUND(G125/60,0), "")</f>
        <v>280</v>
      </c>
      <c r="I125" s="25"/>
      <c r="J125" s="25"/>
      <c r="K125" s="0" t="n">
        <v>19580</v>
      </c>
      <c r="L125" s="25" t="n">
        <f aca="false">IF(NOT(ISBLANK(K125)), ROUND(K125/60,0), "")</f>
        <v>326</v>
      </c>
      <c r="M125" s="0" t="n">
        <v>14335</v>
      </c>
      <c r="N125" s="25" t="n">
        <f aca="false">IF(NOT(ISBLANK(M125)), ROUND(M125/60,0), "")</f>
        <v>239</v>
      </c>
      <c r="O125" s="0" t="n">
        <v>17366</v>
      </c>
      <c r="P125" s="0" t="n">
        <f aca="false">IF(NOT(ISBLANK(O125)), ROUND(O125/60,0), "")</f>
        <v>289</v>
      </c>
      <c r="Q125" s="0" t="n">
        <v>16978</v>
      </c>
      <c r="R125" s="0" t="n">
        <f aca="false">IF(NOT(ISBLANK(Q125)), ROUND(Q125/60,0), "")</f>
        <v>283</v>
      </c>
      <c r="S125" s="0" t="n">
        <v>17286</v>
      </c>
      <c r="T125" s="0" t="n">
        <f aca="false">IF(NOT(ISBLANK(S125)), ROUND(S125/60,0), "")</f>
        <v>288</v>
      </c>
      <c r="U125" s="0" t="n">
        <v>14373</v>
      </c>
      <c r="V125" s="0" t="n">
        <f aca="false">IF(NOT(ISBLANK(U125)), ROUND(U125/60,0), "")</f>
        <v>240</v>
      </c>
      <c r="W125" s="0" t="n">
        <v>15212</v>
      </c>
      <c r="X125" s="0" t="n">
        <f aca="false">IF(NOT(ISBLANK(W125)), ROUND(W125/60,0), "")</f>
        <v>254</v>
      </c>
      <c r="Y125" s="26"/>
      <c r="Z125" s="0" t="n">
        <v>16946</v>
      </c>
      <c r="AA125" s="0" t="n">
        <f aca="false">IF(NOT(ISBLANK(Z125)), ROUND(Z125/60,0), "")</f>
        <v>282</v>
      </c>
      <c r="AC125" s="0" t="s">
        <v>46</v>
      </c>
    </row>
    <row r="126" customFormat="false" ht="12.8" hidden="false" customHeight="false" outlineLevel="0" collapsed="false">
      <c r="A126" s="0" t="s">
        <v>46</v>
      </c>
      <c r="B126" s="0" t="n">
        <v>20</v>
      </c>
      <c r="C126" s="0" t="n">
        <v>13034</v>
      </c>
      <c r="D126" s="25" t="n">
        <f aca="false">IF(NOT(ISBLANK(C126)), ROUND(C126/60,0), "")</f>
        <v>217</v>
      </c>
      <c r="E126" s="0" t="n">
        <v>12607</v>
      </c>
      <c r="F126" s="25" t="n">
        <f aca="false">IF(NOT(ISBLANK(E126)), ROUND(E126/60,0), "")</f>
        <v>210</v>
      </c>
      <c r="G126" s="0" t="n">
        <v>14484</v>
      </c>
      <c r="H126" s="25" t="n">
        <f aca="false">IF(NOT(ISBLANK(G126)), ROUND(G126/60,0), "")</f>
        <v>241</v>
      </c>
      <c r="I126" s="25"/>
      <c r="J126" s="25"/>
      <c r="K126" s="0" t="n">
        <v>13457</v>
      </c>
      <c r="L126" s="25" t="n">
        <f aca="false">IF(NOT(ISBLANK(K126)), ROUND(K126/60,0), "")</f>
        <v>224</v>
      </c>
      <c r="M126" s="0" t="n">
        <v>11972</v>
      </c>
      <c r="N126" s="25" t="n">
        <f aca="false">IF(NOT(ISBLANK(M126)), ROUND(M126/60,0), "")</f>
        <v>200</v>
      </c>
      <c r="O126" s="0" t="n">
        <v>11927</v>
      </c>
      <c r="P126" s="0" t="n">
        <f aca="false">IF(NOT(ISBLANK(O126)), ROUND(O126/60,0), "")</f>
        <v>199</v>
      </c>
      <c r="Q126" s="0" t="n">
        <v>12644</v>
      </c>
      <c r="R126" s="0" t="n">
        <f aca="false">IF(NOT(ISBLANK(Q126)), ROUND(Q126/60,0), "")</f>
        <v>211</v>
      </c>
      <c r="S126" s="0" t="n">
        <v>13116</v>
      </c>
      <c r="T126" s="0" t="n">
        <f aca="false">IF(NOT(ISBLANK(S126)), ROUND(S126/60,0), "")</f>
        <v>219</v>
      </c>
      <c r="U126" s="0" t="n">
        <v>12481</v>
      </c>
      <c r="V126" s="0" t="n">
        <f aca="false">IF(NOT(ISBLANK(U126)), ROUND(U126/60,0), "")</f>
        <v>208</v>
      </c>
      <c r="W126" s="0" t="n">
        <v>10456</v>
      </c>
      <c r="X126" s="0" t="n">
        <f aca="false">IF(NOT(ISBLANK(W126)), ROUND(W126/60,0), "")</f>
        <v>174</v>
      </c>
      <c r="Y126" s="26"/>
      <c r="Z126" s="0" t="n">
        <v>14111</v>
      </c>
      <c r="AA126" s="0" t="n">
        <f aca="false">IF(NOT(ISBLANK(Z126)), ROUND(Z126/60,0), "")</f>
        <v>235</v>
      </c>
      <c r="AC126" s="0" t="s">
        <v>46</v>
      </c>
    </row>
    <row r="127" customFormat="false" ht="12.8" hidden="false" customHeight="false" outlineLevel="0" collapsed="false">
      <c r="A127" s="0" t="s">
        <v>46</v>
      </c>
      <c r="B127" s="0" t="n">
        <v>30</v>
      </c>
      <c r="C127" s="0" t="n">
        <v>9068</v>
      </c>
      <c r="D127" s="25" t="n">
        <f aca="false">IF(NOT(ISBLANK(C127)), ROUND(C127/60,0), "")</f>
        <v>151</v>
      </c>
      <c r="E127" s="0" t="n">
        <v>7234</v>
      </c>
      <c r="F127" s="25" t="n">
        <f aca="false">IF(NOT(ISBLANK(E127)), ROUND(E127/60,0), "")</f>
        <v>121</v>
      </c>
      <c r="G127" s="0" t="n">
        <v>10404</v>
      </c>
      <c r="H127" s="25" t="n">
        <f aca="false">IF(NOT(ISBLANK(G127)), ROUND(G127/60,0), "")</f>
        <v>173</v>
      </c>
      <c r="I127" s="25"/>
      <c r="J127" s="25"/>
      <c r="K127" s="0" t="n">
        <v>10712</v>
      </c>
      <c r="L127" s="25" t="n">
        <f aca="false">IF(NOT(ISBLANK(K127)), ROUND(K127/60,0), "")</f>
        <v>179</v>
      </c>
      <c r="M127" s="0" t="n">
        <v>8223</v>
      </c>
      <c r="N127" s="25" t="n">
        <f aca="false">IF(NOT(ISBLANK(M127)), ROUND(M127/60,0), "")</f>
        <v>137</v>
      </c>
      <c r="O127" s="0" t="n">
        <v>9159</v>
      </c>
      <c r="P127" s="0" t="n">
        <f aca="false">IF(NOT(ISBLANK(O127)), ROUND(O127/60,0), "")</f>
        <v>153</v>
      </c>
      <c r="Q127" s="0" t="n">
        <v>9825</v>
      </c>
      <c r="R127" s="0" t="n">
        <f aca="false">IF(NOT(ISBLANK(Q127)), ROUND(Q127/60,0), "")</f>
        <v>164</v>
      </c>
      <c r="S127" s="0" t="n">
        <v>10635</v>
      </c>
      <c r="T127" s="0" t="n">
        <f aca="false">IF(NOT(ISBLANK(S127)), ROUND(S127/60,0), "")</f>
        <v>177</v>
      </c>
      <c r="U127" s="0" t="n">
        <v>8750</v>
      </c>
      <c r="V127" s="0" t="n">
        <f aca="false">IF(NOT(ISBLANK(U127)), ROUND(U127/60,0), "")</f>
        <v>146</v>
      </c>
      <c r="W127" s="0" t="n">
        <v>7273</v>
      </c>
      <c r="X127" s="0" t="n">
        <f aca="false">IF(NOT(ISBLANK(W127)), ROUND(W127/60,0), "")</f>
        <v>121</v>
      </c>
      <c r="Y127" s="26"/>
      <c r="Z127" s="0" t="n">
        <v>9629</v>
      </c>
      <c r="AA127" s="0" t="n">
        <f aca="false">IF(NOT(ISBLANK(Z127)), ROUND(Z127/60,0), "")</f>
        <v>160</v>
      </c>
      <c r="AC127" s="0" t="s">
        <v>46</v>
      </c>
    </row>
    <row r="128" customFormat="false" ht="12.8" hidden="false" customHeight="false" outlineLevel="0" collapsed="false">
      <c r="A128" s="0" t="s">
        <v>46</v>
      </c>
      <c r="B128" s="0" t="n">
        <v>40</v>
      </c>
      <c r="C128" s="0" t="n">
        <v>9194</v>
      </c>
      <c r="D128" s="25" t="n">
        <f aca="false">IF(NOT(ISBLANK(C128)), ROUND(C128/60,0), "")</f>
        <v>153</v>
      </c>
      <c r="E128" s="0" t="n">
        <v>5670</v>
      </c>
      <c r="F128" s="25" t="n">
        <f aca="false">IF(NOT(ISBLANK(E128)), ROUND(E128/60,0), "")</f>
        <v>95</v>
      </c>
      <c r="G128" s="0" t="n">
        <v>7225</v>
      </c>
      <c r="H128" s="25" t="n">
        <f aca="false">IF(NOT(ISBLANK(G128)), ROUND(G128/60,0), "")</f>
        <v>120</v>
      </c>
      <c r="I128" s="25"/>
      <c r="J128" s="25"/>
      <c r="K128" s="0" t="n">
        <v>9045</v>
      </c>
      <c r="L128" s="25" t="n">
        <f aca="false">IF(NOT(ISBLANK(K128)), ROUND(K128/60,0), "")</f>
        <v>151</v>
      </c>
      <c r="M128" s="0" t="n">
        <v>5806</v>
      </c>
      <c r="N128" s="25" t="n">
        <f aca="false">IF(NOT(ISBLANK(M128)), ROUND(M128/60,0), "")</f>
        <v>97</v>
      </c>
      <c r="P128" s="0" t="str">
        <f aca="false">IF(NOT(ISBLANK(O128)), ROUND(O128/60,0), "")</f>
        <v/>
      </c>
      <c r="Q128" s="0" t="n">
        <v>16370</v>
      </c>
      <c r="R128" s="0" t="n">
        <f aca="false">IF(NOT(ISBLANK(Q128)), ROUND(Q128/60,0), "")</f>
        <v>273</v>
      </c>
      <c r="S128" s="0" t="n">
        <v>9242</v>
      </c>
      <c r="T128" s="0" t="n">
        <f aca="false">IF(NOT(ISBLANK(S128)), ROUND(S128/60,0), "")</f>
        <v>154</v>
      </c>
      <c r="U128" s="0" t="n">
        <v>6809</v>
      </c>
      <c r="V128" s="0" t="n">
        <f aca="false">IF(NOT(ISBLANK(U128)), ROUND(U128/60,0), "")</f>
        <v>113</v>
      </c>
      <c r="W128" s="0" t="n">
        <v>8385</v>
      </c>
      <c r="X128" s="0" t="n">
        <f aca="false">IF(NOT(ISBLANK(W128)), ROUND(W128/60,0), "")</f>
        <v>140</v>
      </c>
      <c r="Y128" s="26"/>
      <c r="Z128" s="0" t="n">
        <v>7828</v>
      </c>
      <c r="AA128" s="0" t="n">
        <f aca="false">IF(NOT(ISBLANK(Z128)), ROUND(Z128/60,0), "")</f>
        <v>130</v>
      </c>
      <c r="AC128" s="0" t="s">
        <v>46</v>
      </c>
    </row>
    <row r="129" customFormat="false" ht="12.8" hidden="false" customHeight="false" outlineLevel="0" collapsed="false">
      <c r="A129" s="0" t="s">
        <v>46</v>
      </c>
      <c r="B129" s="0" t="n">
        <v>50</v>
      </c>
      <c r="C129" s="0" t="n">
        <v>5926</v>
      </c>
      <c r="D129" s="25" t="n">
        <f aca="false">IF(NOT(ISBLANK(C129)), ROUND(C129/60,0), "")</f>
        <v>99</v>
      </c>
      <c r="E129" s="0" t="n">
        <v>4914</v>
      </c>
      <c r="F129" s="25" t="n">
        <f aca="false">IF(NOT(ISBLANK(E129)), ROUND(E129/60,0), "")</f>
        <v>82</v>
      </c>
      <c r="G129" s="0" t="n">
        <v>5125</v>
      </c>
      <c r="H129" s="25" t="n">
        <f aca="false">IF(NOT(ISBLANK(G129)), ROUND(G129/60,0), "")</f>
        <v>85</v>
      </c>
      <c r="I129" s="25"/>
      <c r="J129" s="25"/>
      <c r="K129" s="0" t="n">
        <v>7222</v>
      </c>
      <c r="L129" s="25" t="n">
        <f aca="false">IF(NOT(ISBLANK(K129)), ROUND(K129/60,0), "")</f>
        <v>120</v>
      </c>
      <c r="M129" s="0" t="n">
        <v>4761</v>
      </c>
      <c r="N129" s="25" t="n">
        <f aca="false">IF(NOT(ISBLANK(M129)), ROUND(M129/60,0), "")</f>
        <v>79</v>
      </c>
      <c r="O129" s="0" t="n">
        <v>6966</v>
      </c>
      <c r="P129" s="0" t="n">
        <f aca="false">IF(NOT(ISBLANK(O129)), ROUND(O129/60,0), "")</f>
        <v>116</v>
      </c>
      <c r="Q129" s="0" t="n">
        <v>7222</v>
      </c>
      <c r="R129" s="0" t="n">
        <f aca="false">IF(NOT(ISBLANK(Q129)), ROUND(Q129/60,0), "")</f>
        <v>120</v>
      </c>
      <c r="S129" s="0" t="n">
        <v>6985</v>
      </c>
      <c r="T129" s="0" t="n">
        <f aca="false">IF(NOT(ISBLANK(S129)), ROUND(S129/60,0), "")</f>
        <v>116</v>
      </c>
      <c r="U129" s="0" t="n">
        <v>5008</v>
      </c>
      <c r="V129" s="0" t="n">
        <f aca="false">IF(NOT(ISBLANK(U129)), ROUND(U129/60,0), "")</f>
        <v>83</v>
      </c>
      <c r="W129" s="0" t="n">
        <v>5956</v>
      </c>
      <c r="X129" s="0" t="n">
        <f aca="false">IF(NOT(ISBLANK(W129)), ROUND(W129/60,0), "")</f>
        <v>99</v>
      </c>
      <c r="Y129" s="26"/>
      <c r="Z129" s="0" t="n">
        <v>6789</v>
      </c>
      <c r="AA129" s="0" t="n">
        <f aca="false">IF(NOT(ISBLANK(Z129)), ROUND(Z129/60,0), "")</f>
        <v>113</v>
      </c>
      <c r="AC129" s="0" t="s">
        <v>46</v>
      </c>
    </row>
    <row r="130" customFormat="false" ht="12.8" hidden="false" customHeight="false" outlineLevel="0" collapsed="false">
      <c r="A130" s="0" t="s">
        <v>46</v>
      </c>
      <c r="B130" s="0" t="n">
        <v>64</v>
      </c>
      <c r="C130" s="0" t="n">
        <v>5127</v>
      </c>
      <c r="D130" s="25" t="n">
        <f aca="false">IF(NOT(ISBLANK(C130)), ROUND(C130/60,0), "")</f>
        <v>85</v>
      </c>
      <c r="E130" s="0" t="n">
        <v>4068</v>
      </c>
      <c r="F130" s="25" t="n">
        <f aca="false">IF(NOT(ISBLANK(E130)), ROUND(E130/60,0), "")</f>
        <v>68</v>
      </c>
      <c r="G130" s="0" t="n">
        <v>4850</v>
      </c>
      <c r="H130" s="25" t="n">
        <f aca="false">IF(NOT(ISBLANK(G130)), ROUND(G130/60,0), "")</f>
        <v>81</v>
      </c>
      <c r="I130" s="25"/>
      <c r="J130" s="25"/>
      <c r="K130" s="0" t="n">
        <v>6735</v>
      </c>
      <c r="L130" s="25" t="n">
        <f aca="false">IF(NOT(ISBLANK(K130)), ROUND(K130/60,0), "")</f>
        <v>112</v>
      </c>
      <c r="M130" s="0" t="n">
        <v>4283</v>
      </c>
      <c r="N130" s="25" t="n">
        <f aca="false">IF(NOT(ISBLANK(M130)), ROUND(M130/60,0), "")</f>
        <v>71</v>
      </c>
      <c r="O130" s="0" t="n">
        <v>7151</v>
      </c>
      <c r="P130" s="0" t="n">
        <f aca="false">IF(NOT(ISBLANK(O130)), ROUND(O130/60,0), "")</f>
        <v>119</v>
      </c>
      <c r="Q130" s="0" t="n">
        <v>5770</v>
      </c>
      <c r="R130" s="0" t="n">
        <f aca="false">IF(NOT(ISBLANK(Q130)), ROUND(Q130/60,0), "")</f>
        <v>96</v>
      </c>
      <c r="S130" s="0" t="n">
        <v>5378</v>
      </c>
      <c r="T130" s="0" t="n">
        <f aca="false">IF(NOT(ISBLANK(S130)), ROUND(S130/60,0), "")</f>
        <v>90</v>
      </c>
      <c r="U130" s="0" t="n">
        <v>3767</v>
      </c>
      <c r="V130" s="0" t="n">
        <f aca="false">IF(NOT(ISBLANK(U130)), ROUND(U130/60,0), "")</f>
        <v>63</v>
      </c>
      <c r="W130" s="0" t="n">
        <v>4159</v>
      </c>
      <c r="X130" s="0" t="n">
        <f aca="false">IF(NOT(ISBLANK(W130)), ROUND(W130/60,0), "")</f>
        <v>69</v>
      </c>
      <c r="Y130" s="26"/>
      <c r="Z130" s="0" t="n">
        <v>5512</v>
      </c>
      <c r="AA130" s="0" t="n">
        <f aca="false">IF(NOT(ISBLANK(Z130)), ROUND(Z130/60,0), "")</f>
        <v>92</v>
      </c>
      <c r="AC130" s="0" t="s">
        <v>46</v>
      </c>
    </row>
    <row r="131" customFormat="false" ht="12.8" hidden="false" customHeight="false" outlineLevel="0" collapsed="false">
      <c r="A131" s="0" t="s">
        <v>46</v>
      </c>
      <c r="B131" s="0" t="n">
        <v>82</v>
      </c>
      <c r="C131" s="0" t="n">
        <v>4401</v>
      </c>
      <c r="D131" s="25" t="n">
        <f aca="false">IF(NOT(ISBLANK(C131)), ROUND(C131/60,0), "")</f>
        <v>73</v>
      </c>
      <c r="E131" s="0" t="n">
        <v>3811</v>
      </c>
      <c r="F131" s="25" t="n">
        <f aca="false">IF(NOT(ISBLANK(E131)), ROUND(E131/60,0), "")</f>
        <v>64</v>
      </c>
      <c r="G131" s="0" t="n">
        <v>4207</v>
      </c>
      <c r="H131" s="25" t="n">
        <f aca="false">IF(NOT(ISBLANK(G131)), ROUND(G131/60,0), "")</f>
        <v>70</v>
      </c>
      <c r="I131" s="25"/>
      <c r="J131" s="25"/>
      <c r="K131" s="0" t="n">
        <v>5356</v>
      </c>
      <c r="L131" s="25" t="n">
        <f aca="false">IF(NOT(ISBLANK(K131)), ROUND(K131/60,0), "")</f>
        <v>89</v>
      </c>
      <c r="M131" s="0" t="n">
        <v>3357</v>
      </c>
      <c r="N131" s="25" t="n">
        <f aca="false">IF(NOT(ISBLANK(M131)), ROUND(M131/60,0), "")</f>
        <v>56</v>
      </c>
      <c r="O131" s="0" t="n">
        <v>5492</v>
      </c>
      <c r="P131" s="0" t="n">
        <f aca="false">IF(NOT(ISBLANK(O131)), ROUND(O131/60,0), "")</f>
        <v>92</v>
      </c>
      <c r="Q131" s="0" t="n">
        <v>6225</v>
      </c>
      <c r="R131" s="0" t="n">
        <f aca="false">IF(NOT(ISBLANK(Q131)), ROUND(Q131/60,0), "")</f>
        <v>104</v>
      </c>
      <c r="S131" s="0" t="n">
        <v>4487</v>
      </c>
      <c r="T131" s="0" t="n">
        <f aca="false">IF(NOT(ISBLANK(S131)), ROUND(S131/60,0), "")</f>
        <v>75</v>
      </c>
      <c r="U131" s="0" t="n">
        <v>3615</v>
      </c>
      <c r="V131" s="0" t="n">
        <f aca="false">IF(NOT(ISBLANK(U131)), ROUND(U131/60,0), "")</f>
        <v>60</v>
      </c>
      <c r="W131" s="0" t="n">
        <v>4546</v>
      </c>
      <c r="X131" s="0" t="n">
        <f aca="false">IF(NOT(ISBLANK(W131)), ROUND(W131/60,0), "")</f>
        <v>76</v>
      </c>
      <c r="Y131" s="26"/>
      <c r="Z131" s="0" t="n">
        <v>4866</v>
      </c>
      <c r="AA131" s="0" t="n">
        <f aca="false">IF(NOT(ISBLANK(Z131)), ROUND(Z131/60,0), "")</f>
        <v>81</v>
      </c>
      <c r="AC131" s="0" t="s">
        <v>46</v>
      </c>
    </row>
    <row r="132" customFormat="false" ht="12.8" hidden="false" customHeight="false" outlineLevel="0" collapsed="false">
      <c r="A132" s="0" t="s">
        <v>46</v>
      </c>
      <c r="B132" s="0" t="n">
        <v>100</v>
      </c>
      <c r="C132" s="0" t="n">
        <v>3221</v>
      </c>
      <c r="D132" s="25" t="n">
        <f aca="false">IF(NOT(ISBLANK(C132)), ROUND(C132/60,0), "")</f>
        <v>54</v>
      </c>
      <c r="E132" s="0" t="n">
        <v>3232</v>
      </c>
      <c r="F132" s="25" t="n">
        <f aca="false">IF(NOT(ISBLANK(E132)), ROUND(E132/60,0), "")</f>
        <v>54</v>
      </c>
      <c r="G132" s="0" t="n">
        <v>3934</v>
      </c>
      <c r="H132" s="25" t="n">
        <f aca="false">IF(NOT(ISBLANK(G132)), ROUND(G132/60,0), "")</f>
        <v>66</v>
      </c>
      <c r="I132" s="25"/>
      <c r="J132" s="25"/>
      <c r="K132" s="0" t="n">
        <v>4250</v>
      </c>
      <c r="L132" s="25" t="n">
        <f aca="false">IF(NOT(ISBLANK(K132)), ROUND(K132/60,0), "")</f>
        <v>71</v>
      </c>
      <c r="M132" s="0" t="n">
        <v>3137</v>
      </c>
      <c r="N132" s="25" t="n">
        <f aca="false">IF(NOT(ISBLANK(M132)), ROUND(M132/60,0), "")</f>
        <v>52</v>
      </c>
      <c r="O132" s="0" t="n">
        <v>3841</v>
      </c>
      <c r="P132" s="0" t="n">
        <f aca="false">IF(NOT(ISBLANK(O132)), ROUND(O132/60,0), "")</f>
        <v>64</v>
      </c>
      <c r="Q132" s="0" t="n">
        <v>4377</v>
      </c>
      <c r="R132" s="0" t="n">
        <f aca="false">IF(NOT(ISBLANK(Q132)), ROUND(Q132/60,0), "")</f>
        <v>73</v>
      </c>
      <c r="S132" s="0" t="n">
        <v>4651</v>
      </c>
      <c r="T132" s="0" t="n">
        <f aca="false">IF(NOT(ISBLANK(S132)), ROUND(S132/60,0), "")</f>
        <v>78</v>
      </c>
      <c r="U132" s="0" t="n">
        <v>3302</v>
      </c>
      <c r="V132" s="0" t="n">
        <f aca="false">IF(NOT(ISBLANK(U132)), ROUND(U132/60,0), "")</f>
        <v>55</v>
      </c>
      <c r="X132" s="0" t="str">
        <f aca="false">IF(NOT(ISBLANK(W132)), ROUND(W132/60,0), "")</f>
        <v/>
      </c>
      <c r="Y132" s="26"/>
      <c r="Z132" s="0" t="n">
        <v>3534</v>
      </c>
      <c r="AA132" s="0" t="n">
        <f aca="false">IF(NOT(ISBLANK(Z132)), ROUND(Z132/60,0), "")</f>
        <v>59</v>
      </c>
      <c r="AC132" s="0" t="s">
        <v>46</v>
      </c>
    </row>
    <row r="133" customFormat="false" ht="12.8" hidden="false" customHeight="false" outlineLevel="0" collapsed="false">
      <c r="A133" s="0" t="s">
        <v>47</v>
      </c>
      <c r="B133" s="0" t="n">
        <v>5</v>
      </c>
      <c r="D133" s="25" t="str">
        <f aca="false">IF(NOT(ISBLANK(C133)), ROUND(C133/60,0), "")</f>
        <v/>
      </c>
      <c r="F133" s="25" t="str">
        <f aca="false">IF(NOT(ISBLANK(E133)), ROUND(E133/60,0), "")</f>
        <v/>
      </c>
      <c r="H133" s="25" t="str">
        <f aca="false">IF(NOT(ISBLANK(G133)), ROUND(G133/60,0), "")</f>
        <v/>
      </c>
      <c r="I133" s="25"/>
      <c r="J133" s="25"/>
      <c r="L133" s="25" t="str">
        <f aca="false">IF(NOT(ISBLANK(K133)), ROUND(K133/60,0), "")</f>
        <v/>
      </c>
      <c r="N133" s="25" t="str">
        <f aca="false">IF(NOT(ISBLANK(M133)), ROUND(M133/60,0), "")</f>
        <v/>
      </c>
      <c r="P133" s="0" t="str">
        <f aca="false">IF(NOT(ISBLANK(O133)), ROUND(O133/60,0), "")</f>
        <v/>
      </c>
      <c r="R133" s="0" t="str">
        <f aca="false">IF(NOT(ISBLANK(Q133)), ROUND(Q133/60,0), "")</f>
        <v/>
      </c>
      <c r="T133" s="0" t="str">
        <f aca="false">IF(NOT(ISBLANK(S133)), ROUND(S133/60,0), "")</f>
        <v/>
      </c>
      <c r="V133" s="0" t="str">
        <f aca="false">IF(NOT(ISBLANK(U133)), ROUND(U133/60,0), "")</f>
        <v/>
      </c>
      <c r="X133" s="0" t="str">
        <f aca="false">IF(NOT(ISBLANK(W133)), ROUND(W133/60,0), "")</f>
        <v/>
      </c>
      <c r="Y133" s="26"/>
      <c r="AA133" s="0" t="str">
        <f aca="false">IF(NOT(ISBLANK(Z133)), ROUND(Z133/60,0), "")</f>
        <v/>
      </c>
      <c r="AC133" s="0" t="s">
        <v>47</v>
      </c>
    </row>
    <row r="134" customFormat="false" ht="12.8" hidden="false" customHeight="false" outlineLevel="0" collapsed="false">
      <c r="A134" s="0" t="s">
        <v>47</v>
      </c>
      <c r="B134" s="0" t="n">
        <v>10</v>
      </c>
      <c r="C134" s="0" t="n">
        <v>181417</v>
      </c>
      <c r="D134" s="25" t="n">
        <f aca="false">IF(NOT(ISBLANK(C134)), ROUND(C134/60,0), "")</f>
        <v>3024</v>
      </c>
      <c r="E134" s="0" t="n">
        <v>140090</v>
      </c>
      <c r="F134" s="25" t="n">
        <f aca="false">IF(NOT(ISBLANK(E134)), ROUND(E134/60,0), "")</f>
        <v>2335</v>
      </c>
      <c r="G134" s="0" t="n">
        <v>163450</v>
      </c>
      <c r="H134" s="25" t="n">
        <f aca="false">IF(NOT(ISBLANK(G134)), ROUND(G134/60,0), "")</f>
        <v>2724</v>
      </c>
      <c r="I134" s="25"/>
      <c r="J134" s="25"/>
      <c r="L134" s="25" t="str">
        <f aca="false">IF(NOT(ISBLANK(K134)), ROUND(K134/60,0), "")</f>
        <v/>
      </c>
      <c r="M134" s="0" t="n">
        <v>120030</v>
      </c>
      <c r="N134" s="25" t="n">
        <f aca="false">IF(NOT(ISBLANK(M134)), ROUND(M134/60,0), "")</f>
        <v>2001</v>
      </c>
      <c r="P134" s="0" t="str">
        <f aca="false">IF(NOT(ISBLANK(O134)), ROUND(O134/60,0), "")</f>
        <v/>
      </c>
      <c r="R134" s="0" t="str">
        <f aca="false">IF(NOT(ISBLANK(Q134)), ROUND(Q134/60,0), "")</f>
        <v/>
      </c>
      <c r="T134" s="0" t="str">
        <f aca="false">IF(NOT(ISBLANK(S134)), ROUND(S134/60,0), "")</f>
        <v/>
      </c>
      <c r="U134" s="0" t="n">
        <v>119809</v>
      </c>
      <c r="V134" s="0" t="n">
        <f aca="false">IF(NOT(ISBLANK(U134)), ROUND(U134/60,0), "")</f>
        <v>1997</v>
      </c>
      <c r="W134" s="0" t="n">
        <v>89318</v>
      </c>
      <c r="X134" s="0" t="n">
        <f aca="false">IF(NOT(ISBLANK(W134)), ROUND(W134/60,0), "")</f>
        <v>1489</v>
      </c>
      <c r="Y134" s="26"/>
      <c r="AA134" s="0" t="str">
        <f aca="false">IF(NOT(ISBLANK(Z134)), ROUND(Z134/60,0), "")</f>
        <v/>
      </c>
      <c r="AC134" s="0" t="s">
        <v>47</v>
      </c>
    </row>
    <row r="135" customFormat="false" ht="12.8" hidden="false" customHeight="false" outlineLevel="0" collapsed="false">
      <c r="A135" s="0" t="s">
        <v>47</v>
      </c>
      <c r="B135" s="0" t="n">
        <v>15</v>
      </c>
      <c r="C135" s="0" t="n">
        <v>105936</v>
      </c>
      <c r="D135" s="25" t="n">
        <f aca="false">IF(NOT(ISBLANK(C135)), ROUND(C135/60,0), "")</f>
        <v>1766</v>
      </c>
      <c r="E135" s="0" t="n">
        <v>88736</v>
      </c>
      <c r="F135" s="25" t="n">
        <f aca="false">IF(NOT(ISBLANK(E135)), ROUND(E135/60,0), "")</f>
        <v>1479</v>
      </c>
      <c r="G135" s="0" t="n">
        <v>84559</v>
      </c>
      <c r="H135" s="25" t="n">
        <f aca="false">IF(NOT(ISBLANK(G135)), ROUND(G135/60,0), "")</f>
        <v>1409</v>
      </c>
      <c r="I135" s="25"/>
      <c r="J135" s="25"/>
      <c r="K135" s="0" t="n">
        <v>95357</v>
      </c>
      <c r="L135" s="25" t="n">
        <f aca="false">IF(NOT(ISBLANK(K135)), ROUND(K135/60,0), "")</f>
        <v>1589</v>
      </c>
      <c r="M135" s="0" t="n">
        <v>85557</v>
      </c>
      <c r="N135" s="25" t="n">
        <f aca="false">IF(NOT(ISBLANK(M135)), ROUND(M135/60,0), "")</f>
        <v>1426</v>
      </c>
      <c r="O135" s="0" t="n">
        <v>89417</v>
      </c>
      <c r="P135" s="0" t="n">
        <f aca="false">IF(NOT(ISBLANK(O135)), ROUND(O135/60,0), "")</f>
        <v>1490</v>
      </c>
      <c r="Q135" s="0" t="n">
        <v>91688</v>
      </c>
      <c r="R135" s="0" t="n">
        <f aca="false">IF(NOT(ISBLANK(Q135)), ROUND(Q135/60,0), "")</f>
        <v>1528</v>
      </c>
      <c r="S135" s="0" t="n">
        <v>110385</v>
      </c>
      <c r="T135" s="0" t="n">
        <f aca="false">IF(NOT(ISBLANK(S135)), ROUND(S135/60,0), "")</f>
        <v>1840</v>
      </c>
      <c r="U135" s="0" t="n">
        <v>77299</v>
      </c>
      <c r="V135" s="0" t="n">
        <f aca="false">IF(NOT(ISBLANK(U135)), ROUND(U135/60,0), "")</f>
        <v>1288</v>
      </c>
      <c r="W135" s="0" t="n">
        <v>73876</v>
      </c>
      <c r="X135" s="0" t="n">
        <f aca="false">IF(NOT(ISBLANK(W135)), ROUND(W135/60,0), "")</f>
        <v>1231</v>
      </c>
      <c r="Y135" s="26"/>
      <c r="Z135" s="0" t="n">
        <v>91549</v>
      </c>
      <c r="AA135" s="0" t="n">
        <f aca="false">IF(NOT(ISBLANK(Z135)), ROUND(Z135/60,0), "")</f>
        <v>1526</v>
      </c>
      <c r="AC135" s="0" t="s">
        <v>47</v>
      </c>
    </row>
    <row r="136" customFormat="false" ht="12.8" hidden="false" customHeight="false" outlineLevel="0" collapsed="false">
      <c r="A136" s="0" t="s">
        <v>47</v>
      </c>
      <c r="B136" s="0" t="n">
        <v>20</v>
      </c>
      <c r="C136" s="0" t="n">
        <v>75216</v>
      </c>
      <c r="D136" s="25" t="n">
        <f aca="false">IF(NOT(ISBLANK(C136)), ROUND(C136/60,0), "")</f>
        <v>1254</v>
      </c>
      <c r="E136" s="0" t="n">
        <v>58794</v>
      </c>
      <c r="F136" s="25" t="n">
        <f aca="false">IF(NOT(ISBLANK(E136)), ROUND(E136/60,0), "")</f>
        <v>980</v>
      </c>
      <c r="G136" s="0" t="n">
        <v>70620</v>
      </c>
      <c r="H136" s="25" t="n">
        <f aca="false">IF(NOT(ISBLANK(G136)), ROUND(G136/60,0), "")</f>
        <v>1177</v>
      </c>
      <c r="I136" s="25"/>
      <c r="J136" s="25"/>
      <c r="K136" s="0" t="n">
        <v>82211</v>
      </c>
      <c r="L136" s="25" t="n">
        <f aca="false">IF(NOT(ISBLANK(K136)), ROUND(K136/60,0), "")</f>
        <v>1370</v>
      </c>
      <c r="M136" s="0" t="n">
        <v>58012</v>
      </c>
      <c r="N136" s="25" t="n">
        <f aca="false">IF(NOT(ISBLANK(M136)), ROUND(M136/60,0), "")</f>
        <v>967</v>
      </c>
      <c r="O136" s="0" t="n">
        <v>78477</v>
      </c>
      <c r="P136" s="0" t="n">
        <f aca="false">IF(NOT(ISBLANK(O136)), ROUND(O136/60,0), "")</f>
        <v>1308</v>
      </c>
      <c r="Q136" s="0" t="n">
        <v>62296</v>
      </c>
      <c r="R136" s="0" t="n">
        <f aca="false">IF(NOT(ISBLANK(Q136)), ROUND(Q136/60,0), "")</f>
        <v>1038</v>
      </c>
      <c r="S136" s="0" t="n">
        <v>72150</v>
      </c>
      <c r="T136" s="0" t="n">
        <f aca="false">IF(NOT(ISBLANK(S136)), ROUND(S136/60,0), "")</f>
        <v>1203</v>
      </c>
      <c r="U136" s="0" t="n">
        <v>64353</v>
      </c>
      <c r="V136" s="0" t="n">
        <f aca="false">IF(NOT(ISBLANK(U136)), ROUND(U136/60,0), "")</f>
        <v>1073</v>
      </c>
      <c r="W136" s="0" t="n">
        <v>48091</v>
      </c>
      <c r="X136" s="0" t="n">
        <f aca="false">IF(NOT(ISBLANK(W136)), ROUND(W136/60,0), "")</f>
        <v>802</v>
      </c>
      <c r="Y136" s="26"/>
      <c r="Z136" s="0" t="n">
        <v>70560</v>
      </c>
      <c r="AA136" s="0" t="n">
        <f aca="false">IF(NOT(ISBLANK(Z136)), ROUND(Z136/60,0), "")</f>
        <v>1176</v>
      </c>
      <c r="AC136" s="0" t="s">
        <v>47</v>
      </c>
    </row>
    <row r="137" customFormat="false" ht="12.8" hidden="false" customHeight="false" outlineLevel="0" collapsed="false">
      <c r="A137" s="0" t="s">
        <v>47</v>
      </c>
      <c r="B137" s="0" t="n">
        <v>30</v>
      </c>
      <c r="C137" s="0" t="n">
        <v>49274</v>
      </c>
      <c r="D137" s="25" t="n">
        <f aca="false">IF(NOT(ISBLANK(C137)), ROUND(C137/60,0), "")</f>
        <v>821</v>
      </c>
      <c r="E137" s="0" t="n">
        <v>39488</v>
      </c>
      <c r="F137" s="25" t="n">
        <f aca="false">IF(NOT(ISBLANK(E137)), ROUND(E137/60,0), "")</f>
        <v>658</v>
      </c>
      <c r="G137" s="0" t="n">
        <v>49031</v>
      </c>
      <c r="H137" s="25" t="n">
        <f aca="false">IF(NOT(ISBLANK(G137)), ROUND(G137/60,0), "")</f>
        <v>817</v>
      </c>
      <c r="I137" s="25"/>
      <c r="J137" s="25"/>
      <c r="K137" s="0" t="n">
        <v>49268</v>
      </c>
      <c r="L137" s="25" t="n">
        <f aca="false">IF(NOT(ISBLANK(K137)), ROUND(K137/60,0), "")</f>
        <v>821</v>
      </c>
      <c r="M137" s="0" t="n">
        <v>40897</v>
      </c>
      <c r="N137" s="25" t="n">
        <f aca="false">IF(NOT(ISBLANK(M137)), ROUND(M137/60,0), "")</f>
        <v>682</v>
      </c>
      <c r="O137" s="0" t="n">
        <v>49132</v>
      </c>
      <c r="P137" s="0" t="n">
        <f aca="false">IF(NOT(ISBLANK(O137)), ROUND(O137/60,0), "")</f>
        <v>819</v>
      </c>
      <c r="Q137" s="0" t="n">
        <v>49267</v>
      </c>
      <c r="R137" s="0" t="n">
        <f aca="false">IF(NOT(ISBLANK(Q137)), ROUND(Q137/60,0), "")</f>
        <v>821</v>
      </c>
      <c r="S137" s="0" t="n">
        <v>50399</v>
      </c>
      <c r="T137" s="0" t="n">
        <f aca="false">IF(NOT(ISBLANK(S137)), ROUND(S137/60,0), "")</f>
        <v>840</v>
      </c>
      <c r="U137" s="0" t="n">
        <v>39830</v>
      </c>
      <c r="V137" s="0" t="n">
        <f aca="false">IF(NOT(ISBLANK(U137)), ROUND(U137/60,0), "")</f>
        <v>664</v>
      </c>
      <c r="W137" s="0" t="n">
        <v>48143</v>
      </c>
      <c r="X137" s="0" t="n">
        <f aca="false">IF(NOT(ISBLANK(W137)), ROUND(W137/60,0), "")</f>
        <v>802</v>
      </c>
      <c r="Y137" s="26"/>
      <c r="Z137" s="0" t="n">
        <v>51848</v>
      </c>
      <c r="AA137" s="0" t="n">
        <f aca="false">IF(NOT(ISBLANK(Z137)), ROUND(Z137/60,0), "")</f>
        <v>864</v>
      </c>
      <c r="AC137" s="0" t="s">
        <v>47</v>
      </c>
    </row>
    <row r="138" customFormat="false" ht="12.8" hidden="false" customHeight="false" outlineLevel="0" collapsed="false">
      <c r="A138" s="0" t="s">
        <v>47</v>
      </c>
      <c r="B138" s="0" t="n">
        <v>40</v>
      </c>
      <c r="C138" s="0" t="n">
        <v>35466</v>
      </c>
      <c r="D138" s="25" t="n">
        <f aca="false">IF(NOT(ISBLANK(C138)), ROUND(C138/60,0), "")</f>
        <v>591</v>
      </c>
      <c r="E138" s="0" t="n">
        <v>32718</v>
      </c>
      <c r="F138" s="25" t="n">
        <f aca="false">IF(NOT(ISBLANK(E138)), ROUND(E138/60,0), "")</f>
        <v>545</v>
      </c>
      <c r="G138" s="0" t="n">
        <v>36117</v>
      </c>
      <c r="H138" s="25" t="n">
        <f aca="false">IF(NOT(ISBLANK(G138)), ROUND(G138/60,0), "")</f>
        <v>602</v>
      </c>
      <c r="I138" s="25"/>
      <c r="J138" s="25"/>
      <c r="K138" s="0" t="n">
        <v>37440</v>
      </c>
      <c r="L138" s="25" t="n">
        <f aca="false">IF(NOT(ISBLANK(K138)), ROUND(K138/60,0), "")</f>
        <v>624</v>
      </c>
      <c r="M138" s="0" t="n">
        <v>31245</v>
      </c>
      <c r="N138" s="25" t="n">
        <f aca="false">IF(NOT(ISBLANK(M138)), ROUND(M138/60,0), "")</f>
        <v>521</v>
      </c>
      <c r="O138" s="0" t="n">
        <v>37122</v>
      </c>
      <c r="P138" s="0" t="n">
        <f aca="false">IF(NOT(ISBLANK(O138)), ROUND(O138/60,0), "")</f>
        <v>619</v>
      </c>
      <c r="Q138" s="0" t="n">
        <v>36650</v>
      </c>
      <c r="R138" s="0" t="n">
        <f aca="false">IF(NOT(ISBLANK(Q138)), ROUND(Q138/60,0), "")</f>
        <v>611</v>
      </c>
      <c r="S138" s="0" t="n">
        <v>41054</v>
      </c>
      <c r="T138" s="0" t="n">
        <f aca="false">IF(NOT(ISBLANK(S138)), ROUND(S138/60,0), "")</f>
        <v>684</v>
      </c>
      <c r="U138" s="0" t="n">
        <v>30508</v>
      </c>
      <c r="V138" s="0" t="n">
        <f aca="false">IF(NOT(ISBLANK(U138)), ROUND(U138/60,0), "")</f>
        <v>508</v>
      </c>
      <c r="W138" s="0" t="n">
        <v>29104</v>
      </c>
      <c r="X138" s="0" t="n">
        <f aca="false">IF(NOT(ISBLANK(W138)), ROUND(W138/60,0), "")</f>
        <v>485</v>
      </c>
      <c r="Y138" s="26"/>
      <c r="Z138" s="0" t="n">
        <v>43521</v>
      </c>
      <c r="AA138" s="0" t="n">
        <f aca="false">IF(NOT(ISBLANK(Z138)), ROUND(Z138/60,0), "")</f>
        <v>725</v>
      </c>
      <c r="AC138" s="0" t="s">
        <v>47</v>
      </c>
    </row>
    <row r="139" customFormat="false" ht="12.8" hidden="false" customHeight="false" outlineLevel="0" collapsed="false">
      <c r="A139" s="0" t="s">
        <v>47</v>
      </c>
      <c r="B139" s="0" t="n">
        <v>50</v>
      </c>
      <c r="C139" s="0" t="n">
        <v>28728</v>
      </c>
      <c r="D139" s="25" t="n">
        <f aca="false">IF(NOT(ISBLANK(C139)), ROUND(C139/60,0), "")</f>
        <v>479</v>
      </c>
      <c r="E139" s="0" t="n">
        <v>25753</v>
      </c>
      <c r="F139" s="25" t="n">
        <f aca="false">IF(NOT(ISBLANK(E139)), ROUND(E139/60,0), "")</f>
        <v>429</v>
      </c>
      <c r="G139" s="0" t="n">
        <v>29538</v>
      </c>
      <c r="H139" s="25" t="n">
        <f aca="false">IF(NOT(ISBLANK(G139)), ROUND(G139/60,0), "")</f>
        <v>492</v>
      </c>
      <c r="I139" s="25"/>
      <c r="J139" s="25"/>
      <c r="K139" s="0" t="n">
        <v>33043</v>
      </c>
      <c r="L139" s="25" t="n">
        <f aca="false">IF(NOT(ISBLANK(K139)), ROUND(K139/60,0), "")</f>
        <v>551</v>
      </c>
      <c r="M139" s="0" t="n">
        <v>27499</v>
      </c>
      <c r="N139" s="25" t="n">
        <f aca="false">IF(NOT(ISBLANK(M139)), ROUND(M139/60,0), "")</f>
        <v>458</v>
      </c>
      <c r="P139" s="0" t="str">
        <f aca="false">IF(NOT(ISBLANK(O139)), ROUND(O139/60,0), "")</f>
        <v/>
      </c>
      <c r="Q139" s="0" t="n">
        <v>34045</v>
      </c>
      <c r="R139" s="0" t="n">
        <f aca="false">IF(NOT(ISBLANK(Q139)), ROUND(Q139/60,0), "")</f>
        <v>567</v>
      </c>
      <c r="S139" s="0" t="n">
        <v>30400</v>
      </c>
      <c r="T139" s="0" t="n">
        <f aca="false">IF(NOT(ISBLANK(S139)), ROUND(S139/60,0), "")</f>
        <v>507</v>
      </c>
      <c r="U139" s="0" t="n">
        <v>23866</v>
      </c>
      <c r="V139" s="0" t="n">
        <f aca="false">IF(NOT(ISBLANK(U139)), ROUND(U139/60,0), "")</f>
        <v>398</v>
      </c>
      <c r="W139" s="0" t="n">
        <v>28177</v>
      </c>
      <c r="X139" s="0" t="n">
        <f aca="false">IF(NOT(ISBLANK(W139)), ROUND(W139/60,0), "")</f>
        <v>470</v>
      </c>
      <c r="Y139" s="26"/>
      <c r="Z139" s="0" t="n">
        <v>30400</v>
      </c>
      <c r="AA139" s="0" t="n">
        <f aca="false">IF(NOT(ISBLANK(Z139)), ROUND(Z139/60,0), "")</f>
        <v>507</v>
      </c>
      <c r="AC139" s="0" t="s">
        <v>47</v>
      </c>
    </row>
    <row r="140" customFormat="false" ht="12.8" hidden="false" customHeight="false" outlineLevel="0" collapsed="false">
      <c r="A140" s="0" t="s">
        <v>47</v>
      </c>
      <c r="B140" s="0" t="n">
        <v>64</v>
      </c>
      <c r="C140" s="0" t="n">
        <v>25164</v>
      </c>
      <c r="D140" s="25" t="n">
        <f aca="false">IF(NOT(ISBLANK(C140)), ROUND(C140/60,0), "")</f>
        <v>419</v>
      </c>
      <c r="E140" s="0" t="n">
        <v>22352</v>
      </c>
      <c r="F140" s="25" t="n">
        <f aca="false">IF(NOT(ISBLANK(E140)), ROUND(E140/60,0), "")</f>
        <v>373</v>
      </c>
      <c r="G140" s="0" t="n">
        <v>26027</v>
      </c>
      <c r="H140" s="25" t="n">
        <f aca="false">IF(NOT(ISBLANK(G140)), ROUND(G140/60,0), "")</f>
        <v>434</v>
      </c>
      <c r="I140" s="25"/>
      <c r="J140" s="25"/>
      <c r="K140" s="0" t="n">
        <v>41094</v>
      </c>
      <c r="L140" s="25" t="n">
        <f aca="false">IF(NOT(ISBLANK(K140)), ROUND(K140/60,0), "")</f>
        <v>685</v>
      </c>
      <c r="M140" s="0" t="n">
        <v>21327</v>
      </c>
      <c r="N140" s="25" t="n">
        <f aca="false">IF(NOT(ISBLANK(M140)), ROUND(M140/60,0), "")</f>
        <v>355</v>
      </c>
      <c r="O140" s="0" t="n">
        <v>30957</v>
      </c>
      <c r="P140" s="0" t="n">
        <f aca="false">IF(NOT(ISBLANK(O140)), ROUND(O140/60,0), "")</f>
        <v>516</v>
      </c>
      <c r="Q140" s="0" t="n">
        <v>27195</v>
      </c>
      <c r="R140" s="0" t="n">
        <f aca="false">IF(NOT(ISBLANK(Q140)), ROUND(Q140/60,0), "")</f>
        <v>453</v>
      </c>
      <c r="S140" s="0" t="n">
        <v>29283</v>
      </c>
      <c r="T140" s="0" t="n">
        <f aca="false">IF(NOT(ISBLANK(S140)), ROUND(S140/60,0), "")</f>
        <v>488</v>
      </c>
      <c r="U140" s="0" t="n">
        <v>20181</v>
      </c>
      <c r="V140" s="0" t="n">
        <f aca="false">IF(NOT(ISBLANK(U140)), ROUND(U140/60,0), "")</f>
        <v>336</v>
      </c>
      <c r="W140" s="0" t="n">
        <v>21236</v>
      </c>
      <c r="X140" s="0" t="n">
        <f aca="false">IF(NOT(ISBLANK(W140)), ROUND(W140/60,0), "")</f>
        <v>354</v>
      </c>
      <c r="Y140" s="26"/>
      <c r="Z140" s="0" t="n">
        <v>27768</v>
      </c>
      <c r="AA140" s="0" t="n">
        <f aca="false">IF(NOT(ISBLANK(Z140)), ROUND(Z140/60,0), "")</f>
        <v>463</v>
      </c>
      <c r="AC140" s="0" t="s">
        <v>47</v>
      </c>
    </row>
    <row r="141" customFormat="false" ht="12.8" hidden="false" customHeight="false" outlineLevel="0" collapsed="false">
      <c r="A141" s="0" t="s">
        <v>47</v>
      </c>
      <c r="B141" s="0" t="n">
        <v>82</v>
      </c>
      <c r="C141" s="0" t="n">
        <v>20864</v>
      </c>
      <c r="D141" s="25" t="n">
        <f aca="false">IF(NOT(ISBLANK(C141)), ROUND(C141/60,0), "")</f>
        <v>348</v>
      </c>
      <c r="E141" s="0" t="n">
        <v>18301</v>
      </c>
      <c r="F141" s="25" t="n">
        <f aca="false">IF(NOT(ISBLANK(E141)), ROUND(E141/60,0), "")</f>
        <v>305</v>
      </c>
      <c r="G141" s="0" t="n">
        <v>23001</v>
      </c>
      <c r="H141" s="25" t="n">
        <f aca="false">IF(NOT(ISBLANK(G141)), ROUND(G141/60,0), "")</f>
        <v>383</v>
      </c>
      <c r="I141" s="25"/>
      <c r="J141" s="25"/>
      <c r="K141" s="0" t="n">
        <v>22994</v>
      </c>
      <c r="L141" s="25" t="n">
        <f aca="false">IF(NOT(ISBLANK(K141)), ROUND(K141/60,0), "")</f>
        <v>383</v>
      </c>
      <c r="M141" s="0" t="n">
        <v>16557</v>
      </c>
      <c r="N141" s="25" t="n">
        <f aca="false">IF(NOT(ISBLANK(M141)), ROUND(M141/60,0), "")</f>
        <v>276</v>
      </c>
      <c r="O141" s="0" t="n">
        <v>20183</v>
      </c>
      <c r="P141" s="0" t="n">
        <f aca="false">IF(NOT(ISBLANK(O141)), ROUND(O141/60,0), "")</f>
        <v>336</v>
      </c>
      <c r="Q141" s="0" t="n">
        <v>24335</v>
      </c>
      <c r="R141" s="0" t="n">
        <f aca="false">IF(NOT(ISBLANK(Q141)), ROUND(Q141/60,0), "")</f>
        <v>406</v>
      </c>
      <c r="S141" s="0" t="n">
        <v>23032</v>
      </c>
      <c r="T141" s="0" t="n">
        <f aca="false">IF(NOT(ISBLANK(S141)), ROUND(S141/60,0), "")</f>
        <v>384</v>
      </c>
      <c r="U141" s="0" t="n">
        <v>19380</v>
      </c>
      <c r="V141" s="0" t="n">
        <f aca="false">IF(NOT(ISBLANK(U141)), ROUND(U141/60,0), "")</f>
        <v>323</v>
      </c>
      <c r="W141" s="0" t="n">
        <v>21987</v>
      </c>
      <c r="X141" s="0" t="n">
        <f aca="false">IF(NOT(ISBLANK(W141)), ROUND(W141/60,0), "")</f>
        <v>366</v>
      </c>
      <c r="Y141" s="26"/>
      <c r="Z141" s="0" t="n">
        <v>21493</v>
      </c>
      <c r="AA141" s="0" t="n">
        <f aca="false">IF(NOT(ISBLANK(Z141)), ROUND(Z141/60,0), "")</f>
        <v>358</v>
      </c>
      <c r="AC141" s="0" t="s">
        <v>47</v>
      </c>
    </row>
    <row r="142" customFormat="false" ht="12.8" hidden="false" customHeight="false" outlineLevel="0" collapsed="false">
      <c r="A142" s="0" t="s">
        <v>47</v>
      </c>
      <c r="B142" s="0" t="n">
        <v>100</v>
      </c>
      <c r="C142" s="0" t="n">
        <v>17476</v>
      </c>
      <c r="D142" s="25" t="n">
        <f aca="false">IF(NOT(ISBLANK(C142)), ROUND(C142/60,0), "")</f>
        <v>291</v>
      </c>
      <c r="E142" s="0" t="n">
        <v>16618</v>
      </c>
      <c r="F142" s="25" t="n">
        <f aca="false">IF(NOT(ISBLANK(E142)), ROUND(E142/60,0), "")</f>
        <v>277</v>
      </c>
      <c r="G142" s="0" t="n">
        <v>19041</v>
      </c>
      <c r="H142" s="25" t="n">
        <f aca="false">IF(NOT(ISBLANK(G142)), ROUND(G142/60,0), "")</f>
        <v>317</v>
      </c>
      <c r="I142" s="25"/>
      <c r="J142" s="25"/>
      <c r="K142" s="0" t="n">
        <v>20479</v>
      </c>
      <c r="L142" s="25" t="n">
        <f aca="false">IF(NOT(ISBLANK(K142)), ROUND(K142/60,0), "")</f>
        <v>341</v>
      </c>
      <c r="M142" s="0" t="n">
        <v>17027</v>
      </c>
      <c r="N142" s="25" t="n">
        <f aca="false">IF(NOT(ISBLANK(M142)), ROUND(M142/60,0), "")</f>
        <v>284</v>
      </c>
      <c r="O142" s="0" t="n">
        <v>19904</v>
      </c>
      <c r="P142" s="0" t="n">
        <f aca="false">IF(NOT(ISBLANK(O142)), ROUND(O142/60,0), "")</f>
        <v>332</v>
      </c>
      <c r="Q142" s="0" t="n">
        <v>22250</v>
      </c>
      <c r="R142" s="0" t="n">
        <f aca="false">IF(NOT(ISBLANK(Q142)), ROUND(Q142/60,0), "")</f>
        <v>371</v>
      </c>
      <c r="S142" s="0" t="n">
        <v>23527</v>
      </c>
      <c r="T142" s="0" t="n">
        <f aca="false">IF(NOT(ISBLANK(S142)), ROUND(S142/60,0), "")</f>
        <v>392</v>
      </c>
      <c r="U142" s="0" t="n">
        <v>15390</v>
      </c>
      <c r="V142" s="0" t="n">
        <f aca="false">IF(NOT(ISBLANK(U142)), ROUND(U142/60,0), "")</f>
        <v>257</v>
      </c>
      <c r="X142" s="0" t="str">
        <f aca="false">IF(NOT(ISBLANK(W142)), ROUND(W142/60,0), "")</f>
        <v/>
      </c>
      <c r="Y142" s="26"/>
      <c r="Z142" s="0" t="n">
        <v>19646</v>
      </c>
      <c r="AA142" s="0" t="n">
        <f aca="false">IF(NOT(ISBLANK(Z142)), ROUND(Z142/60,0), "")</f>
        <v>327</v>
      </c>
      <c r="AC142" s="0" t="s">
        <v>47</v>
      </c>
    </row>
    <row r="143" customFormat="false" ht="12.8" hidden="false" customHeight="false" outlineLevel="0" collapsed="false">
      <c r="A143" s="0" t="s">
        <v>45</v>
      </c>
      <c r="B143" s="0" t="n">
        <v>5</v>
      </c>
      <c r="D143" s="25" t="str">
        <f aca="false">IF(NOT(ISBLANK(C143)), ROUND(C143/60,0), "")</f>
        <v/>
      </c>
      <c r="F143" s="25" t="str">
        <f aca="false">IF(NOT(ISBLANK(E143)), ROUND(E143/60,0), "")</f>
        <v/>
      </c>
      <c r="H143" s="25" t="str">
        <f aca="false">IF(NOT(ISBLANK(G143)), ROUND(G143/60,0), "")</f>
        <v/>
      </c>
      <c r="I143" s="25"/>
      <c r="J143" s="25"/>
      <c r="L143" s="25" t="str">
        <f aca="false">IF(NOT(ISBLANK(K143)), ROUND(K143/60,0), "")</f>
        <v/>
      </c>
      <c r="N143" s="25" t="str">
        <f aca="false">IF(NOT(ISBLANK(M143)), ROUND(M143/60,0), "")</f>
        <v/>
      </c>
      <c r="P143" s="0" t="str">
        <f aca="false">IF(NOT(ISBLANK(O143)), ROUND(O143/60,0), "")</f>
        <v/>
      </c>
      <c r="R143" s="0" t="str">
        <f aca="false">IF(NOT(ISBLANK(Q143)), ROUND(Q143/60,0), "")</f>
        <v/>
      </c>
      <c r="T143" s="0" t="str">
        <f aca="false">IF(NOT(ISBLANK(S143)), ROUND(S143/60,0), "")</f>
        <v/>
      </c>
      <c r="V143" s="0" t="str">
        <f aca="false">IF(NOT(ISBLANK(U143)), ROUND(U143/60,0), "")</f>
        <v/>
      </c>
      <c r="X143" s="0" t="str">
        <f aca="false">IF(NOT(ISBLANK(W143)), ROUND(W143/60,0), "")</f>
        <v/>
      </c>
      <c r="Y143" s="26"/>
      <c r="AA143" s="0" t="str">
        <f aca="false">IF(NOT(ISBLANK(Z143)), ROUND(Z143/60,0), "")</f>
        <v/>
      </c>
      <c r="AC143" s="0" t="s">
        <v>45</v>
      </c>
    </row>
    <row r="144" customFormat="false" ht="12.8" hidden="false" customHeight="false" outlineLevel="0" collapsed="false">
      <c r="A144" s="0" t="s">
        <v>45</v>
      </c>
      <c r="B144" s="0" t="n">
        <v>10</v>
      </c>
      <c r="D144" s="25" t="str">
        <f aca="false">IF(NOT(ISBLANK(C144)), ROUND(C144/60,0), "")</f>
        <v/>
      </c>
      <c r="F144" s="25" t="str">
        <f aca="false">IF(NOT(ISBLANK(E144)), ROUND(E144/60,0), "")</f>
        <v/>
      </c>
      <c r="H144" s="25" t="str">
        <f aca="false">IF(NOT(ISBLANK(G144)), ROUND(G144/60,0), "")</f>
        <v/>
      </c>
      <c r="I144" s="25"/>
      <c r="J144" s="25"/>
      <c r="L144" s="25" t="str">
        <f aca="false">IF(NOT(ISBLANK(K144)), ROUND(K144/60,0), "")</f>
        <v/>
      </c>
      <c r="N144" s="25" t="str">
        <f aca="false">IF(NOT(ISBLANK(M144)), ROUND(M144/60,0), "")</f>
        <v/>
      </c>
      <c r="P144" s="0" t="str">
        <f aca="false">IF(NOT(ISBLANK(O144)), ROUND(O144/60,0), "")</f>
        <v/>
      </c>
      <c r="R144" s="0" t="str">
        <f aca="false">IF(NOT(ISBLANK(Q144)), ROUND(Q144/60,0), "")</f>
        <v/>
      </c>
      <c r="T144" s="0" t="str">
        <f aca="false">IF(NOT(ISBLANK(S144)), ROUND(S144/60,0), "")</f>
        <v/>
      </c>
      <c r="V144" s="0" t="str">
        <f aca="false">IF(NOT(ISBLANK(U144)), ROUND(U144/60,0), "")</f>
        <v/>
      </c>
      <c r="X144" s="0" t="str">
        <f aca="false">IF(NOT(ISBLANK(W144)), ROUND(W144/60,0), "")</f>
        <v/>
      </c>
      <c r="Y144" s="26"/>
      <c r="AA144" s="0" t="str">
        <f aca="false">IF(NOT(ISBLANK(Z144)), ROUND(Z144/60,0), "")</f>
        <v/>
      </c>
      <c r="AC144" s="0" t="s">
        <v>45</v>
      </c>
    </row>
    <row r="145" customFormat="false" ht="12.8" hidden="false" customHeight="false" outlineLevel="0" collapsed="false">
      <c r="A145" s="0" t="s">
        <v>45</v>
      </c>
      <c r="B145" s="0" t="n">
        <v>15</v>
      </c>
      <c r="C145" s="0" t="n">
        <v>185407</v>
      </c>
      <c r="D145" s="25" t="n">
        <f aca="false">IF(NOT(ISBLANK(C145)), ROUND(C145/60,0), "")</f>
        <v>3090</v>
      </c>
      <c r="F145" s="25" t="str">
        <f aca="false">IF(NOT(ISBLANK(E145)), ROUND(E145/60,0), "")</f>
        <v/>
      </c>
      <c r="H145" s="25" t="str">
        <f aca="false">IF(NOT(ISBLANK(G145)), ROUND(G145/60,0), "")</f>
        <v/>
      </c>
      <c r="I145" s="25"/>
      <c r="J145" s="25"/>
      <c r="L145" s="25" t="str">
        <f aca="false">IF(NOT(ISBLANK(K145)), ROUND(K145/60,0), "")</f>
        <v/>
      </c>
      <c r="N145" s="25" t="str">
        <f aca="false">IF(NOT(ISBLANK(M145)), ROUND(M145/60,0), "")</f>
        <v/>
      </c>
      <c r="P145" s="0" t="str">
        <f aca="false">IF(NOT(ISBLANK(O145)), ROUND(O145/60,0), "")</f>
        <v/>
      </c>
      <c r="R145" s="0" t="str">
        <f aca="false">IF(NOT(ISBLANK(Q145)), ROUND(Q145/60,0), "")</f>
        <v/>
      </c>
      <c r="S145" s="0" t="n">
        <v>220914</v>
      </c>
      <c r="T145" s="0" t="n">
        <f aca="false">IF(NOT(ISBLANK(S145)), ROUND(S145/60,0), "")</f>
        <v>3682</v>
      </c>
      <c r="V145" s="0" t="str">
        <f aca="false">IF(NOT(ISBLANK(U145)), ROUND(U145/60,0), "")</f>
        <v/>
      </c>
      <c r="X145" s="0" t="str">
        <f aca="false">IF(NOT(ISBLANK(W145)), ROUND(W145/60,0), "")</f>
        <v/>
      </c>
      <c r="Y145" s="26"/>
      <c r="AA145" s="0" t="str">
        <f aca="false">IF(NOT(ISBLANK(Z145)), ROUND(Z145/60,0), "")</f>
        <v/>
      </c>
      <c r="AC145" s="0" t="s">
        <v>45</v>
      </c>
    </row>
    <row r="146" customFormat="false" ht="12.8" hidden="false" customHeight="false" outlineLevel="0" collapsed="false">
      <c r="A146" s="0" t="s">
        <v>45</v>
      </c>
      <c r="B146" s="0" t="n">
        <v>20</v>
      </c>
      <c r="C146" s="0" t="n">
        <v>130324</v>
      </c>
      <c r="D146" s="25" t="n">
        <f aca="false">IF(NOT(ISBLANK(C146)), ROUND(C146/60,0), "")</f>
        <v>2172</v>
      </c>
      <c r="F146" s="25" t="str">
        <f aca="false">IF(NOT(ISBLANK(E146)), ROUND(E146/60,0), "")</f>
        <v/>
      </c>
      <c r="H146" s="25" t="str">
        <f aca="false">IF(NOT(ISBLANK(G146)), ROUND(G146/60,0), "")</f>
        <v/>
      </c>
      <c r="I146" s="25"/>
      <c r="J146" s="25"/>
      <c r="L146" s="25" t="str">
        <f aca="false">IF(NOT(ISBLANK(K146)), ROUND(K146/60,0), "")</f>
        <v/>
      </c>
      <c r="N146" s="25" t="str">
        <f aca="false">IF(NOT(ISBLANK(M146)), ROUND(M146/60,0), "")</f>
        <v/>
      </c>
      <c r="P146" s="0" t="str">
        <f aca="false">IF(NOT(ISBLANK(O146)), ROUND(O146/60,0), "")</f>
        <v/>
      </c>
      <c r="R146" s="0" t="str">
        <f aca="false">IF(NOT(ISBLANK(Q146)), ROUND(Q146/60,0), "")</f>
        <v/>
      </c>
      <c r="S146" s="0" t="n">
        <v>136478</v>
      </c>
      <c r="T146" s="0" t="n">
        <f aca="false">IF(NOT(ISBLANK(S146)), ROUND(S146/60,0), "")</f>
        <v>2275</v>
      </c>
      <c r="V146" s="0" t="str">
        <f aca="false">IF(NOT(ISBLANK(U146)), ROUND(U146/60,0), "")</f>
        <v/>
      </c>
      <c r="X146" s="0" t="str">
        <f aca="false">IF(NOT(ISBLANK(W146)), ROUND(W146/60,0), "")</f>
        <v/>
      </c>
      <c r="Y146" s="26"/>
      <c r="AA146" s="0" t="str">
        <f aca="false">IF(NOT(ISBLANK(Z146)), ROUND(Z146/60,0), "")</f>
        <v/>
      </c>
      <c r="AC146" s="0" t="s">
        <v>45</v>
      </c>
    </row>
    <row r="147" customFormat="false" ht="12.8" hidden="false" customHeight="false" outlineLevel="0" collapsed="false">
      <c r="A147" s="0" t="s">
        <v>45</v>
      </c>
      <c r="B147" s="0" t="n">
        <v>30</v>
      </c>
      <c r="C147" s="0" t="n">
        <v>133995</v>
      </c>
      <c r="D147" s="25" t="n">
        <f aca="false">IF(NOT(ISBLANK(C147)), ROUND(C147/60,0), "")</f>
        <v>2233</v>
      </c>
      <c r="F147" s="25" t="str">
        <f aca="false">IF(NOT(ISBLANK(E147)), ROUND(E147/60,0), "")</f>
        <v/>
      </c>
      <c r="H147" s="25" t="str">
        <f aca="false">IF(NOT(ISBLANK(G147)), ROUND(G147/60,0), "")</f>
        <v/>
      </c>
      <c r="I147" s="25"/>
      <c r="J147" s="25"/>
      <c r="K147" s="0" t="n">
        <v>118475</v>
      </c>
      <c r="L147" s="25" t="n">
        <f aca="false">IF(NOT(ISBLANK(K147)), ROUND(K147/60,0), "")</f>
        <v>1975</v>
      </c>
      <c r="N147" s="25" t="str">
        <f aca="false">IF(NOT(ISBLANK(M147)), ROUND(M147/60,0), "")</f>
        <v/>
      </c>
      <c r="P147" s="0" t="str">
        <f aca="false">IF(NOT(ISBLANK(O147)), ROUND(O147/60,0), "")</f>
        <v/>
      </c>
      <c r="R147" s="0" t="str">
        <f aca="false">IF(NOT(ISBLANK(Q147)), ROUND(Q147/60,0), "")</f>
        <v/>
      </c>
      <c r="S147" s="0" t="n">
        <v>94597</v>
      </c>
      <c r="T147" s="0" t="n">
        <f aca="false">IF(NOT(ISBLANK(S147)), ROUND(S147/60,0), "")</f>
        <v>1577</v>
      </c>
      <c r="V147" s="0" t="str">
        <f aca="false">IF(NOT(ISBLANK(U147)), ROUND(U147/60,0), "")</f>
        <v/>
      </c>
      <c r="X147" s="0" t="str">
        <f aca="false">IF(NOT(ISBLANK(W147)), ROUND(W147/60,0), "")</f>
        <v/>
      </c>
      <c r="Y147" s="26"/>
      <c r="AA147" s="0" t="str">
        <f aca="false">IF(NOT(ISBLANK(Z147)), ROUND(Z147/60,0), "")</f>
        <v/>
      </c>
      <c r="AC147" s="0" t="s">
        <v>45</v>
      </c>
    </row>
    <row r="148" customFormat="false" ht="12.8" hidden="false" customHeight="false" outlineLevel="0" collapsed="false">
      <c r="A148" s="0" t="s">
        <v>45</v>
      </c>
      <c r="B148" s="0" t="n">
        <v>40</v>
      </c>
      <c r="C148" s="0" t="n">
        <v>80342</v>
      </c>
      <c r="D148" s="25" t="n">
        <f aca="false">IF(NOT(ISBLANK(C148)), ROUND(C148/60,0), "")</f>
        <v>1339</v>
      </c>
      <c r="F148" s="25" t="str">
        <f aca="false">IF(NOT(ISBLANK(E148)), ROUND(E148/60,0), "")</f>
        <v/>
      </c>
      <c r="H148" s="25" t="str">
        <f aca="false">IF(NOT(ISBLANK(G148)), ROUND(G148/60,0), "")</f>
        <v/>
      </c>
      <c r="I148" s="25"/>
      <c r="J148" s="25"/>
      <c r="K148" s="0" t="n">
        <v>69074</v>
      </c>
      <c r="L148" s="25" t="n">
        <f aca="false">IF(NOT(ISBLANK(K148)), ROUND(K148/60,0), "")</f>
        <v>1151</v>
      </c>
      <c r="N148" s="25" t="str">
        <f aca="false">IF(NOT(ISBLANK(M148)), ROUND(M148/60,0), "")</f>
        <v/>
      </c>
      <c r="P148" s="0" t="str">
        <f aca="false">IF(NOT(ISBLANK(O148)), ROUND(O148/60,0), "")</f>
        <v/>
      </c>
      <c r="R148" s="0" t="str">
        <f aca="false">IF(NOT(ISBLANK(Q148)), ROUND(Q148/60,0), "")</f>
        <v/>
      </c>
      <c r="S148" s="0" t="n">
        <v>94560</v>
      </c>
      <c r="T148" s="0" t="n">
        <f aca="false">IF(NOT(ISBLANK(S148)), ROUND(S148/60,0), "")</f>
        <v>1576</v>
      </c>
      <c r="V148" s="0" t="str">
        <f aca="false">IF(NOT(ISBLANK(U148)), ROUND(U148/60,0), "")</f>
        <v/>
      </c>
      <c r="X148" s="0" t="str">
        <f aca="false">IF(NOT(ISBLANK(W148)), ROUND(W148/60,0), "")</f>
        <v/>
      </c>
      <c r="Y148" s="26"/>
      <c r="AA148" s="0" t="str">
        <f aca="false">IF(NOT(ISBLANK(Z148)), ROUND(Z148/60,0), "")</f>
        <v/>
      </c>
      <c r="AC148" s="0" t="s">
        <v>45</v>
      </c>
    </row>
    <row r="149" customFormat="false" ht="12.8" hidden="false" customHeight="false" outlineLevel="0" collapsed="false">
      <c r="A149" s="0" t="s">
        <v>45</v>
      </c>
      <c r="B149" s="0" t="n">
        <v>50</v>
      </c>
      <c r="C149" s="0" t="n">
        <v>68149</v>
      </c>
      <c r="D149" s="25" t="n">
        <f aca="false">IF(NOT(ISBLANK(C149)), ROUND(C149/60,0), "")</f>
        <v>1136</v>
      </c>
      <c r="F149" s="25" t="str">
        <f aca="false">IF(NOT(ISBLANK(E149)), ROUND(E149/60,0), "")</f>
        <v/>
      </c>
      <c r="H149" s="25" t="str">
        <f aca="false">IF(NOT(ISBLANK(G149)), ROUND(G149/60,0), "")</f>
        <v/>
      </c>
      <c r="I149" s="25"/>
      <c r="J149" s="25"/>
      <c r="K149" s="0" t="n">
        <v>59869</v>
      </c>
      <c r="L149" s="25" t="n">
        <f aca="false">IF(NOT(ISBLANK(K149)), ROUND(K149/60,0), "")</f>
        <v>998</v>
      </c>
      <c r="N149" s="25" t="str">
        <f aca="false">IF(NOT(ISBLANK(M149)), ROUND(M149/60,0), "")</f>
        <v/>
      </c>
      <c r="P149" s="0" t="str">
        <f aca="false">IF(NOT(ISBLANK(O149)), ROUND(O149/60,0), "")</f>
        <v/>
      </c>
      <c r="R149" s="0" t="str">
        <f aca="false">IF(NOT(ISBLANK(Q149)), ROUND(Q149/60,0), "")</f>
        <v/>
      </c>
      <c r="S149" s="0" t="n">
        <v>61700</v>
      </c>
      <c r="T149" s="0" t="n">
        <f aca="false">IF(NOT(ISBLANK(S149)), ROUND(S149/60,0), "")</f>
        <v>1028</v>
      </c>
      <c r="V149" s="0" t="str">
        <f aca="false">IF(NOT(ISBLANK(U149)), ROUND(U149/60,0), "")</f>
        <v/>
      </c>
      <c r="X149" s="0" t="str">
        <f aca="false">IF(NOT(ISBLANK(W149)), ROUND(W149/60,0), "")</f>
        <v/>
      </c>
      <c r="Y149" s="26"/>
      <c r="AA149" s="0" t="str">
        <f aca="false">IF(NOT(ISBLANK(Z149)), ROUND(Z149/60,0), "")</f>
        <v/>
      </c>
      <c r="AC149" s="0" t="s">
        <v>45</v>
      </c>
    </row>
    <row r="150" customFormat="false" ht="12.8" hidden="false" customHeight="false" outlineLevel="0" collapsed="false">
      <c r="A150" s="0" t="s">
        <v>45</v>
      </c>
      <c r="B150" s="0" t="n">
        <v>64</v>
      </c>
      <c r="C150" s="0" t="n">
        <v>49839</v>
      </c>
      <c r="D150" s="25" t="n">
        <f aca="false">IF(NOT(ISBLANK(C150)), ROUND(C150/60,0), "")</f>
        <v>831</v>
      </c>
      <c r="F150" s="25" t="str">
        <f aca="false">IF(NOT(ISBLANK(E150)), ROUND(E150/60,0), "")</f>
        <v/>
      </c>
      <c r="H150" s="25" t="str">
        <f aca="false">IF(NOT(ISBLANK(G150)), ROUND(G150/60,0), "")</f>
        <v/>
      </c>
      <c r="I150" s="25"/>
      <c r="J150" s="25"/>
      <c r="K150" s="0" t="n">
        <v>48382</v>
      </c>
      <c r="L150" s="25" t="n">
        <f aca="false">IF(NOT(ISBLANK(K150)), ROUND(K150/60,0), "")</f>
        <v>806</v>
      </c>
      <c r="N150" s="25" t="str">
        <f aca="false">IF(NOT(ISBLANK(M150)), ROUND(M150/60,0), "")</f>
        <v/>
      </c>
      <c r="P150" s="0" t="str">
        <f aca="false">IF(NOT(ISBLANK(O150)), ROUND(O150/60,0), "")</f>
        <v/>
      </c>
      <c r="R150" s="0" t="str">
        <f aca="false">IF(NOT(ISBLANK(Q150)), ROUND(Q150/60,0), "")</f>
        <v/>
      </c>
      <c r="S150" s="0" t="n">
        <v>49095</v>
      </c>
      <c r="T150" s="0" t="n">
        <f aca="false">IF(NOT(ISBLANK(S150)), ROUND(S150/60,0), "")</f>
        <v>818</v>
      </c>
      <c r="V150" s="0" t="str">
        <f aca="false">IF(NOT(ISBLANK(U150)), ROUND(U150/60,0), "")</f>
        <v/>
      </c>
      <c r="X150" s="0" t="str">
        <f aca="false">IF(NOT(ISBLANK(W150)), ROUND(W150/60,0), "")</f>
        <v/>
      </c>
      <c r="Y150" s="26"/>
      <c r="AA150" s="0" t="str">
        <f aca="false">IF(NOT(ISBLANK(Z150)), ROUND(Z150/60,0), "")</f>
        <v/>
      </c>
      <c r="AC150" s="0" t="s">
        <v>45</v>
      </c>
    </row>
    <row r="151" customFormat="false" ht="12.8" hidden="false" customHeight="false" outlineLevel="0" collapsed="false">
      <c r="A151" s="0" t="s">
        <v>45</v>
      </c>
      <c r="B151" s="0" t="n">
        <v>82</v>
      </c>
      <c r="C151" s="0" t="n">
        <v>49573</v>
      </c>
      <c r="D151" s="25" t="n">
        <f aca="false">IF(NOT(ISBLANK(C151)), ROUND(C151/60,0), "")</f>
        <v>826</v>
      </c>
      <c r="F151" s="25" t="str">
        <f aca="false">IF(NOT(ISBLANK(E151)), ROUND(E151/60,0), "")</f>
        <v/>
      </c>
      <c r="H151" s="25" t="str">
        <f aca="false">IF(NOT(ISBLANK(G151)), ROUND(G151/60,0), "")</f>
        <v/>
      </c>
      <c r="I151" s="25"/>
      <c r="J151" s="25"/>
      <c r="K151" s="0" t="n">
        <v>40949</v>
      </c>
      <c r="L151" s="25" t="n">
        <f aca="false">IF(NOT(ISBLANK(K151)), ROUND(K151/60,0), "")</f>
        <v>682</v>
      </c>
      <c r="N151" s="25" t="str">
        <f aca="false">IF(NOT(ISBLANK(M151)), ROUND(M151/60,0), "")</f>
        <v/>
      </c>
      <c r="P151" s="0" t="str">
        <f aca="false">IF(NOT(ISBLANK(O151)), ROUND(O151/60,0), "")</f>
        <v/>
      </c>
      <c r="R151" s="0" t="str">
        <f aca="false">IF(NOT(ISBLANK(Q151)), ROUND(Q151/60,0), "")</f>
        <v/>
      </c>
      <c r="S151" s="0" t="n">
        <v>39381</v>
      </c>
      <c r="T151" s="0" t="n">
        <f aca="false">IF(NOT(ISBLANK(S151)), ROUND(S151/60,0), "")</f>
        <v>656</v>
      </c>
      <c r="V151" s="0" t="str">
        <f aca="false">IF(NOT(ISBLANK(U151)), ROUND(U151/60,0), "")</f>
        <v/>
      </c>
      <c r="X151" s="0" t="str">
        <f aca="false">IF(NOT(ISBLANK(W151)), ROUND(W151/60,0), "")</f>
        <v/>
      </c>
      <c r="Y151" s="26"/>
      <c r="AA151" s="0" t="str">
        <f aca="false">IF(NOT(ISBLANK(Z151)), ROUND(Z151/60,0), "")</f>
        <v/>
      </c>
      <c r="AC151" s="0" t="s">
        <v>45</v>
      </c>
    </row>
    <row r="152" customFormat="false" ht="12.8" hidden="false" customHeight="false" outlineLevel="0" collapsed="false">
      <c r="A152" s="0" t="s">
        <v>45</v>
      </c>
      <c r="B152" s="0" t="n">
        <v>100</v>
      </c>
      <c r="C152" s="0" t="n">
        <v>36093</v>
      </c>
      <c r="D152" s="25" t="n">
        <f aca="false">IF(NOT(ISBLANK(C152)), ROUND(C152/60,0), "")</f>
        <v>602</v>
      </c>
      <c r="F152" s="25" t="str">
        <f aca="false">IF(NOT(ISBLANK(E152)), ROUND(E152/60,0), "")</f>
        <v/>
      </c>
      <c r="H152" s="25" t="str">
        <f aca="false">IF(NOT(ISBLANK(G152)), ROUND(G152/60,0), "")</f>
        <v/>
      </c>
      <c r="I152" s="25"/>
      <c r="J152" s="25"/>
      <c r="K152" s="0" t="n">
        <v>35005</v>
      </c>
      <c r="L152" s="25" t="n">
        <f aca="false">IF(NOT(ISBLANK(K152)), ROUND(K152/60,0), "")</f>
        <v>583</v>
      </c>
      <c r="N152" s="25" t="str">
        <f aca="false">IF(NOT(ISBLANK(M152)), ROUND(M152/60,0), "")</f>
        <v/>
      </c>
      <c r="P152" s="0" t="str">
        <f aca="false">IF(NOT(ISBLANK(O152)), ROUND(O152/60,0), "")</f>
        <v/>
      </c>
      <c r="R152" s="0" t="str">
        <f aca="false">IF(NOT(ISBLANK(Q152)), ROUND(Q152/60,0), "")</f>
        <v/>
      </c>
      <c r="S152" s="0" t="n">
        <v>31176</v>
      </c>
      <c r="T152" s="0" t="n">
        <f aca="false">IF(NOT(ISBLANK(S152)), ROUND(S152/60,0), "")</f>
        <v>520</v>
      </c>
      <c r="V152" s="0" t="str">
        <f aca="false">IF(NOT(ISBLANK(U152)), ROUND(U152/60,0), "")</f>
        <v/>
      </c>
      <c r="X152" s="0" t="str">
        <f aca="false">IF(NOT(ISBLANK(W152)), ROUND(W152/60,0), "")</f>
        <v/>
      </c>
      <c r="Y152" s="26"/>
      <c r="AA152" s="0" t="str">
        <f aca="false">IF(NOT(ISBLANK(Z152)), ROUND(Z152/60,0), "")</f>
        <v/>
      </c>
      <c r="AC152" s="0" t="s">
        <v>45</v>
      </c>
    </row>
    <row r="153" customFormat="false" ht="12.8" hidden="false" customHeight="false" outlineLevel="0" collapsed="false">
      <c r="A153" s="0" t="s">
        <v>48</v>
      </c>
      <c r="B153" s="0" t="n">
        <v>5</v>
      </c>
      <c r="D153" s="25" t="str">
        <f aca="false">IF(NOT(ISBLANK(C153)), ROUND(C153/60,0), "")</f>
        <v/>
      </c>
      <c r="F153" s="25" t="str">
        <f aca="false">IF(NOT(ISBLANK(E153)), ROUND(E153/60,0), "")</f>
        <v/>
      </c>
      <c r="H153" s="25" t="str">
        <f aca="false">IF(NOT(ISBLANK(G153)), ROUND(G153/60,0), "")</f>
        <v/>
      </c>
      <c r="I153" s="25"/>
      <c r="J153" s="25"/>
      <c r="L153" s="25" t="str">
        <f aca="false">IF(NOT(ISBLANK(K153)), ROUND(K153/60,0), "")</f>
        <v/>
      </c>
      <c r="N153" s="25" t="str">
        <f aca="false">IF(NOT(ISBLANK(M153)), ROUND(M153/60,0), "")</f>
        <v/>
      </c>
      <c r="P153" s="0" t="str">
        <f aca="false">IF(NOT(ISBLANK(O153)), ROUND(O153/60,0), "")</f>
        <v/>
      </c>
      <c r="R153" s="0" t="str">
        <f aca="false">IF(NOT(ISBLANK(Q153)), ROUND(Q153/60,0), "")</f>
        <v/>
      </c>
      <c r="T153" s="0" t="str">
        <f aca="false">IF(NOT(ISBLANK(S153)), ROUND(S153/60,0), "")</f>
        <v/>
      </c>
      <c r="V153" s="0" t="str">
        <f aca="false">IF(NOT(ISBLANK(U153)), ROUND(U153/60,0), "")</f>
        <v/>
      </c>
      <c r="W153" s="0" t="n">
        <v>75949</v>
      </c>
      <c r="X153" s="0" t="n">
        <f aca="false">IF(NOT(ISBLANK(W153)), ROUND(W153/60,0), "")</f>
        <v>1266</v>
      </c>
      <c r="Y153" s="26"/>
      <c r="AA153" s="0" t="str">
        <f aca="false">IF(NOT(ISBLANK(Z153)), ROUND(Z153/60,0), "")</f>
        <v/>
      </c>
      <c r="AC153" s="0" t="s">
        <v>48</v>
      </c>
    </row>
    <row r="154" customFormat="false" ht="12.8" hidden="false" customHeight="false" outlineLevel="0" collapsed="false">
      <c r="A154" s="0" t="s">
        <v>48</v>
      </c>
      <c r="B154" s="0" t="n">
        <v>10</v>
      </c>
      <c r="C154" s="0" t="n">
        <v>79360</v>
      </c>
      <c r="D154" s="25" t="n">
        <f aca="false">IF(NOT(ISBLANK(C154)), ROUND(C154/60,0), "")</f>
        <v>1323</v>
      </c>
      <c r="E154" s="0" t="n">
        <v>76647</v>
      </c>
      <c r="F154" s="25" t="n">
        <f aca="false">IF(NOT(ISBLANK(E154)), ROUND(E154/60,0), "")</f>
        <v>1277</v>
      </c>
      <c r="G154" s="0" t="n">
        <v>83675</v>
      </c>
      <c r="H154" s="25" t="n">
        <f aca="false">IF(NOT(ISBLANK(G154)), ROUND(G154/60,0), "")</f>
        <v>1395</v>
      </c>
      <c r="I154" s="25"/>
      <c r="J154" s="25"/>
      <c r="K154" s="0" t="n">
        <v>76245</v>
      </c>
      <c r="L154" s="25" t="n">
        <f aca="false">IF(NOT(ISBLANK(K154)), ROUND(K154/60,0), "")</f>
        <v>1271</v>
      </c>
      <c r="N154" s="25" t="str">
        <f aca="false">IF(NOT(ISBLANK(M154)), ROUND(M154/60,0), "")</f>
        <v/>
      </c>
      <c r="O154" s="0" t="n">
        <v>100932</v>
      </c>
      <c r="P154" s="0" t="n">
        <f aca="false">IF(NOT(ISBLANK(O154)), ROUND(O154/60,0), "")</f>
        <v>1682</v>
      </c>
      <c r="Q154" s="0" t="n">
        <v>76244</v>
      </c>
      <c r="R154" s="0" t="n">
        <f aca="false">IF(NOT(ISBLANK(Q154)), ROUND(Q154/60,0), "")</f>
        <v>1271</v>
      </c>
      <c r="S154" s="0" t="n">
        <v>79724</v>
      </c>
      <c r="T154" s="0" t="n">
        <f aca="false">IF(NOT(ISBLANK(S154)), ROUND(S154/60,0), "")</f>
        <v>1329</v>
      </c>
      <c r="U154" s="0" t="n">
        <v>74230</v>
      </c>
      <c r="V154" s="0" t="n">
        <f aca="false">IF(NOT(ISBLANK(U154)), ROUND(U154/60,0), "")</f>
        <v>1237</v>
      </c>
      <c r="X154" s="0" t="str">
        <f aca="false">IF(NOT(ISBLANK(W154)), ROUND(W154/60,0), "")</f>
        <v/>
      </c>
      <c r="Y154" s="26"/>
      <c r="Z154" s="0" t="n">
        <v>79724</v>
      </c>
      <c r="AA154" s="0" t="n">
        <f aca="false">IF(NOT(ISBLANK(Z154)), ROUND(Z154/60,0), "")</f>
        <v>1329</v>
      </c>
      <c r="AC154" s="0" t="s">
        <v>48</v>
      </c>
    </row>
    <row r="155" customFormat="false" ht="12.8" hidden="false" customHeight="false" outlineLevel="0" collapsed="false">
      <c r="A155" s="0" t="s">
        <v>48</v>
      </c>
      <c r="B155" s="0" t="n">
        <v>15</v>
      </c>
      <c r="C155" s="0" t="n">
        <v>47402</v>
      </c>
      <c r="D155" s="25" t="n">
        <f aca="false">IF(NOT(ISBLANK(C155)), ROUND(C155/60,0), "")</f>
        <v>790</v>
      </c>
      <c r="E155" s="0" t="n">
        <v>51634</v>
      </c>
      <c r="F155" s="25" t="n">
        <f aca="false">IF(NOT(ISBLANK(E155)), ROUND(E155/60,0), "")</f>
        <v>861</v>
      </c>
      <c r="H155" s="25" t="str">
        <f aca="false">IF(NOT(ISBLANK(G155)), ROUND(G155/60,0), "")</f>
        <v/>
      </c>
      <c r="I155" s="25"/>
      <c r="J155" s="25"/>
      <c r="K155" s="0" t="n">
        <v>78161</v>
      </c>
      <c r="L155" s="25" t="n">
        <f aca="false">IF(NOT(ISBLANK(K155)), ROUND(K155/60,0), "")</f>
        <v>1303</v>
      </c>
      <c r="M155" s="0" t="n">
        <v>69892</v>
      </c>
      <c r="N155" s="25" t="n">
        <f aca="false">IF(NOT(ISBLANK(M155)), ROUND(M155/60,0), "")</f>
        <v>1165</v>
      </c>
      <c r="O155" s="0" t="n">
        <v>66236</v>
      </c>
      <c r="P155" s="0" t="n">
        <f aca="false">IF(NOT(ISBLANK(O155)), ROUND(O155/60,0), "")</f>
        <v>1104</v>
      </c>
      <c r="Q155" s="0" t="n">
        <v>78164</v>
      </c>
      <c r="R155" s="0" t="n">
        <f aca="false">IF(NOT(ISBLANK(Q155)), ROUND(Q155/60,0), "")</f>
        <v>1303</v>
      </c>
      <c r="S155" s="0" t="n">
        <v>78247</v>
      </c>
      <c r="T155" s="0" t="n">
        <f aca="false">IF(NOT(ISBLANK(S155)), ROUND(S155/60,0), "")</f>
        <v>1304</v>
      </c>
      <c r="U155" s="0" t="n">
        <v>61562</v>
      </c>
      <c r="V155" s="0" t="n">
        <f aca="false">IF(NOT(ISBLANK(U155)), ROUND(U155/60,0), "")</f>
        <v>1026</v>
      </c>
      <c r="W155" s="0" t="n">
        <v>55373</v>
      </c>
      <c r="X155" s="0" t="n">
        <f aca="false">IF(NOT(ISBLANK(W155)), ROUND(W155/60,0), "")</f>
        <v>923</v>
      </c>
      <c r="Y155" s="26"/>
      <c r="Z155" s="0" t="n">
        <v>66715</v>
      </c>
      <c r="AA155" s="0" t="n">
        <f aca="false">IF(NOT(ISBLANK(Z155)), ROUND(Z155/60,0), "")</f>
        <v>1112</v>
      </c>
      <c r="AC155" s="0" t="s">
        <v>48</v>
      </c>
    </row>
    <row r="156" customFormat="false" ht="12.8" hidden="false" customHeight="false" outlineLevel="0" collapsed="false">
      <c r="A156" s="0" t="s">
        <v>48</v>
      </c>
      <c r="B156" s="0" t="n">
        <v>20</v>
      </c>
      <c r="C156" s="0" t="n">
        <v>50345</v>
      </c>
      <c r="D156" s="25" t="n">
        <f aca="false">IF(NOT(ISBLANK(C156)), ROUND(C156/60,0), "")</f>
        <v>839</v>
      </c>
      <c r="E156" s="0" t="n">
        <v>39840</v>
      </c>
      <c r="F156" s="25" t="n">
        <f aca="false">IF(NOT(ISBLANK(E156)), ROUND(E156/60,0), "")</f>
        <v>664</v>
      </c>
      <c r="G156" s="0" t="n">
        <v>38812</v>
      </c>
      <c r="H156" s="25" t="n">
        <f aca="false">IF(NOT(ISBLANK(G156)), ROUND(G156/60,0), "")</f>
        <v>647</v>
      </c>
      <c r="I156" s="25"/>
      <c r="J156" s="25"/>
      <c r="K156" s="0" t="n">
        <v>47945</v>
      </c>
      <c r="L156" s="25" t="n">
        <f aca="false">IF(NOT(ISBLANK(K156)), ROUND(K156/60,0), "")</f>
        <v>799</v>
      </c>
      <c r="M156" s="0" t="n">
        <v>37714</v>
      </c>
      <c r="N156" s="25" t="n">
        <f aca="false">IF(NOT(ISBLANK(M156)), ROUND(M156/60,0), "")</f>
        <v>629</v>
      </c>
      <c r="O156" s="0" t="n">
        <v>39719</v>
      </c>
      <c r="P156" s="0" t="n">
        <f aca="false">IF(NOT(ISBLANK(O156)), ROUND(O156/60,0), "")</f>
        <v>662</v>
      </c>
      <c r="Q156" s="0" t="n">
        <v>44370</v>
      </c>
      <c r="R156" s="0" t="n">
        <f aca="false">IF(NOT(ISBLANK(Q156)), ROUND(Q156/60,0), "")</f>
        <v>740</v>
      </c>
      <c r="S156" s="0" t="n">
        <v>40764</v>
      </c>
      <c r="T156" s="0" t="n">
        <f aca="false">IF(NOT(ISBLANK(S156)), ROUND(S156/60,0), "")</f>
        <v>679</v>
      </c>
      <c r="U156" s="0" t="n">
        <v>38205</v>
      </c>
      <c r="V156" s="0" t="n">
        <f aca="false">IF(NOT(ISBLANK(U156)), ROUND(U156/60,0), "")</f>
        <v>637</v>
      </c>
      <c r="W156" s="0" t="n">
        <v>32370</v>
      </c>
      <c r="X156" s="0" t="n">
        <f aca="false">IF(NOT(ISBLANK(W156)), ROUND(W156/60,0), "")</f>
        <v>540</v>
      </c>
      <c r="Y156" s="26"/>
      <c r="Z156" s="0" t="n">
        <v>39040</v>
      </c>
      <c r="AA156" s="0" t="n">
        <f aca="false">IF(NOT(ISBLANK(Z156)), ROUND(Z156/60,0), "")</f>
        <v>651</v>
      </c>
      <c r="AC156" s="0" t="s">
        <v>48</v>
      </c>
    </row>
    <row r="157" customFormat="false" ht="12.8" hidden="false" customHeight="false" outlineLevel="0" collapsed="false">
      <c r="A157" s="0" t="s">
        <v>48</v>
      </c>
      <c r="B157" s="0" t="n">
        <v>30</v>
      </c>
      <c r="C157" s="0" t="n">
        <v>31484</v>
      </c>
      <c r="D157" s="25" t="n">
        <f aca="false">IF(NOT(ISBLANK(C157)), ROUND(C157/60,0), "")</f>
        <v>525</v>
      </c>
      <c r="E157" s="0" t="n">
        <v>23554</v>
      </c>
      <c r="F157" s="25" t="n">
        <f aca="false">IF(NOT(ISBLANK(E157)), ROUND(E157/60,0), "")</f>
        <v>393</v>
      </c>
      <c r="G157" s="0" t="n">
        <v>31835</v>
      </c>
      <c r="H157" s="25" t="n">
        <f aca="false">IF(NOT(ISBLANK(G157)), ROUND(G157/60,0), "")</f>
        <v>531</v>
      </c>
      <c r="I157" s="25"/>
      <c r="J157" s="25"/>
      <c r="K157" s="0" t="n">
        <v>47647</v>
      </c>
      <c r="L157" s="25" t="n">
        <f aca="false">IF(NOT(ISBLANK(K157)), ROUND(K157/60,0), "")</f>
        <v>794</v>
      </c>
      <c r="M157" s="0" t="n">
        <v>27124</v>
      </c>
      <c r="N157" s="25" t="n">
        <f aca="false">IF(NOT(ISBLANK(M157)), ROUND(M157/60,0), "")</f>
        <v>452</v>
      </c>
      <c r="O157" s="0" t="n">
        <v>29576</v>
      </c>
      <c r="P157" s="0" t="n">
        <f aca="false">IF(NOT(ISBLANK(O157)), ROUND(O157/60,0), "")</f>
        <v>493</v>
      </c>
      <c r="Q157" s="0" t="n">
        <v>47648</v>
      </c>
      <c r="R157" s="0" t="n">
        <f aca="false">IF(NOT(ISBLANK(Q157)), ROUND(Q157/60,0), "")</f>
        <v>794</v>
      </c>
      <c r="S157" s="0" t="n">
        <v>31694</v>
      </c>
      <c r="T157" s="0" t="n">
        <f aca="false">IF(NOT(ISBLANK(S157)), ROUND(S157/60,0), "")</f>
        <v>528</v>
      </c>
      <c r="U157" s="0" t="n">
        <v>30773</v>
      </c>
      <c r="V157" s="0" t="n">
        <f aca="false">IF(NOT(ISBLANK(U157)), ROUND(U157/60,0), "")</f>
        <v>513</v>
      </c>
      <c r="W157" s="0" t="n">
        <v>23412</v>
      </c>
      <c r="X157" s="0" t="n">
        <f aca="false">IF(NOT(ISBLANK(W157)), ROUND(W157/60,0), "")</f>
        <v>390</v>
      </c>
      <c r="Y157" s="26"/>
      <c r="Z157" s="0" t="n">
        <v>29267</v>
      </c>
      <c r="AA157" s="0" t="n">
        <f aca="false">IF(NOT(ISBLANK(Z157)), ROUND(Z157/60,0), "")</f>
        <v>488</v>
      </c>
      <c r="AC157" s="0" t="s">
        <v>48</v>
      </c>
    </row>
    <row r="158" customFormat="false" ht="12.8" hidden="false" customHeight="false" outlineLevel="0" collapsed="false">
      <c r="A158" s="0" t="s">
        <v>48</v>
      </c>
      <c r="B158" s="0" t="n">
        <v>40</v>
      </c>
      <c r="C158" s="0" t="n">
        <v>22517</v>
      </c>
      <c r="D158" s="25" t="n">
        <f aca="false">IF(NOT(ISBLANK(C158)), ROUND(C158/60,0), "")</f>
        <v>375</v>
      </c>
      <c r="E158" s="0" t="n">
        <v>20827</v>
      </c>
      <c r="F158" s="25" t="n">
        <f aca="false">IF(NOT(ISBLANK(E158)), ROUND(E158/60,0), "")</f>
        <v>347</v>
      </c>
      <c r="G158" s="0" t="n">
        <v>24936</v>
      </c>
      <c r="H158" s="25" t="n">
        <f aca="false">IF(NOT(ISBLANK(G158)), ROUND(G158/60,0), "")</f>
        <v>416</v>
      </c>
      <c r="I158" s="25"/>
      <c r="J158" s="25"/>
      <c r="K158" s="0" t="n">
        <v>41573</v>
      </c>
      <c r="L158" s="25" t="n">
        <f aca="false">IF(NOT(ISBLANK(K158)), ROUND(K158/60,0), "")</f>
        <v>693</v>
      </c>
      <c r="M158" s="0" t="n">
        <v>20776</v>
      </c>
      <c r="N158" s="25" t="n">
        <f aca="false">IF(NOT(ISBLANK(M158)), ROUND(M158/60,0), "")</f>
        <v>346</v>
      </c>
      <c r="O158" s="0" t="n">
        <v>22582</v>
      </c>
      <c r="P158" s="0" t="n">
        <f aca="false">IF(NOT(ISBLANK(O158)), ROUND(O158/60,0), "")</f>
        <v>376</v>
      </c>
      <c r="Q158" s="0" t="n">
        <v>41573</v>
      </c>
      <c r="R158" s="0" t="n">
        <f aca="false">IF(NOT(ISBLANK(Q158)), ROUND(Q158/60,0), "")</f>
        <v>693</v>
      </c>
      <c r="S158" s="0" t="n">
        <v>21174</v>
      </c>
      <c r="T158" s="0" t="n">
        <f aca="false">IF(NOT(ISBLANK(S158)), ROUND(S158/60,0), "")</f>
        <v>353</v>
      </c>
      <c r="U158" s="0" t="n">
        <v>20635</v>
      </c>
      <c r="V158" s="0" t="n">
        <f aca="false">IF(NOT(ISBLANK(U158)), ROUND(U158/60,0), "")</f>
        <v>344</v>
      </c>
      <c r="W158" s="0" t="n">
        <v>19090</v>
      </c>
      <c r="X158" s="0" t="n">
        <f aca="false">IF(NOT(ISBLANK(W158)), ROUND(W158/60,0), "")</f>
        <v>318</v>
      </c>
      <c r="Y158" s="26"/>
      <c r="Z158" s="0" t="n">
        <v>24042</v>
      </c>
      <c r="AA158" s="0" t="n">
        <f aca="false">IF(NOT(ISBLANK(Z158)), ROUND(Z158/60,0), "")</f>
        <v>401</v>
      </c>
      <c r="AC158" s="0" t="s">
        <v>48</v>
      </c>
    </row>
    <row r="159" customFormat="false" ht="12.8" hidden="false" customHeight="false" outlineLevel="0" collapsed="false">
      <c r="A159" s="0" t="s">
        <v>48</v>
      </c>
      <c r="B159" s="0" t="n">
        <v>50</v>
      </c>
      <c r="C159" s="0" t="n">
        <v>23761</v>
      </c>
      <c r="D159" s="25" t="n">
        <f aca="false">IF(NOT(ISBLANK(C159)), ROUND(C159/60,0), "")</f>
        <v>396</v>
      </c>
      <c r="E159" s="0" t="n">
        <v>14889</v>
      </c>
      <c r="F159" s="25" t="n">
        <f aca="false">IF(NOT(ISBLANK(E159)), ROUND(E159/60,0), "")</f>
        <v>248</v>
      </c>
      <c r="G159" s="0" t="n">
        <v>20102</v>
      </c>
      <c r="H159" s="25" t="n">
        <f aca="false">IF(NOT(ISBLANK(G159)), ROUND(G159/60,0), "")</f>
        <v>335</v>
      </c>
      <c r="I159" s="25"/>
      <c r="J159" s="25"/>
      <c r="K159" s="0" t="n">
        <v>22817</v>
      </c>
      <c r="L159" s="25" t="n">
        <f aca="false">IF(NOT(ISBLANK(K159)), ROUND(K159/60,0), "")</f>
        <v>380</v>
      </c>
      <c r="M159" s="0" t="n">
        <v>15247</v>
      </c>
      <c r="N159" s="25" t="n">
        <f aca="false">IF(NOT(ISBLANK(M159)), ROUND(M159/60,0), "")</f>
        <v>254</v>
      </c>
      <c r="O159" s="0" t="n">
        <v>19253</v>
      </c>
      <c r="P159" s="0" t="n">
        <f aca="false">IF(NOT(ISBLANK(O159)), ROUND(O159/60,0), "")</f>
        <v>321</v>
      </c>
      <c r="Q159" s="0" t="n">
        <v>20784</v>
      </c>
      <c r="R159" s="0" t="n">
        <f aca="false">IF(NOT(ISBLANK(Q159)), ROUND(Q159/60,0), "")</f>
        <v>346</v>
      </c>
      <c r="S159" s="0" t="n">
        <v>18405</v>
      </c>
      <c r="T159" s="0" t="n">
        <f aca="false">IF(NOT(ISBLANK(S159)), ROUND(S159/60,0), "")</f>
        <v>307</v>
      </c>
      <c r="U159" s="0" t="n">
        <v>17417</v>
      </c>
      <c r="V159" s="0" t="n">
        <f aca="false">IF(NOT(ISBLANK(U159)), ROUND(U159/60,0), "")</f>
        <v>290</v>
      </c>
      <c r="W159" s="0" t="n">
        <v>20733</v>
      </c>
      <c r="X159" s="0" t="n">
        <f aca="false">IF(NOT(ISBLANK(W159)), ROUND(W159/60,0), "")</f>
        <v>346</v>
      </c>
      <c r="Y159" s="26"/>
      <c r="Z159" s="0" t="n">
        <v>18405</v>
      </c>
      <c r="AA159" s="0" t="n">
        <f aca="false">IF(NOT(ISBLANK(Z159)), ROUND(Z159/60,0), "")</f>
        <v>307</v>
      </c>
      <c r="AC159" s="0" t="s">
        <v>48</v>
      </c>
    </row>
    <row r="160" customFormat="false" ht="12.8" hidden="false" customHeight="false" outlineLevel="0" collapsed="false">
      <c r="A160" s="0" t="s">
        <v>48</v>
      </c>
      <c r="B160" s="0" t="n">
        <v>64</v>
      </c>
      <c r="C160" s="0" t="n">
        <v>17557</v>
      </c>
      <c r="D160" s="25" t="n">
        <f aca="false">IF(NOT(ISBLANK(C160)), ROUND(C160/60,0), "")</f>
        <v>293</v>
      </c>
      <c r="E160" s="0" t="n">
        <v>15887</v>
      </c>
      <c r="F160" s="25" t="n">
        <f aca="false">IF(NOT(ISBLANK(E160)), ROUND(E160/60,0), "")</f>
        <v>265</v>
      </c>
      <c r="G160" s="0" t="n">
        <v>15363</v>
      </c>
      <c r="H160" s="25" t="n">
        <f aca="false">IF(NOT(ISBLANK(G160)), ROUND(G160/60,0), "")</f>
        <v>256</v>
      </c>
      <c r="I160" s="25"/>
      <c r="J160" s="25"/>
      <c r="K160" s="0" t="n">
        <v>17319</v>
      </c>
      <c r="L160" s="25" t="n">
        <f aca="false">IF(NOT(ISBLANK(K160)), ROUND(K160/60,0), "")</f>
        <v>289</v>
      </c>
      <c r="M160" s="0" t="n">
        <v>15423</v>
      </c>
      <c r="N160" s="25" t="n">
        <f aca="false">IF(NOT(ISBLANK(M160)), ROUND(M160/60,0), "")</f>
        <v>257</v>
      </c>
      <c r="O160" s="0" t="n">
        <v>19337</v>
      </c>
      <c r="P160" s="0" t="n">
        <f aca="false">IF(NOT(ISBLANK(O160)), ROUND(O160/60,0), "")</f>
        <v>322</v>
      </c>
      <c r="Q160" s="0" t="n">
        <v>15583</v>
      </c>
      <c r="R160" s="0" t="n">
        <f aca="false">IF(NOT(ISBLANK(Q160)), ROUND(Q160/60,0), "")</f>
        <v>260</v>
      </c>
      <c r="S160" s="0" t="n">
        <v>17701</v>
      </c>
      <c r="T160" s="0" t="n">
        <f aca="false">IF(NOT(ISBLANK(S160)), ROUND(S160/60,0), "")</f>
        <v>295</v>
      </c>
      <c r="U160" s="0" t="n">
        <v>12767</v>
      </c>
      <c r="V160" s="0" t="n">
        <f aca="false">IF(NOT(ISBLANK(U160)), ROUND(U160/60,0), "")</f>
        <v>213</v>
      </c>
      <c r="W160" s="0" t="n">
        <v>15142</v>
      </c>
      <c r="X160" s="0" t="n">
        <f aca="false">IF(NOT(ISBLANK(W160)), ROUND(W160/60,0), "")</f>
        <v>252</v>
      </c>
      <c r="Y160" s="26"/>
      <c r="Z160" s="0" t="n">
        <v>16051</v>
      </c>
      <c r="AA160" s="0" t="n">
        <f aca="false">IF(NOT(ISBLANK(Z160)), ROUND(Z160/60,0), "")</f>
        <v>268</v>
      </c>
      <c r="AC160" s="0" t="s">
        <v>48</v>
      </c>
    </row>
    <row r="161" customFormat="false" ht="12.8" hidden="false" customHeight="false" outlineLevel="0" collapsed="false">
      <c r="A161" s="0" t="s">
        <v>48</v>
      </c>
      <c r="B161" s="0" t="n">
        <v>82</v>
      </c>
      <c r="C161" s="0" t="n">
        <v>14783</v>
      </c>
      <c r="D161" s="25" t="n">
        <f aca="false">IF(NOT(ISBLANK(C161)), ROUND(C161/60,0), "")</f>
        <v>246</v>
      </c>
      <c r="E161" s="0" t="n">
        <v>12985</v>
      </c>
      <c r="F161" s="25" t="n">
        <f aca="false">IF(NOT(ISBLANK(E161)), ROUND(E161/60,0), "")</f>
        <v>216</v>
      </c>
      <c r="G161" s="0" t="n">
        <v>18197</v>
      </c>
      <c r="H161" s="25" t="n">
        <f aca="false">IF(NOT(ISBLANK(G161)), ROUND(G161/60,0), "")</f>
        <v>303</v>
      </c>
      <c r="I161" s="25"/>
      <c r="J161" s="25"/>
      <c r="K161" s="0" t="n">
        <v>13437</v>
      </c>
      <c r="L161" s="25" t="n">
        <f aca="false">IF(NOT(ISBLANK(K161)), ROUND(K161/60,0), "")</f>
        <v>224</v>
      </c>
      <c r="M161" s="0" t="n">
        <v>11005</v>
      </c>
      <c r="N161" s="25" t="n">
        <f aca="false">IF(NOT(ISBLANK(M161)), ROUND(M161/60,0), "")</f>
        <v>183</v>
      </c>
      <c r="O161" s="0" t="n">
        <v>17214</v>
      </c>
      <c r="P161" s="0" t="n">
        <f aca="false">IF(NOT(ISBLANK(O161)), ROUND(O161/60,0), "")</f>
        <v>287</v>
      </c>
      <c r="Q161" s="0" t="n">
        <v>12430</v>
      </c>
      <c r="R161" s="0" t="n">
        <f aca="false">IF(NOT(ISBLANK(Q161)), ROUND(Q161/60,0), "")</f>
        <v>207</v>
      </c>
      <c r="S161" s="0" t="n">
        <v>12461</v>
      </c>
      <c r="T161" s="0" t="n">
        <f aca="false">IF(NOT(ISBLANK(S161)), ROUND(S161/60,0), "")</f>
        <v>208</v>
      </c>
      <c r="U161" s="0" t="n">
        <v>11734</v>
      </c>
      <c r="V161" s="0" t="n">
        <f aca="false">IF(NOT(ISBLANK(U161)), ROUND(U161/60,0), "")</f>
        <v>196</v>
      </c>
      <c r="W161" s="0" t="n">
        <v>12451</v>
      </c>
      <c r="X161" s="0" t="n">
        <f aca="false">IF(NOT(ISBLANK(W161)), ROUND(W161/60,0), "")</f>
        <v>208</v>
      </c>
      <c r="Y161" s="26"/>
      <c r="Z161" s="0" t="n">
        <v>13792</v>
      </c>
      <c r="AA161" s="0" t="n">
        <f aca="false">IF(NOT(ISBLANK(Z161)), ROUND(Z161/60,0), "")</f>
        <v>230</v>
      </c>
      <c r="AC161" s="0" t="s">
        <v>48</v>
      </c>
    </row>
    <row r="162" customFormat="false" ht="12.8" hidden="false" customHeight="false" outlineLevel="0" collapsed="false">
      <c r="A162" s="0" t="s">
        <v>48</v>
      </c>
      <c r="B162" s="0" t="n">
        <v>100</v>
      </c>
      <c r="C162" s="0" t="n">
        <v>11074</v>
      </c>
      <c r="D162" s="25" t="n">
        <f aca="false">IF(NOT(ISBLANK(C162)), ROUND(C162/60,0), "")</f>
        <v>185</v>
      </c>
      <c r="E162" s="0" t="n">
        <v>9760</v>
      </c>
      <c r="F162" s="25" t="n">
        <f aca="false">IF(NOT(ISBLANK(E162)), ROUND(E162/60,0), "")</f>
        <v>163</v>
      </c>
      <c r="G162" s="0" t="n">
        <v>12030</v>
      </c>
      <c r="H162" s="25" t="n">
        <f aca="false">IF(NOT(ISBLANK(G162)), ROUND(G162/60,0), "")</f>
        <v>201</v>
      </c>
      <c r="I162" s="25"/>
      <c r="J162" s="25"/>
      <c r="K162" s="0" t="n">
        <v>15644</v>
      </c>
      <c r="L162" s="25" t="n">
        <f aca="false">IF(NOT(ISBLANK(K162)), ROUND(K162/60,0), "")</f>
        <v>261</v>
      </c>
      <c r="M162" s="0" t="n">
        <v>9393</v>
      </c>
      <c r="N162" s="25" t="n">
        <f aca="false">IF(NOT(ISBLANK(M162)), ROUND(M162/60,0), "")</f>
        <v>157</v>
      </c>
      <c r="O162" s="0" t="n">
        <v>12744</v>
      </c>
      <c r="P162" s="0" t="n">
        <f aca="false">IF(NOT(ISBLANK(O162)), ROUND(O162/60,0), "")</f>
        <v>212</v>
      </c>
      <c r="Q162" s="0" t="n">
        <v>10361</v>
      </c>
      <c r="R162" s="0" t="n">
        <f aca="false">IF(NOT(ISBLANK(Q162)), ROUND(Q162/60,0), "")</f>
        <v>173</v>
      </c>
      <c r="S162" s="0" t="n">
        <v>11114</v>
      </c>
      <c r="T162" s="0" t="n">
        <f aca="false">IF(NOT(ISBLANK(S162)), ROUND(S162/60,0), "")</f>
        <v>185</v>
      </c>
      <c r="U162" s="0" t="n">
        <v>10422</v>
      </c>
      <c r="V162" s="0" t="n">
        <f aca="false">IF(NOT(ISBLANK(U162)), ROUND(U162/60,0), "")</f>
        <v>174</v>
      </c>
      <c r="X162" s="0" t="str">
        <f aca="false">IF(NOT(ISBLANK(W162)), ROUND(W162/60,0), "")</f>
        <v/>
      </c>
      <c r="Y162" s="26"/>
      <c r="Z162" s="0" t="n">
        <v>12973</v>
      </c>
      <c r="AA162" s="0" t="n">
        <f aca="false">IF(NOT(ISBLANK(Z162)), ROUND(Z162/60,0), "")</f>
        <v>216</v>
      </c>
      <c r="AC162" s="0" t="s">
        <v>48</v>
      </c>
    </row>
    <row r="163" customFormat="false" ht="12.8" hidden="false" customHeight="false" outlineLevel="0" collapsed="false">
      <c r="A163" s="0" t="s">
        <v>49</v>
      </c>
      <c r="B163" s="0" t="n">
        <v>5</v>
      </c>
      <c r="D163" s="25" t="str">
        <f aca="false">IF(NOT(ISBLANK(C163)), ROUND(C163/60,0), "")</f>
        <v/>
      </c>
      <c r="F163" s="25" t="str">
        <f aca="false">IF(NOT(ISBLANK(E163)), ROUND(E163/60,0), "")</f>
        <v/>
      </c>
      <c r="H163" s="25" t="str">
        <f aca="false">IF(NOT(ISBLANK(G163)), ROUND(G163/60,0), "")</f>
        <v/>
      </c>
      <c r="I163" s="25"/>
      <c r="J163" s="25"/>
      <c r="L163" s="25" t="str">
        <f aca="false">IF(NOT(ISBLANK(K163)), ROUND(K163/60,0), "")</f>
        <v/>
      </c>
      <c r="N163" s="25" t="str">
        <f aca="false">IF(NOT(ISBLANK(M163)), ROUND(M163/60,0), "")</f>
        <v/>
      </c>
      <c r="P163" s="0" t="str">
        <f aca="false">IF(NOT(ISBLANK(O163)), ROUND(O163/60,0), "")</f>
        <v/>
      </c>
      <c r="R163" s="0" t="str">
        <f aca="false">IF(NOT(ISBLANK(Q163)), ROUND(Q163/60,0), "")</f>
        <v/>
      </c>
      <c r="T163" s="0" t="str">
        <f aca="false">IF(NOT(ISBLANK(S163)), ROUND(S163/60,0), "")</f>
        <v/>
      </c>
      <c r="V163" s="0" t="str">
        <f aca="false">IF(NOT(ISBLANK(U163)), ROUND(U163/60,0), "")</f>
        <v/>
      </c>
      <c r="X163" s="0" t="str">
        <f aca="false">IF(NOT(ISBLANK(W163)), ROUND(W163/60,0), "")</f>
        <v/>
      </c>
      <c r="Y163" s="26"/>
      <c r="AA163" s="0" t="str">
        <f aca="false">IF(NOT(ISBLANK(Z163)), ROUND(Z163/60,0), "")</f>
        <v/>
      </c>
      <c r="AC163" s="0" t="s">
        <v>49</v>
      </c>
    </row>
    <row r="164" customFormat="false" ht="12.8" hidden="false" customHeight="false" outlineLevel="0" collapsed="false">
      <c r="A164" s="0" t="s">
        <v>49</v>
      </c>
      <c r="B164" s="0" t="n">
        <v>10</v>
      </c>
      <c r="C164" s="0" t="n">
        <v>49417</v>
      </c>
      <c r="D164" s="25" t="n">
        <f aca="false">IF(NOT(ISBLANK(C164)), ROUND(C164/60,0), "")</f>
        <v>824</v>
      </c>
      <c r="F164" s="25" t="str">
        <f aca="false">IF(NOT(ISBLANK(E164)), ROUND(E164/60,0), "")</f>
        <v/>
      </c>
      <c r="H164" s="25" t="str">
        <f aca="false">IF(NOT(ISBLANK(G164)), ROUND(G164/60,0), "")</f>
        <v/>
      </c>
      <c r="I164" s="25"/>
      <c r="J164" s="25"/>
      <c r="K164" s="0" t="n">
        <v>55800</v>
      </c>
      <c r="L164" s="25" t="n">
        <f aca="false">IF(NOT(ISBLANK(K164)), ROUND(K164/60,0), "")</f>
        <v>930</v>
      </c>
      <c r="N164" s="25" t="str">
        <f aca="false">IF(NOT(ISBLANK(M164)), ROUND(M164/60,0), "")</f>
        <v/>
      </c>
      <c r="P164" s="0" t="str">
        <f aca="false">IF(NOT(ISBLANK(O164)), ROUND(O164/60,0), "")</f>
        <v/>
      </c>
      <c r="R164" s="0" t="str">
        <f aca="false">IF(NOT(ISBLANK(Q164)), ROUND(Q164/60,0), "")</f>
        <v/>
      </c>
      <c r="T164" s="0" t="str">
        <f aca="false">IF(NOT(ISBLANK(S164)), ROUND(S164/60,0), "")</f>
        <v/>
      </c>
      <c r="V164" s="0" t="str">
        <f aca="false">IF(NOT(ISBLANK(U164)), ROUND(U164/60,0), "")</f>
        <v/>
      </c>
      <c r="X164" s="0" t="str">
        <f aca="false">IF(NOT(ISBLANK(W164)), ROUND(W164/60,0), "")</f>
        <v/>
      </c>
      <c r="Y164" s="26"/>
      <c r="AA164" s="0" t="str">
        <f aca="false">IF(NOT(ISBLANK(Z164)), ROUND(Z164/60,0), "")</f>
        <v/>
      </c>
      <c r="AC164" s="0" t="s">
        <v>49</v>
      </c>
    </row>
    <row r="165" customFormat="false" ht="12.8" hidden="false" customHeight="false" outlineLevel="0" collapsed="false">
      <c r="A165" s="0" t="s">
        <v>49</v>
      </c>
      <c r="B165" s="0" t="n">
        <v>15</v>
      </c>
      <c r="C165" s="0" t="n">
        <v>35206</v>
      </c>
      <c r="D165" s="25" t="n">
        <f aca="false">IF(NOT(ISBLANK(C165)), ROUND(C165/60,0), "")</f>
        <v>587</v>
      </c>
      <c r="F165" s="25" t="str">
        <f aca="false">IF(NOT(ISBLANK(E165)), ROUND(E165/60,0), "")</f>
        <v/>
      </c>
      <c r="H165" s="25" t="str">
        <f aca="false">IF(NOT(ISBLANK(G165)), ROUND(G165/60,0), "")</f>
        <v/>
      </c>
      <c r="I165" s="25"/>
      <c r="J165" s="25"/>
      <c r="K165" s="0" t="n">
        <v>37517</v>
      </c>
      <c r="L165" s="25" t="n">
        <f aca="false">IF(NOT(ISBLANK(K165)), ROUND(K165/60,0), "")</f>
        <v>625</v>
      </c>
      <c r="N165" s="25" t="str">
        <f aca="false">IF(NOT(ISBLANK(M165)), ROUND(M165/60,0), "")</f>
        <v/>
      </c>
      <c r="P165" s="0" t="str">
        <f aca="false">IF(NOT(ISBLANK(O165)), ROUND(O165/60,0), "")</f>
        <v/>
      </c>
      <c r="R165" s="0" t="str">
        <f aca="false">IF(NOT(ISBLANK(Q165)), ROUND(Q165/60,0), "")</f>
        <v/>
      </c>
      <c r="S165" s="0" t="n">
        <v>35468</v>
      </c>
      <c r="T165" s="0" t="n">
        <f aca="false">IF(NOT(ISBLANK(S165)), ROUND(S165/60,0), "")</f>
        <v>591</v>
      </c>
      <c r="V165" s="0" t="str">
        <f aca="false">IF(NOT(ISBLANK(U165)), ROUND(U165/60,0), "")</f>
        <v/>
      </c>
      <c r="X165" s="0" t="str">
        <f aca="false">IF(NOT(ISBLANK(W165)), ROUND(W165/60,0), "")</f>
        <v/>
      </c>
      <c r="Y165" s="26"/>
      <c r="AA165" s="0" t="str">
        <f aca="false">IF(NOT(ISBLANK(Z165)), ROUND(Z165/60,0), "")</f>
        <v/>
      </c>
      <c r="AC165" s="0" t="s">
        <v>49</v>
      </c>
    </row>
    <row r="166" customFormat="false" ht="12.8" hidden="false" customHeight="false" outlineLevel="0" collapsed="false">
      <c r="A166" s="0" t="s">
        <v>49</v>
      </c>
      <c r="B166" s="0" t="n">
        <v>20</v>
      </c>
      <c r="C166" s="0" t="n">
        <v>26913</v>
      </c>
      <c r="D166" s="25" t="n">
        <f aca="false">IF(NOT(ISBLANK(C166)), ROUND(C166/60,0), "")</f>
        <v>449</v>
      </c>
      <c r="F166" s="25" t="str">
        <f aca="false">IF(NOT(ISBLANK(E166)), ROUND(E166/60,0), "")</f>
        <v/>
      </c>
      <c r="H166" s="25" t="str">
        <f aca="false">IF(NOT(ISBLANK(G166)), ROUND(G166/60,0), "")</f>
        <v/>
      </c>
      <c r="I166" s="25"/>
      <c r="J166" s="25"/>
      <c r="K166" s="0" t="n">
        <v>29374</v>
      </c>
      <c r="L166" s="25" t="n">
        <f aca="false">IF(NOT(ISBLANK(K166)), ROUND(K166/60,0), "")</f>
        <v>490</v>
      </c>
      <c r="N166" s="25" t="str">
        <f aca="false">IF(NOT(ISBLANK(M166)), ROUND(M166/60,0), "")</f>
        <v/>
      </c>
      <c r="P166" s="0" t="str">
        <f aca="false">IF(NOT(ISBLANK(O166)), ROUND(O166/60,0), "")</f>
        <v/>
      </c>
      <c r="R166" s="0" t="str">
        <f aca="false">IF(NOT(ISBLANK(Q166)), ROUND(Q166/60,0), "")</f>
        <v/>
      </c>
      <c r="S166" s="0" t="n">
        <v>31789</v>
      </c>
      <c r="T166" s="0" t="n">
        <f aca="false">IF(NOT(ISBLANK(S166)), ROUND(S166/60,0), "")</f>
        <v>530</v>
      </c>
      <c r="V166" s="0" t="str">
        <f aca="false">IF(NOT(ISBLANK(U166)), ROUND(U166/60,0), "")</f>
        <v/>
      </c>
      <c r="X166" s="0" t="str">
        <f aca="false">IF(NOT(ISBLANK(W166)), ROUND(W166/60,0), "")</f>
        <v/>
      </c>
      <c r="Y166" s="26"/>
      <c r="AA166" s="0" t="str">
        <f aca="false">IF(NOT(ISBLANK(Z166)), ROUND(Z166/60,0), "")</f>
        <v/>
      </c>
      <c r="AC166" s="0" t="s">
        <v>49</v>
      </c>
    </row>
    <row r="167" customFormat="false" ht="12.8" hidden="false" customHeight="false" outlineLevel="0" collapsed="false">
      <c r="A167" s="0" t="s">
        <v>49</v>
      </c>
      <c r="B167" s="0" t="n">
        <v>30</v>
      </c>
      <c r="C167" s="0" t="n">
        <v>21365</v>
      </c>
      <c r="D167" s="25" t="n">
        <f aca="false">IF(NOT(ISBLANK(C167)), ROUND(C167/60,0), "")</f>
        <v>356</v>
      </c>
      <c r="F167" s="25" t="str">
        <f aca="false">IF(NOT(ISBLANK(E167)), ROUND(E167/60,0), "")</f>
        <v/>
      </c>
      <c r="H167" s="25" t="str">
        <f aca="false">IF(NOT(ISBLANK(G167)), ROUND(G167/60,0), "")</f>
        <v/>
      </c>
      <c r="I167" s="25"/>
      <c r="J167" s="25"/>
      <c r="K167" s="0" t="n">
        <v>18815</v>
      </c>
      <c r="L167" s="25" t="n">
        <f aca="false">IF(NOT(ISBLANK(K167)), ROUND(K167/60,0), "")</f>
        <v>314</v>
      </c>
      <c r="N167" s="25" t="str">
        <f aca="false">IF(NOT(ISBLANK(M167)), ROUND(M167/60,0), "")</f>
        <v/>
      </c>
      <c r="P167" s="0" t="str">
        <f aca="false">IF(NOT(ISBLANK(O167)), ROUND(O167/60,0), "")</f>
        <v/>
      </c>
      <c r="R167" s="0" t="str">
        <f aca="false">IF(NOT(ISBLANK(Q167)), ROUND(Q167/60,0), "")</f>
        <v/>
      </c>
      <c r="S167" s="0" t="n">
        <v>26639</v>
      </c>
      <c r="T167" s="0" t="n">
        <f aca="false">IF(NOT(ISBLANK(S167)), ROUND(S167/60,0), "")</f>
        <v>444</v>
      </c>
      <c r="V167" s="0" t="str">
        <f aca="false">IF(NOT(ISBLANK(U167)), ROUND(U167/60,0), "")</f>
        <v/>
      </c>
      <c r="X167" s="0" t="str">
        <f aca="false">IF(NOT(ISBLANK(W167)), ROUND(W167/60,0), "")</f>
        <v/>
      </c>
      <c r="Y167" s="26"/>
      <c r="AA167" s="0" t="str">
        <f aca="false">IF(NOT(ISBLANK(Z167)), ROUND(Z167/60,0), "")</f>
        <v/>
      </c>
      <c r="AC167" s="0" t="s">
        <v>49</v>
      </c>
    </row>
    <row r="168" customFormat="false" ht="12.8" hidden="false" customHeight="false" outlineLevel="0" collapsed="false">
      <c r="A168" s="0" t="s">
        <v>49</v>
      </c>
      <c r="B168" s="0" t="n">
        <v>40</v>
      </c>
      <c r="C168" s="0" t="n">
        <v>17151</v>
      </c>
      <c r="D168" s="25" t="n">
        <f aca="false">IF(NOT(ISBLANK(C168)), ROUND(C168/60,0), "")</f>
        <v>286</v>
      </c>
      <c r="F168" s="25" t="str">
        <f aca="false">IF(NOT(ISBLANK(E168)), ROUND(E168/60,0), "")</f>
        <v/>
      </c>
      <c r="H168" s="25" t="str">
        <f aca="false">IF(NOT(ISBLANK(G168)), ROUND(G168/60,0), "")</f>
        <v/>
      </c>
      <c r="I168" s="25"/>
      <c r="J168" s="25"/>
      <c r="K168" s="0" t="n">
        <v>16333</v>
      </c>
      <c r="L168" s="25" t="n">
        <f aca="false">IF(NOT(ISBLANK(K168)), ROUND(K168/60,0), "")</f>
        <v>272</v>
      </c>
      <c r="N168" s="25" t="str">
        <f aca="false">IF(NOT(ISBLANK(M168)), ROUND(M168/60,0), "")</f>
        <v/>
      </c>
      <c r="P168" s="0" t="str">
        <f aca="false">IF(NOT(ISBLANK(O168)), ROUND(O168/60,0), "")</f>
        <v/>
      </c>
      <c r="R168" s="0" t="str">
        <f aca="false">IF(NOT(ISBLANK(Q168)), ROUND(Q168/60,0), "")</f>
        <v/>
      </c>
      <c r="S168" s="0" t="n">
        <v>14213</v>
      </c>
      <c r="T168" s="0" t="n">
        <f aca="false">IF(NOT(ISBLANK(S168)), ROUND(S168/60,0), "")</f>
        <v>237</v>
      </c>
      <c r="V168" s="0" t="str">
        <f aca="false">IF(NOT(ISBLANK(U168)), ROUND(U168/60,0), "")</f>
        <v/>
      </c>
      <c r="X168" s="0" t="str">
        <f aca="false">IF(NOT(ISBLANK(W168)), ROUND(W168/60,0), "")</f>
        <v/>
      </c>
      <c r="Y168" s="26"/>
      <c r="AA168" s="0" t="str">
        <f aca="false">IF(NOT(ISBLANK(Z168)), ROUND(Z168/60,0), "")</f>
        <v/>
      </c>
      <c r="AC168" s="0" t="s">
        <v>49</v>
      </c>
    </row>
    <row r="169" customFormat="false" ht="12.8" hidden="false" customHeight="false" outlineLevel="0" collapsed="false">
      <c r="A169" s="0" t="s">
        <v>49</v>
      </c>
      <c r="B169" s="0" t="n">
        <v>50</v>
      </c>
      <c r="D169" s="25" t="str">
        <f aca="false">IF(NOT(ISBLANK(C169)), ROUND(C169/60,0), "")</f>
        <v/>
      </c>
      <c r="F169" s="25" t="str">
        <f aca="false">IF(NOT(ISBLANK(E169)), ROUND(E169/60,0), "")</f>
        <v/>
      </c>
      <c r="H169" s="25" t="str">
        <f aca="false">IF(NOT(ISBLANK(G169)), ROUND(G169/60,0), "")</f>
        <v/>
      </c>
      <c r="I169" s="25"/>
      <c r="J169" s="25"/>
      <c r="K169" s="0" t="n">
        <v>14475</v>
      </c>
      <c r="L169" s="25" t="n">
        <f aca="false">IF(NOT(ISBLANK(K169)), ROUND(K169/60,0), "")</f>
        <v>241</v>
      </c>
      <c r="N169" s="25" t="str">
        <f aca="false">IF(NOT(ISBLANK(M169)), ROUND(M169/60,0), "")</f>
        <v/>
      </c>
      <c r="P169" s="0" t="str">
        <f aca="false">IF(NOT(ISBLANK(O169)), ROUND(O169/60,0), "")</f>
        <v/>
      </c>
      <c r="R169" s="0" t="str">
        <f aca="false">IF(NOT(ISBLANK(Q169)), ROUND(Q169/60,0), "")</f>
        <v/>
      </c>
      <c r="S169" s="0" t="n">
        <v>17407</v>
      </c>
      <c r="T169" s="0" t="n">
        <f aca="false">IF(NOT(ISBLANK(S169)), ROUND(S169/60,0), "")</f>
        <v>290</v>
      </c>
      <c r="V169" s="0" t="str">
        <f aca="false">IF(NOT(ISBLANK(U169)), ROUND(U169/60,0), "")</f>
        <v/>
      </c>
      <c r="X169" s="0" t="str">
        <f aca="false">IF(NOT(ISBLANK(W169)), ROUND(W169/60,0), "")</f>
        <v/>
      </c>
      <c r="Y169" s="26"/>
      <c r="AA169" s="0" t="str">
        <f aca="false">IF(NOT(ISBLANK(Z169)), ROUND(Z169/60,0), "")</f>
        <v/>
      </c>
      <c r="AC169" s="0" t="s">
        <v>49</v>
      </c>
    </row>
    <row r="170" customFormat="false" ht="12.8" hidden="false" customHeight="false" outlineLevel="0" collapsed="false">
      <c r="A170" s="0" t="s">
        <v>49</v>
      </c>
      <c r="B170" s="0" t="n">
        <v>64</v>
      </c>
      <c r="C170" s="0" t="n">
        <v>12926</v>
      </c>
      <c r="D170" s="25" t="n">
        <f aca="false">IF(NOT(ISBLANK(C170)), ROUND(C170/60,0), "")</f>
        <v>215</v>
      </c>
      <c r="F170" s="25" t="str">
        <f aca="false">IF(NOT(ISBLANK(E170)), ROUND(E170/60,0), "")</f>
        <v/>
      </c>
      <c r="H170" s="25" t="str">
        <f aca="false">IF(NOT(ISBLANK(G170)), ROUND(G170/60,0), "")</f>
        <v/>
      </c>
      <c r="I170" s="25"/>
      <c r="J170" s="25"/>
      <c r="K170" s="0" t="n">
        <v>11650</v>
      </c>
      <c r="L170" s="25" t="n">
        <f aca="false">IF(NOT(ISBLANK(K170)), ROUND(K170/60,0), "")</f>
        <v>194</v>
      </c>
      <c r="N170" s="25" t="str">
        <f aca="false">IF(NOT(ISBLANK(M170)), ROUND(M170/60,0), "")</f>
        <v/>
      </c>
      <c r="P170" s="0" t="str">
        <f aca="false">IF(NOT(ISBLANK(O170)), ROUND(O170/60,0), "")</f>
        <v/>
      </c>
      <c r="R170" s="0" t="str">
        <f aca="false">IF(NOT(ISBLANK(Q170)), ROUND(Q170/60,0), "")</f>
        <v/>
      </c>
      <c r="S170" s="0" t="n">
        <v>15818</v>
      </c>
      <c r="T170" s="0" t="n">
        <f aca="false">IF(NOT(ISBLANK(S170)), ROUND(S170/60,0), "")</f>
        <v>264</v>
      </c>
      <c r="V170" s="0" t="str">
        <f aca="false">IF(NOT(ISBLANK(U170)), ROUND(U170/60,0), "")</f>
        <v/>
      </c>
      <c r="X170" s="0" t="str">
        <f aca="false">IF(NOT(ISBLANK(W170)), ROUND(W170/60,0), "")</f>
        <v/>
      </c>
      <c r="Y170" s="26"/>
      <c r="AA170" s="0" t="str">
        <f aca="false">IF(NOT(ISBLANK(Z170)), ROUND(Z170/60,0), "")</f>
        <v/>
      </c>
      <c r="AC170" s="0" t="s">
        <v>49</v>
      </c>
    </row>
    <row r="171" customFormat="false" ht="12.8" hidden="false" customHeight="false" outlineLevel="0" collapsed="false">
      <c r="A171" s="0" t="s">
        <v>49</v>
      </c>
      <c r="B171" s="0" t="n">
        <v>82</v>
      </c>
      <c r="C171" s="0" t="n">
        <v>9846</v>
      </c>
      <c r="D171" s="25" t="n">
        <f aca="false">IF(NOT(ISBLANK(C171)), ROUND(C171/60,0), "")</f>
        <v>164</v>
      </c>
      <c r="F171" s="25" t="str">
        <f aca="false">IF(NOT(ISBLANK(E171)), ROUND(E171/60,0), "")</f>
        <v/>
      </c>
      <c r="H171" s="25" t="str">
        <f aca="false">IF(NOT(ISBLANK(G171)), ROUND(G171/60,0), "")</f>
        <v/>
      </c>
      <c r="I171" s="25"/>
      <c r="J171" s="25"/>
      <c r="K171" s="0" t="n">
        <v>9250</v>
      </c>
      <c r="L171" s="25" t="n">
        <f aca="false">IF(NOT(ISBLANK(K171)), ROUND(K171/60,0), "")</f>
        <v>154</v>
      </c>
      <c r="N171" s="25" t="str">
        <f aca="false">IF(NOT(ISBLANK(M171)), ROUND(M171/60,0), "")</f>
        <v/>
      </c>
      <c r="P171" s="0" t="str">
        <f aca="false">IF(NOT(ISBLANK(O171)), ROUND(O171/60,0), "")</f>
        <v/>
      </c>
      <c r="R171" s="0" t="str">
        <f aca="false">IF(NOT(ISBLANK(Q171)), ROUND(Q171/60,0), "")</f>
        <v/>
      </c>
      <c r="S171" s="0" t="n">
        <v>10114</v>
      </c>
      <c r="T171" s="0" t="n">
        <f aca="false">IF(NOT(ISBLANK(S171)), ROUND(S171/60,0), "")</f>
        <v>169</v>
      </c>
      <c r="V171" s="0" t="str">
        <f aca="false">IF(NOT(ISBLANK(U171)), ROUND(U171/60,0), "")</f>
        <v/>
      </c>
      <c r="X171" s="0" t="str">
        <f aca="false">IF(NOT(ISBLANK(W171)), ROUND(W171/60,0), "")</f>
        <v/>
      </c>
      <c r="Y171" s="26"/>
      <c r="AA171" s="0" t="str">
        <f aca="false">IF(NOT(ISBLANK(Z171)), ROUND(Z171/60,0), "")</f>
        <v/>
      </c>
      <c r="AC171" s="0" t="s">
        <v>49</v>
      </c>
    </row>
    <row r="172" customFormat="false" ht="12.8" hidden="false" customHeight="false" outlineLevel="0" collapsed="false">
      <c r="A172" s="0" t="s">
        <v>49</v>
      </c>
      <c r="B172" s="0" t="n">
        <v>100</v>
      </c>
      <c r="C172" s="0" t="n">
        <v>7949</v>
      </c>
      <c r="D172" s="25" t="n">
        <f aca="false">IF(NOT(ISBLANK(C172)), ROUND(C172/60,0), "")</f>
        <v>132</v>
      </c>
      <c r="F172" s="25" t="str">
        <f aca="false">IF(NOT(ISBLANK(E172)), ROUND(E172/60,0), "")</f>
        <v/>
      </c>
      <c r="H172" s="25" t="str">
        <f aca="false">IF(NOT(ISBLANK(G172)), ROUND(G172/60,0), "")</f>
        <v/>
      </c>
      <c r="I172" s="25"/>
      <c r="J172" s="25"/>
      <c r="K172" s="0" t="n">
        <v>8714</v>
      </c>
      <c r="L172" s="25" t="n">
        <f aca="false">IF(NOT(ISBLANK(K172)), ROUND(K172/60,0), "")</f>
        <v>145</v>
      </c>
      <c r="N172" s="25" t="str">
        <f aca="false">IF(NOT(ISBLANK(M172)), ROUND(M172/60,0), "")</f>
        <v/>
      </c>
      <c r="P172" s="0" t="str">
        <f aca="false">IF(NOT(ISBLANK(O172)), ROUND(O172/60,0), "")</f>
        <v/>
      </c>
      <c r="R172" s="0" t="str">
        <f aca="false">IF(NOT(ISBLANK(Q172)), ROUND(Q172/60,0), "")</f>
        <v/>
      </c>
      <c r="S172" s="0" t="n">
        <v>8673</v>
      </c>
      <c r="T172" s="0" t="n">
        <f aca="false">IF(NOT(ISBLANK(S172)), ROUND(S172/60,0), "")</f>
        <v>145</v>
      </c>
      <c r="V172" s="0" t="str">
        <f aca="false">IF(NOT(ISBLANK(U172)), ROUND(U172/60,0), "")</f>
        <v/>
      </c>
      <c r="X172" s="0" t="str">
        <f aca="false">IF(NOT(ISBLANK(W172)), ROUND(W172/60,0), "")</f>
        <v/>
      </c>
      <c r="Y172" s="26"/>
      <c r="AA172" s="0" t="str">
        <f aca="false">IF(NOT(ISBLANK(Z172)), ROUND(Z172/60,0), "")</f>
        <v/>
      </c>
      <c r="AC172" s="0" t="s">
        <v>49</v>
      </c>
    </row>
    <row r="173" customFormat="false" ht="12.8" hidden="false" customHeight="false" outlineLevel="0" collapsed="false">
      <c r="A173" s="0" t="s">
        <v>50</v>
      </c>
      <c r="B173" s="0" t="n">
        <v>5</v>
      </c>
      <c r="D173" s="25" t="str">
        <f aca="false">IF(NOT(ISBLANK(C173)), ROUND(C173/60,0), "")</f>
        <v/>
      </c>
      <c r="F173" s="25" t="str">
        <f aca="false">IF(NOT(ISBLANK(E173)), ROUND(E173/60,0), "")</f>
        <v/>
      </c>
      <c r="H173" s="25" t="str">
        <f aca="false">IF(NOT(ISBLANK(G173)), ROUND(G173/60,0), "")</f>
        <v/>
      </c>
      <c r="I173" s="25"/>
      <c r="J173" s="25"/>
      <c r="L173" s="25" t="str">
        <f aca="false">IF(NOT(ISBLANK(K173)), ROUND(K173/60,0), "")</f>
        <v/>
      </c>
      <c r="N173" s="25" t="str">
        <f aca="false">IF(NOT(ISBLANK(M173)), ROUND(M173/60,0), "")</f>
        <v/>
      </c>
      <c r="P173" s="0" t="str">
        <f aca="false">IF(NOT(ISBLANK(O173)), ROUND(O173/60,0), "")</f>
        <v/>
      </c>
      <c r="R173" s="0" t="str">
        <f aca="false">IF(NOT(ISBLANK(Q173)), ROUND(Q173/60,0), "")</f>
        <v/>
      </c>
      <c r="T173" s="0" t="str">
        <f aca="false">IF(NOT(ISBLANK(S173)), ROUND(S173/60,0), "")</f>
        <v/>
      </c>
      <c r="V173" s="0" t="str">
        <f aca="false">IF(NOT(ISBLANK(U173)), ROUND(U173/60,0), "")</f>
        <v/>
      </c>
      <c r="X173" s="0" t="str">
        <f aca="false">IF(NOT(ISBLANK(W173)), ROUND(W173/60,0), "")</f>
        <v/>
      </c>
      <c r="Y173" s="26"/>
      <c r="AA173" s="0" t="str">
        <f aca="false">IF(NOT(ISBLANK(Z173)), ROUND(Z173/60,0), "")</f>
        <v/>
      </c>
      <c r="AC173" s="0" t="s">
        <v>50</v>
      </c>
    </row>
    <row r="174" customFormat="false" ht="12.8" hidden="false" customHeight="false" outlineLevel="0" collapsed="false">
      <c r="A174" s="0" t="s">
        <v>50</v>
      </c>
      <c r="B174" s="0" t="n">
        <v>10</v>
      </c>
      <c r="C174" s="0" t="n">
        <v>152720</v>
      </c>
      <c r="D174" s="25" t="n">
        <f aca="false">IF(NOT(ISBLANK(C174)), ROUND(C174/60,0), "")</f>
        <v>2545</v>
      </c>
      <c r="F174" s="25" t="str">
        <f aca="false">IF(NOT(ISBLANK(E174)), ROUND(E174/60,0), "")</f>
        <v/>
      </c>
      <c r="H174" s="25" t="str">
        <f aca="false">IF(NOT(ISBLANK(G174)), ROUND(G174/60,0), "")</f>
        <v/>
      </c>
      <c r="I174" s="25"/>
      <c r="J174" s="25"/>
      <c r="K174" s="0" t="n">
        <v>123513</v>
      </c>
      <c r="L174" s="25" t="n">
        <f aca="false">IF(NOT(ISBLANK(K174)), ROUND(K174/60,0), "")</f>
        <v>2059</v>
      </c>
      <c r="N174" s="25" t="str">
        <f aca="false">IF(NOT(ISBLANK(M174)), ROUND(M174/60,0), "")</f>
        <v/>
      </c>
      <c r="O174" s="0" t="n">
        <v>123078</v>
      </c>
      <c r="P174" s="0" t="n">
        <f aca="false">IF(NOT(ISBLANK(O174)), ROUND(O174/60,0), "")</f>
        <v>2051</v>
      </c>
      <c r="Q174" s="0" t="n">
        <v>123514</v>
      </c>
      <c r="R174" s="0" t="n">
        <f aca="false">IF(NOT(ISBLANK(Q174)), ROUND(Q174/60,0), "")</f>
        <v>2059</v>
      </c>
      <c r="S174" s="0" t="n">
        <v>122261</v>
      </c>
      <c r="T174" s="0" t="n">
        <f aca="false">IF(NOT(ISBLANK(S174)), ROUND(S174/60,0), "")</f>
        <v>2038</v>
      </c>
      <c r="V174" s="0" t="str">
        <f aca="false">IF(NOT(ISBLANK(U174)), ROUND(U174/60,0), "")</f>
        <v/>
      </c>
      <c r="W174" s="0" t="n">
        <v>113871</v>
      </c>
      <c r="X174" s="0" t="n">
        <f aca="false">IF(NOT(ISBLANK(W174)), ROUND(W174/60,0), "")</f>
        <v>1898</v>
      </c>
      <c r="Y174" s="26"/>
      <c r="Z174" s="0" t="n">
        <v>122261</v>
      </c>
      <c r="AA174" s="0" t="n">
        <f aca="false">IF(NOT(ISBLANK(Z174)), ROUND(Z174/60,0), "")</f>
        <v>2038</v>
      </c>
      <c r="AC174" s="0" t="s">
        <v>50</v>
      </c>
    </row>
    <row r="175" customFormat="false" ht="12.8" hidden="false" customHeight="false" outlineLevel="0" collapsed="false">
      <c r="A175" s="0" t="s">
        <v>50</v>
      </c>
      <c r="B175" s="0" t="n">
        <v>15</v>
      </c>
      <c r="C175" s="0" t="n">
        <v>87967</v>
      </c>
      <c r="D175" s="25" t="n">
        <f aca="false">IF(NOT(ISBLANK(C175)), ROUND(C175/60,0), "")</f>
        <v>1466</v>
      </c>
      <c r="E175" s="0" t="n">
        <v>77192</v>
      </c>
      <c r="F175" s="25" t="n">
        <f aca="false">IF(NOT(ISBLANK(E175)), ROUND(E175/60,0), "")</f>
        <v>1287</v>
      </c>
      <c r="H175" s="25" t="str">
        <f aca="false">IF(NOT(ISBLANK(G175)), ROUND(G175/60,0), "")</f>
        <v/>
      </c>
      <c r="I175" s="25"/>
      <c r="J175" s="25"/>
      <c r="K175" s="0" t="n">
        <v>83462</v>
      </c>
      <c r="L175" s="25" t="n">
        <f aca="false">IF(NOT(ISBLANK(K175)), ROUND(K175/60,0), "")</f>
        <v>1391</v>
      </c>
      <c r="M175" s="0" t="n">
        <v>71219</v>
      </c>
      <c r="N175" s="25" t="n">
        <f aca="false">IF(NOT(ISBLANK(M175)), ROUND(M175/60,0), "")</f>
        <v>1187</v>
      </c>
      <c r="O175" s="0" t="n">
        <v>77570</v>
      </c>
      <c r="P175" s="0" t="n">
        <f aca="false">IF(NOT(ISBLANK(O175)), ROUND(O175/60,0), "")</f>
        <v>1293</v>
      </c>
      <c r="Q175" s="0" t="n">
        <v>79859</v>
      </c>
      <c r="R175" s="0" t="n">
        <f aca="false">IF(NOT(ISBLANK(Q175)), ROUND(Q175/60,0), "")</f>
        <v>1331</v>
      </c>
      <c r="T175" s="0" t="str">
        <f aca="false">IF(NOT(ISBLANK(S175)), ROUND(S175/60,0), "")</f>
        <v/>
      </c>
      <c r="U175" s="0" t="n">
        <v>63282</v>
      </c>
      <c r="V175" s="0" t="n">
        <f aca="false">IF(NOT(ISBLANK(U175)), ROUND(U175/60,0), "")</f>
        <v>1055</v>
      </c>
      <c r="W175" s="0" t="n">
        <v>86448</v>
      </c>
      <c r="X175" s="0" t="n">
        <f aca="false">IF(NOT(ISBLANK(W175)), ROUND(W175/60,0), "")</f>
        <v>1441</v>
      </c>
      <c r="Y175" s="26"/>
      <c r="Z175" s="0" t="n">
        <v>93252</v>
      </c>
      <c r="AA175" s="0" t="n">
        <f aca="false">IF(NOT(ISBLANK(Z175)), ROUND(Z175/60,0), "")</f>
        <v>1554</v>
      </c>
      <c r="AC175" s="0" t="s">
        <v>50</v>
      </c>
    </row>
    <row r="176" customFormat="false" ht="12.8" hidden="false" customHeight="false" outlineLevel="0" collapsed="false">
      <c r="A176" s="0" t="s">
        <v>50</v>
      </c>
      <c r="B176" s="0" t="n">
        <v>20</v>
      </c>
      <c r="C176" s="0" t="n">
        <v>57918</v>
      </c>
      <c r="D176" s="25" t="n">
        <f aca="false">IF(NOT(ISBLANK(C176)), ROUND(C176/60,0), "")</f>
        <v>965</v>
      </c>
      <c r="E176" s="0" t="n">
        <v>56499</v>
      </c>
      <c r="F176" s="25" t="n">
        <f aca="false">IF(NOT(ISBLANK(E176)), ROUND(E176/60,0), "")</f>
        <v>942</v>
      </c>
      <c r="G176" s="0" t="n">
        <v>65993</v>
      </c>
      <c r="H176" s="25" t="n">
        <f aca="false">IF(NOT(ISBLANK(G176)), ROUND(G176/60,0), "")</f>
        <v>1100</v>
      </c>
      <c r="I176" s="25"/>
      <c r="J176" s="25"/>
      <c r="K176" s="0" t="n">
        <v>62552</v>
      </c>
      <c r="L176" s="25" t="n">
        <f aca="false">IF(NOT(ISBLANK(K176)), ROUND(K176/60,0), "")</f>
        <v>1043</v>
      </c>
      <c r="M176" s="0" t="n">
        <v>54147</v>
      </c>
      <c r="N176" s="25" t="n">
        <f aca="false">IF(NOT(ISBLANK(M176)), ROUND(M176/60,0), "")</f>
        <v>902</v>
      </c>
      <c r="O176" s="0" t="n">
        <v>63880</v>
      </c>
      <c r="P176" s="0" t="n">
        <f aca="false">IF(NOT(ISBLANK(O176)), ROUND(O176/60,0), "")</f>
        <v>1065</v>
      </c>
      <c r="Q176" s="0" t="n">
        <v>59240</v>
      </c>
      <c r="R176" s="0" t="n">
        <f aca="false">IF(NOT(ISBLANK(Q176)), ROUND(Q176/60,0), "")</f>
        <v>987</v>
      </c>
      <c r="S176" s="0" t="n">
        <v>73502</v>
      </c>
      <c r="T176" s="0" t="n">
        <f aca="false">IF(NOT(ISBLANK(S176)), ROUND(S176/60,0), "")</f>
        <v>1225</v>
      </c>
      <c r="U176" s="0" t="n">
        <v>51481</v>
      </c>
      <c r="V176" s="0" t="n">
        <f aca="false">IF(NOT(ISBLANK(U176)), ROUND(U176/60,0), "")</f>
        <v>858</v>
      </c>
      <c r="W176" s="0" t="n">
        <v>44659</v>
      </c>
      <c r="X176" s="0" t="n">
        <f aca="false">IF(NOT(ISBLANK(W176)), ROUND(W176/60,0), "")</f>
        <v>744</v>
      </c>
      <c r="Y176" s="26"/>
      <c r="Z176" s="0" t="n">
        <v>75389</v>
      </c>
      <c r="AA176" s="0" t="n">
        <f aca="false">IF(NOT(ISBLANK(Z176)), ROUND(Z176/60,0), "")</f>
        <v>1256</v>
      </c>
      <c r="AC176" s="0" t="s">
        <v>50</v>
      </c>
    </row>
    <row r="177" customFormat="false" ht="12.8" hidden="false" customHeight="false" outlineLevel="0" collapsed="false">
      <c r="A177" s="0" t="s">
        <v>50</v>
      </c>
      <c r="B177" s="0" t="n">
        <v>30</v>
      </c>
      <c r="C177" s="0" t="n">
        <v>39989</v>
      </c>
      <c r="D177" s="25" t="n">
        <f aca="false">IF(NOT(ISBLANK(C177)), ROUND(C177/60,0), "")</f>
        <v>666</v>
      </c>
      <c r="E177" s="0" t="n">
        <v>35564</v>
      </c>
      <c r="F177" s="25" t="n">
        <f aca="false">IF(NOT(ISBLANK(E177)), ROUND(E177/60,0), "")</f>
        <v>593</v>
      </c>
      <c r="G177" s="0" t="n">
        <v>45010</v>
      </c>
      <c r="H177" s="25" t="n">
        <f aca="false">IF(NOT(ISBLANK(G177)), ROUND(G177/60,0), "")</f>
        <v>750</v>
      </c>
      <c r="I177" s="25"/>
      <c r="J177" s="25"/>
      <c r="K177" s="0" t="n">
        <v>44023</v>
      </c>
      <c r="L177" s="25" t="n">
        <f aca="false">IF(NOT(ISBLANK(K177)), ROUND(K177/60,0), "")</f>
        <v>734</v>
      </c>
      <c r="M177" s="0" t="n">
        <v>32377</v>
      </c>
      <c r="N177" s="25" t="n">
        <f aca="false">IF(NOT(ISBLANK(M177)), ROUND(M177/60,0), "")</f>
        <v>540</v>
      </c>
      <c r="O177" s="0" t="n">
        <v>40994</v>
      </c>
      <c r="P177" s="0" t="n">
        <f aca="false">IF(NOT(ISBLANK(O177)), ROUND(O177/60,0), "")</f>
        <v>683</v>
      </c>
      <c r="Q177" s="0" t="n">
        <v>41051</v>
      </c>
      <c r="R177" s="0" t="n">
        <f aca="false">IF(NOT(ISBLANK(Q177)), ROUND(Q177/60,0), "")</f>
        <v>684</v>
      </c>
      <c r="S177" s="0" t="n">
        <v>44992</v>
      </c>
      <c r="T177" s="0" t="n">
        <f aca="false">IF(NOT(ISBLANK(S177)), ROUND(S177/60,0), "")</f>
        <v>750</v>
      </c>
      <c r="U177" s="0" t="n">
        <v>41022</v>
      </c>
      <c r="V177" s="0" t="n">
        <f aca="false">IF(NOT(ISBLANK(U177)), ROUND(U177/60,0), "")</f>
        <v>684</v>
      </c>
      <c r="W177" s="0" t="n">
        <v>38488</v>
      </c>
      <c r="X177" s="0" t="n">
        <f aca="false">IF(NOT(ISBLANK(W177)), ROUND(W177/60,0), "")</f>
        <v>641</v>
      </c>
      <c r="Y177" s="26"/>
      <c r="Z177" s="0" t="n">
        <v>42779</v>
      </c>
      <c r="AA177" s="0" t="n">
        <f aca="false">IF(NOT(ISBLANK(Z177)), ROUND(Z177/60,0), "")</f>
        <v>713</v>
      </c>
      <c r="AC177" s="0" t="s">
        <v>50</v>
      </c>
    </row>
    <row r="178" customFormat="false" ht="12.8" hidden="false" customHeight="false" outlineLevel="0" collapsed="false">
      <c r="A178" s="0" t="s">
        <v>50</v>
      </c>
      <c r="B178" s="0" t="n">
        <v>40</v>
      </c>
      <c r="C178" s="0" t="n">
        <v>32504</v>
      </c>
      <c r="D178" s="25" t="n">
        <f aca="false">IF(NOT(ISBLANK(C178)), ROUND(C178/60,0), "")</f>
        <v>542</v>
      </c>
      <c r="F178" s="25" t="str">
        <f aca="false">IF(NOT(ISBLANK(E178)), ROUND(E178/60,0), "")</f>
        <v/>
      </c>
      <c r="G178" s="0" t="n">
        <v>37634</v>
      </c>
      <c r="H178" s="25" t="n">
        <f aca="false">IF(NOT(ISBLANK(G178)), ROUND(G178/60,0), "")</f>
        <v>627</v>
      </c>
      <c r="I178" s="25"/>
      <c r="J178" s="25"/>
      <c r="K178" s="0" t="n">
        <v>40377</v>
      </c>
      <c r="L178" s="25" t="n">
        <f aca="false">IF(NOT(ISBLANK(K178)), ROUND(K178/60,0), "")</f>
        <v>673</v>
      </c>
      <c r="M178" s="0" t="n">
        <v>30912</v>
      </c>
      <c r="N178" s="25" t="n">
        <f aca="false">IF(NOT(ISBLANK(M178)), ROUND(M178/60,0), "")</f>
        <v>515</v>
      </c>
      <c r="O178" s="0" t="n">
        <v>31611</v>
      </c>
      <c r="P178" s="0" t="n">
        <f aca="false">IF(NOT(ISBLANK(O178)), ROUND(O178/60,0), "")</f>
        <v>527</v>
      </c>
      <c r="Q178" s="0" t="n">
        <v>41272</v>
      </c>
      <c r="R178" s="0" t="n">
        <f aca="false">IF(NOT(ISBLANK(Q178)), ROUND(Q178/60,0), "")</f>
        <v>688</v>
      </c>
      <c r="S178" s="0" t="n">
        <v>37928</v>
      </c>
      <c r="T178" s="0" t="n">
        <f aca="false">IF(NOT(ISBLANK(S178)), ROUND(S178/60,0), "")</f>
        <v>632</v>
      </c>
      <c r="U178" s="0" t="n">
        <v>31041</v>
      </c>
      <c r="V178" s="0" t="n">
        <f aca="false">IF(NOT(ISBLANK(U178)), ROUND(U178/60,0), "")</f>
        <v>517</v>
      </c>
      <c r="W178" s="0" t="n">
        <v>25569</v>
      </c>
      <c r="X178" s="0" t="n">
        <f aca="false">IF(NOT(ISBLANK(W178)), ROUND(W178/60,0), "")</f>
        <v>426</v>
      </c>
      <c r="Y178" s="26"/>
      <c r="Z178" s="0" t="n">
        <v>33009</v>
      </c>
      <c r="AA178" s="0" t="n">
        <f aca="false">IF(NOT(ISBLANK(Z178)), ROUND(Z178/60,0), "")</f>
        <v>550</v>
      </c>
      <c r="AC178" s="0" t="s">
        <v>50</v>
      </c>
    </row>
    <row r="179" customFormat="false" ht="12.8" hidden="false" customHeight="false" outlineLevel="0" collapsed="false">
      <c r="A179" s="0" t="s">
        <v>50</v>
      </c>
      <c r="B179" s="0" t="n">
        <v>50</v>
      </c>
      <c r="C179" s="0" t="n">
        <v>32864</v>
      </c>
      <c r="D179" s="25" t="n">
        <f aca="false">IF(NOT(ISBLANK(C179)), ROUND(C179/60,0), "")</f>
        <v>548</v>
      </c>
      <c r="E179" s="0" t="n">
        <v>23443</v>
      </c>
      <c r="F179" s="25" t="n">
        <f aca="false">IF(NOT(ISBLANK(E179)), ROUND(E179/60,0), "")</f>
        <v>391</v>
      </c>
      <c r="G179" s="0" t="n">
        <v>29217</v>
      </c>
      <c r="H179" s="25" t="n">
        <f aca="false">IF(NOT(ISBLANK(G179)), ROUND(G179/60,0), "")</f>
        <v>487</v>
      </c>
      <c r="I179" s="25"/>
      <c r="J179" s="25"/>
      <c r="K179" s="0" t="n">
        <v>28105</v>
      </c>
      <c r="L179" s="25" t="n">
        <f aca="false">IF(NOT(ISBLANK(K179)), ROUND(K179/60,0), "")</f>
        <v>468</v>
      </c>
      <c r="M179" s="0" t="n">
        <v>23601</v>
      </c>
      <c r="N179" s="25" t="n">
        <f aca="false">IF(NOT(ISBLANK(M179)), ROUND(M179/60,0), "")</f>
        <v>393</v>
      </c>
      <c r="O179" s="0" t="n">
        <v>27380</v>
      </c>
      <c r="P179" s="0" t="n">
        <f aca="false">IF(NOT(ISBLANK(O179)), ROUND(O179/60,0), "")</f>
        <v>456</v>
      </c>
      <c r="Q179" s="0" t="n">
        <v>25033</v>
      </c>
      <c r="R179" s="0" t="n">
        <f aca="false">IF(NOT(ISBLANK(Q179)), ROUND(Q179/60,0), "")</f>
        <v>417</v>
      </c>
      <c r="S179" s="0" t="n">
        <v>29136</v>
      </c>
      <c r="T179" s="0" t="n">
        <f aca="false">IF(NOT(ISBLANK(S179)), ROUND(S179/60,0), "")</f>
        <v>486</v>
      </c>
      <c r="U179" s="0" t="n">
        <v>24278</v>
      </c>
      <c r="V179" s="0" t="n">
        <f aca="false">IF(NOT(ISBLANK(U179)), ROUND(U179/60,0), "")</f>
        <v>405</v>
      </c>
      <c r="W179" s="0" t="n">
        <v>28216</v>
      </c>
      <c r="X179" s="0" t="n">
        <f aca="false">IF(NOT(ISBLANK(W179)), ROUND(W179/60,0), "")</f>
        <v>470</v>
      </c>
      <c r="Y179" s="26"/>
      <c r="Z179" s="0" t="n">
        <v>29241</v>
      </c>
      <c r="AA179" s="0" t="n">
        <f aca="false">IF(NOT(ISBLANK(Z179)), ROUND(Z179/60,0), "")</f>
        <v>487</v>
      </c>
      <c r="AC179" s="0" t="s">
        <v>50</v>
      </c>
    </row>
    <row r="180" customFormat="false" ht="12.8" hidden="false" customHeight="false" outlineLevel="0" collapsed="false">
      <c r="A180" s="0" t="s">
        <v>50</v>
      </c>
      <c r="B180" s="0" t="n">
        <v>64</v>
      </c>
      <c r="C180" s="0" t="n">
        <v>28421</v>
      </c>
      <c r="D180" s="25" t="n">
        <f aca="false">IF(NOT(ISBLANK(C180)), ROUND(C180/60,0), "")</f>
        <v>474</v>
      </c>
      <c r="E180" s="0" t="n">
        <v>27656</v>
      </c>
      <c r="F180" s="25" t="n">
        <f aca="false">IF(NOT(ISBLANK(E180)), ROUND(E180/60,0), "")</f>
        <v>461</v>
      </c>
      <c r="G180" s="0" t="n">
        <v>24781</v>
      </c>
      <c r="H180" s="25" t="n">
        <f aca="false">IF(NOT(ISBLANK(G180)), ROUND(G180/60,0), "")</f>
        <v>413</v>
      </c>
      <c r="I180" s="25"/>
      <c r="J180" s="25"/>
      <c r="K180" s="0" t="n">
        <v>22537</v>
      </c>
      <c r="L180" s="25" t="n">
        <f aca="false">IF(NOT(ISBLANK(K180)), ROUND(K180/60,0), "")</f>
        <v>376</v>
      </c>
      <c r="M180" s="0" t="n">
        <v>23934</v>
      </c>
      <c r="N180" s="25" t="n">
        <f aca="false">IF(NOT(ISBLANK(M180)), ROUND(M180/60,0), "")</f>
        <v>399</v>
      </c>
      <c r="O180" s="0" t="n">
        <v>21753</v>
      </c>
      <c r="P180" s="0" t="n">
        <f aca="false">IF(NOT(ISBLANK(O180)), ROUND(O180/60,0), "")</f>
        <v>363</v>
      </c>
      <c r="Q180" s="0" t="n">
        <v>22371</v>
      </c>
      <c r="R180" s="0" t="n">
        <f aca="false">IF(NOT(ISBLANK(Q180)), ROUND(Q180/60,0), "")</f>
        <v>373</v>
      </c>
      <c r="S180" s="0" t="n">
        <v>21368</v>
      </c>
      <c r="T180" s="0" t="n">
        <f aca="false">IF(NOT(ISBLANK(S180)), ROUND(S180/60,0), "")</f>
        <v>356</v>
      </c>
      <c r="U180" s="0" t="n">
        <v>18667</v>
      </c>
      <c r="V180" s="0" t="n">
        <f aca="false">IF(NOT(ISBLANK(U180)), ROUND(U180/60,0), "")</f>
        <v>311</v>
      </c>
      <c r="W180" s="0" t="n">
        <v>21921</v>
      </c>
      <c r="X180" s="0" t="n">
        <f aca="false">IF(NOT(ISBLANK(W180)), ROUND(W180/60,0), "")</f>
        <v>365</v>
      </c>
      <c r="Y180" s="26"/>
      <c r="Z180" s="0" t="n">
        <v>25333</v>
      </c>
      <c r="AA180" s="0" t="n">
        <f aca="false">IF(NOT(ISBLANK(Z180)), ROUND(Z180/60,0), "")</f>
        <v>422</v>
      </c>
      <c r="AC180" s="0" t="s">
        <v>50</v>
      </c>
    </row>
    <row r="181" customFormat="false" ht="12.8" hidden="false" customHeight="false" outlineLevel="0" collapsed="false">
      <c r="A181" s="0" t="s">
        <v>50</v>
      </c>
      <c r="B181" s="0" t="n">
        <v>82</v>
      </c>
      <c r="C181" s="0" t="n">
        <v>21828</v>
      </c>
      <c r="D181" s="25" t="n">
        <f aca="false">IF(NOT(ISBLANK(C181)), ROUND(C181/60,0), "")</f>
        <v>364</v>
      </c>
      <c r="E181" s="0" t="n">
        <v>14323</v>
      </c>
      <c r="F181" s="25" t="n">
        <f aca="false">IF(NOT(ISBLANK(E181)), ROUND(E181/60,0), "")</f>
        <v>239</v>
      </c>
      <c r="G181" s="0" t="n">
        <v>21328</v>
      </c>
      <c r="H181" s="25" t="n">
        <f aca="false">IF(NOT(ISBLANK(G181)), ROUND(G181/60,0), "")</f>
        <v>355</v>
      </c>
      <c r="I181" s="25"/>
      <c r="J181" s="25"/>
      <c r="K181" s="0" t="n">
        <v>17903</v>
      </c>
      <c r="L181" s="25" t="n">
        <f aca="false">IF(NOT(ISBLANK(K181)), ROUND(K181/60,0), "")</f>
        <v>298</v>
      </c>
      <c r="N181" s="25" t="str">
        <f aca="false">IF(NOT(ISBLANK(M181)), ROUND(M181/60,0), "")</f>
        <v/>
      </c>
      <c r="O181" s="0" t="n">
        <v>20060</v>
      </c>
      <c r="P181" s="0" t="n">
        <f aca="false">IF(NOT(ISBLANK(O181)), ROUND(O181/60,0), "")</f>
        <v>334</v>
      </c>
      <c r="Q181" s="0" t="n">
        <v>18727</v>
      </c>
      <c r="R181" s="0" t="n">
        <f aca="false">IF(NOT(ISBLANK(Q181)), ROUND(Q181/60,0), "")</f>
        <v>312</v>
      </c>
      <c r="S181" s="0" t="n">
        <v>18528</v>
      </c>
      <c r="T181" s="0" t="n">
        <f aca="false">IF(NOT(ISBLANK(S181)), ROUND(S181/60,0), "")</f>
        <v>309</v>
      </c>
      <c r="U181" s="0" t="n">
        <v>14731</v>
      </c>
      <c r="V181" s="0" t="n">
        <f aca="false">IF(NOT(ISBLANK(U181)), ROUND(U181/60,0), "")</f>
        <v>246</v>
      </c>
      <c r="W181" s="0" t="n">
        <v>18046</v>
      </c>
      <c r="X181" s="0" t="n">
        <f aca="false">IF(NOT(ISBLANK(W181)), ROUND(W181/60,0), "")</f>
        <v>301</v>
      </c>
      <c r="Y181" s="26"/>
      <c r="Z181" s="0" t="n">
        <v>19155</v>
      </c>
      <c r="AA181" s="0" t="n">
        <f aca="false">IF(NOT(ISBLANK(Z181)), ROUND(Z181/60,0), "")</f>
        <v>319</v>
      </c>
      <c r="AC181" s="0" t="s">
        <v>50</v>
      </c>
    </row>
    <row r="182" customFormat="false" ht="12.8" hidden="false" customHeight="false" outlineLevel="0" collapsed="false">
      <c r="A182" s="0" t="s">
        <v>50</v>
      </c>
      <c r="B182" s="0" t="n">
        <v>100</v>
      </c>
      <c r="C182" s="0" t="n">
        <v>19669</v>
      </c>
      <c r="D182" s="25" t="n">
        <f aca="false">IF(NOT(ISBLANK(C182)), ROUND(C182/60,0), "")</f>
        <v>328</v>
      </c>
      <c r="E182" s="0" t="n">
        <v>12884</v>
      </c>
      <c r="F182" s="25" t="n">
        <f aca="false">IF(NOT(ISBLANK(E182)), ROUND(E182/60,0), "")</f>
        <v>215</v>
      </c>
      <c r="G182" s="0" t="n">
        <v>18069</v>
      </c>
      <c r="H182" s="25" t="n">
        <f aca="false">IF(NOT(ISBLANK(G182)), ROUND(G182/60,0), "")</f>
        <v>301</v>
      </c>
      <c r="I182" s="25"/>
      <c r="J182" s="25"/>
      <c r="K182" s="0" t="n">
        <v>13734</v>
      </c>
      <c r="L182" s="25" t="n">
        <f aca="false">IF(NOT(ISBLANK(K182)), ROUND(K182/60,0), "")</f>
        <v>229</v>
      </c>
      <c r="M182" s="0" t="n">
        <v>12662</v>
      </c>
      <c r="N182" s="25" t="n">
        <f aca="false">IF(NOT(ISBLANK(M182)), ROUND(M182/60,0), "")</f>
        <v>211</v>
      </c>
      <c r="O182" s="0" t="n">
        <v>14545</v>
      </c>
      <c r="P182" s="0" t="n">
        <f aca="false">IF(NOT(ISBLANK(O182)), ROUND(O182/60,0), "")</f>
        <v>242</v>
      </c>
      <c r="Q182" s="0" t="n">
        <v>14763</v>
      </c>
      <c r="R182" s="0" t="n">
        <f aca="false">IF(NOT(ISBLANK(Q182)), ROUND(Q182/60,0), "")</f>
        <v>246</v>
      </c>
      <c r="S182" s="0" t="n">
        <v>17796</v>
      </c>
      <c r="T182" s="0" t="n">
        <f aca="false">IF(NOT(ISBLANK(S182)), ROUND(S182/60,0), "")</f>
        <v>297</v>
      </c>
      <c r="U182" s="0" t="n">
        <v>11740</v>
      </c>
      <c r="V182" s="0" t="n">
        <f aca="false">IF(NOT(ISBLANK(U182)), ROUND(U182/60,0), "")</f>
        <v>196</v>
      </c>
      <c r="X182" s="0" t="str">
        <f aca="false">IF(NOT(ISBLANK(W182)), ROUND(W182/60,0), "")</f>
        <v/>
      </c>
      <c r="Y182" s="26"/>
      <c r="Z182" s="0" t="n">
        <v>17332</v>
      </c>
      <c r="AA182" s="0" t="n">
        <f aca="false">IF(NOT(ISBLANK(Z182)), ROUND(Z182/60,0), "")</f>
        <v>289</v>
      </c>
      <c r="AC182" s="0" t="s">
        <v>50</v>
      </c>
    </row>
    <row r="183" customFormat="false" ht="12.8" hidden="false" customHeight="false" outlineLevel="0" collapsed="false">
      <c r="G183" s="25"/>
      <c r="V183" s="0" t="str">
        <f aca="false">IF(NOT(ISBLANK(U183)), ROUND(U183/60,0), "")</f>
        <v/>
      </c>
      <c r="X183" s="26"/>
      <c r="Y183" s="26"/>
    </row>
    <row r="184" customFormat="false" ht="12.8" hidden="false" customHeight="false" outlineLevel="0" collapsed="false">
      <c r="G184" s="25"/>
      <c r="V184" s="0" t="str">
        <f aca="false">IF(NOT(ISBLANK(U184)), ROUND(U184/60,0), "")</f>
        <v/>
      </c>
      <c r="X184" s="26"/>
      <c r="Y184" s="26"/>
    </row>
    <row r="185" customFormat="false" ht="12.8" hidden="false" customHeight="false" outlineLevel="0" collapsed="false">
      <c r="G185" s="25"/>
      <c r="V185" s="0" t="str">
        <f aca="false">IF(NOT(ISBLANK(U185)), ROUND(U185/60,0), "")</f>
        <v/>
      </c>
      <c r="X185" s="26"/>
      <c r="Y185" s="26"/>
    </row>
    <row r="186" customFormat="false" ht="12.8" hidden="false" customHeight="false" outlineLevel="0" collapsed="false">
      <c r="G186" s="25"/>
      <c r="V186" s="0" t="str">
        <f aca="false">IF(NOT(ISBLANK(U186)), ROUND(U186/60,0), "")</f>
        <v/>
      </c>
      <c r="X186" s="26"/>
      <c r="Y186" s="26"/>
    </row>
    <row r="187" customFormat="false" ht="12.8" hidden="false" customHeight="false" outlineLevel="0" collapsed="false">
      <c r="G187" s="25"/>
      <c r="V187" s="0" t="str">
        <f aca="false">IF(NOT(ISBLANK(U187)), ROUND(U187/60,0), "")</f>
        <v/>
      </c>
      <c r="X187" s="26"/>
      <c r="Y187" s="26"/>
    </row>
    <row r="188" customFormat="false" ht="12.8" hidden="false" customHeight="false" outlineLevel="0" collapsed="false">
      <c r="G188" s="25"/>
      <c r="X188" s="26"/>
      <c r="Y188" s="26"/>
    </row>
    <row r="189" customFormat="false" ht="12.8" hidden="false" customHeight="false" outlineLevel="0" collapsed="false">
      <c r="G189" s="25"/>
      <c r="X189" s="26"/>
      <c r="Y189" s="26"/>
    </row>
    <row r="190" customFormat="false" ht="12.8" hidden="false" customHeight="false" outlineLevel="0" collapsed="false">
      <c r="G190" s="25"/>
      <c r="X190" s="26"/>
      <c r="Y190" s="26"/>
    </row>
    <row r="191" customFormat="false" ht="12.8" hidden="false" customHeight="false" outlineLevel="0" collapsed="false">
      <c r="G191" s="25"/>
      <c r="X191" s="26"/>
      <c r="Y191" s="26"/>
    </row>
    <row r="192" customFormat="false" ht="12.8" hidden="false" customHeight="false" outlineLevel="0" collapsed="false">
      <c r="G192" s="25"/>
      <c r="X192" s="26"/>
      <c r="Y192" s="26"/>
    </row>
    <row r="193" customFormat="false" ht="12.8" hidden="false" customHeight="false" outlineLevel="0" collapsed="false">
      <c r="G193" s="25"/>
      <c r="X193" s="26"/>
      <c r="Y193" s="26"/>
    </row>
    <row r="194" customFormat="false" ht="12.8" hidden="false" customHeight="false" outlineLevel="0" collapsed="false">
      <c r="G194" s="25"/>
      <c r="X194" s="26"/>
      <c r="Y194" s="26"/>
    </row>
    <row r="195" customFormat="false" ht="12.8" hidden="false" customHeight="false" outlineLevel="0" collapsed="false">
      <c r="G195" s="25"/>
      <c r="X195" s="26"/>
      <c r="Y195" s="26"/>
    </row>
    <row r="196" customFormat="false" ht="12.8" hidden="false" customHeight="false" outlineLevel="0" collapsed="false">
      <c r="G196" s="25"/>
      <c r="X196" s="26"/>
      <c r="Y196" s="26"/>
    </row>
    <row r="197" customFormat="false" ht="12.8" hidden="false" customHeight="false" outlineLevel="0" collapsed="false">
      <c r="G197" s="25"/>
      <c r="X197" s="26"/>
      <c r="Y197" s="26"/>
    </row>
    <row r="198" customFormat="false" ht="12.8" hidden="false" customHeight="false" outlineLevel="0" collapsed="false">
      <c r="G198" s="25"/>
      <c r="X198" s="26"/>
      <c r="Y198" s="26"/>
    </row>
    <row r="199" customFormat="false" ht="12.8" hidden="false" customHeight="false" outlineLevel="0" collapsed="false">
      <c r="G199" s="25"/>
      <c r="X199" s="26"/>
      <c r="Y199" s="26"/>
    </row>
    <row r="200" customFormat="false" ht="12.8" hidden="false" customHeight="false" outlineLevel="0" collapsed="false">
      <c r="G200" s="25"/>
      <c r="X200" s="26"/>
      <c r="Y200" s="26"/>
    </row>
    <row r="201" customFormat="false" ht="12.8" hidden="false" customHeight="false" outlineLevel="0" collapsed="false">
      <c r="G201" s="25"/>
      <c r="X201" s="26"/>
      <c r="Y201" s="26"/>
    </row>
    <row r="202" customFormat="false" ht="12.8" hidden="false" customHeight="false" outlineLevel="0" collapsed="false">
      <c r="G202" s="25"/>
      <c r="X202" s="26"/>
      <c r="Y202" s="26"/>
    </row>
    <row r="203" customFormat="false" ht="12.8" hidden="false" customHeight="false" outlineLevel="0" collapsed="false">
      <c r="G203" s="25"/>
      <c r="X203" s="26"/>
      <c r="Y203" s="26"/>
    </row>
    <row r="204" customFormat="false" ht="12.8" hidden="false" customHeight="false" outlineLevel="0" collapsed="false">
      <c r="G204" s="25"/>
      <c r="X204" s="26"/>
      <c r="Y204" s="26"/>
    </row>
    <row r="205" customFormat="false" ht="12.8" hidden="false" customHeight="false" outlineLevel="0" collapsed="false">
      <c r="G205" s="25"/>
      <c r="X205" s="26"/>
      <c r="Y205" s="26"/>
    </row>
    <row r="206" customFormat="false" ht="12.8" hidden="false" customHeight="false" outlineLevel="0" collapsed="false">
      <c r="G206" s="25"/>
    </row>
    <row r="207" customFormat="false" ht="12.8" hidden="false" customHeight="false" outlineLevel="0" collapsed="false">
      <c r="G207" s="25"/>
    </row>
    <row r="208" customFormat="false" ht="12.8" hidden="false" customHeight="false" outlineLevel="0" collapsed="false">
      <c r="G208" s="25"/>
    </row>
    <row r="209" customFormat="false" ht="12.8" hidden="false" customHeight="false" outlineLevel="0" collapsed="false">
      <c r="G209" s="25"/>
    </row>
    <row r="210" customFormat="false" ht="12.8" hidden="false" customHeight="false" outlineLevel="0" collapsed="false">
      <c r="G210" s="25"/>
    </row>
    <row r="211" customFormat="false" ht="12.8" hidden="false" customHeight="false" outlineLevel="0" collapsed="false">
      <c r="G211" s="25"/>
    </row>
    <row r="212" customFormat="false" ht="12.8" hidden="false" customHeight="false" outlineLevel="0" collapsed="false">
      <c r="G212" s="25"/>
    </row>
    <row r="213" customFormat="false" ht="12.8" hidden="false" customHeight="false" outlineLevel="0" collapsed="false">
      <c r="G213" s="25"/>
    </row>
    <row r="214" customFormat="false" ht="12.8" hidden="false" customHeight="false" outlineLevel="0" collapsed="false">
      <c r="G214" s="25"/>
    </row>
    <row r="215" customFormat="false" ht="12.8" hidden="false" customHeight="false" outlineLevel="0" collapsed="false">
      <c r="G215" s="25"/>
    </row>
    <row r="216" customFormat="false" ht="12.8" hidden="false" customHeight="false" outlineLevel="0" collapsed="false">
      <c r="G216" s="25"/>
    </row>
    <row r="217" customFormat="false" ht="12.8" hidden="false" customHeight="false" outlineLevel="0" collapsed="false">
      <c r="G217" s="25"/>
    </row>
    <row r="218" customFormat="false" ht="12.8" hidden="false" customHeight="false" outlineLevel="0" collapsed="false">
      <c r="G218" s="25"/>
    </row>
    <row r="219" customFormat="false" ht="12.8" hidden="false" customHeight="false" outlineLevel="0" collapsed="false">
      <c r="G219" s="25"/>
    </row>
    <row r="220" customFormat="false" ht="12.8" hidden="false" customHeight="false" outlineLevel="0" collapsed="false">
      <c r="G220" s="25"/>
    </row>
    <row r="221" customFormat="false" ht="12.8" hidden="false" customHeight="false" outlineLevel="0" collapsed="false">
      <c r="G221" s="25"/>
    </row>
    <row r="222" customFormat="false" ht="12.8" hidden="false" customHeight="false" outlineLevel="0" collapsed="false">
      <c r="G222" s="25"/>
    </row>
    <row r="223" customFormat="false" ht="12.8" hidden="false" customHeight="false" outlineLevel="0" collapsed="false">
      <c r="G223" s="25"/>
    </row>
    <row r="224" customFormat="false" ht="12.8" hidden="false" customHeight="false" outlineLevel="0" collapsed="false">
      <c r="G224" s="25"/>
    </row>
    <row r="225" customFormat="false" ht="12.8" hidden="false" customHeight="false" outlineLevel="0" collapsed="false">
      <c r="G225" s="25"/>
    </row>
    <row r="226" customFormat="false" ht="12.8" hidden="false" customHeight="false" outlineLevel="0" collapsed="false">
      <c r="G226" s="25"/>
    </row>
    <row r="227" customFormat="false" ht="12.8" hidden="false" customHeight="false" outlineLevel="0" collapsed="false">
      <c r="G227" s="25"/>
    </row>
    <row r="228" customFormat="false" ht="12.8" hidden="false" customHeight="false" outlineLevel="0" collapsed="false">
      <c r="G228" s="25"/>
    </row>
    <row r="229" customFormat="false" ht="12.8" hidden="false" customHeight="false" outlineLevel="0" collapsed="false">
      <c r="G229" s="25"/>
    </row>
    <row r="230" customFormat="false" ht="12.8" hidden="false" customHeight="false" outlineLevel="0" collapsed="false">
      <c r="G230" s="25"/>
    </row>
    <row r="231" customFormat="false" ht="12.8" hidden="false" customHeight="false" outlineLevel="0" collapsed="false">
      <c r="G231" s="25"/>
    </row>
    <row r="232" customFormat="false" ht="12.8" hidden="false" customHeight="false" outlineLevel="0" collapsed="false">
      <c r="G232" s="25"/>
    </row>
    <row r="233" customFormat="false" ht="12.8" hidden="false" customHeight="false" outlineLevel="0" collapsed="false">
      <c r="E233" s="25"/>
      <c r="F233" s="25"/>
      <c r="S233" s="26"/>
    </row>
    <row r="234" customFormat="false" ht="12.8" hidden="false" customHeight="false" outlineLevel="0" collapsed="false">
      <c r="E234" s="25"/>
      <c r="F234" s="25"/>
      <c r="S234" s="26"/>
    </row>
    <row r="235" customFormat="false" ht="12.8" hidden="false" customHeight="false" outlineLevel="0" collapsed="false">
      <c r="E235" s="25"/>
      <c r="F235" s="25"/>
      <c r="S235" s="26"/>
    </row>
    <row r="236" customFormat="false" ht="12.8" hidden="false" customHeight="false" outlineLevel="0" collapsed="false">
      <c r="E236" s="25"/>
      <c r="F236" s="25"/>
      <c r="S236" s="26"/>
    </row>
    <row r="237" customFormat="false" ht="12.8" hidden="false" customHeight="false" outlineLevel="0" collapsed="false">
      <c r="E237" s="25"/>
      <c r="F237" s="25"/>
      <c r="S237" s="26"/>
    </row>
    <row r="238" customFormat="false" ht="12.8" hidden="false" customHeight="false" outlineLevel="0" collapsed="false">
      <c r="E238" s="25"/>
      <c r="F238" s="25"/>
      <c r="S238" s="26"/>
    </row>
    <row r="239" customFormat="false" ht="12.8" hidden="false" customHeight="false" outlineLevel="0" collapsed="false">
      <c r="E239" s="25"/>
      <c r="F239" s="25"/>
      <c r="S239" s="26"/>
    </row>
    <row r="240" customFormat="false" ht="12.8" hidden="false" customHeight="false" outlineLevel="0" collapsed="false">
      <c r="E240" s="25"/>
      <c r="F240" s="25"/>
      <c r="S240" s="26"/>
    </row>
    <row r="241" customFormat="false" ht="12.8" hidden="false" customHeight="false" outlineLevel="0" collapsed="false">
      <c r="E241" s="25"/>
      <c r="F241" s="25"/>
      <c r="S241" s="26"/>
    </row>
    <row r="242" customFormat="false" ht="12.8" hidden="false" customHeight="false" outlineLevel="0" collapsed="false">
      <c r="E242" s="25"/>
      <c r="F242" s="25"/>
      <c r="S242" s="26"/>
    </row>
    <row r="243" customFormat="false" ht="12.8" hidden="false" customHeight="false" outlineLevel="0" collapsed="false">
      <c r="E243" s="25"/>
      <c r="F243" s="25"/>
      <c r="S243" s="26"/>
    </row>
    <row r="244" customFormat="false" ht="12.8" hidden="false" customHeight="false" outlineLevel="0" collapsed="false">
      <c r="E244" s="25"/>
      <c r="F244" s="25"/>
      <c r="S244" s="26"/>
    </row>
    <row r="245" customFormat="false" ht="12.8" hidden="false" customHeight="false" outlineLevel="0" collapsed="false">
      <c r="E245" s="25"/>
      <c r="F245" s="25"/>
      <c r="S245" s="26"/>
    </row>
    <row r="246" customFormat="false" ht="12.8" hidden="false" customHeight="false" outlineLevel="0" collapsed="false">
      <c r="E246" s="25"/>
      <c r="F246" s="25"/>
      <c r="S246" s="26"/>
    </row>
    <row r="247" customFormat="false" ht="12.8" hidden="false" customHeight="false" outlineLevel="0" collapsed="false">
      <c r="E247" s="25"/>
      <c r="F247" s="25"/>
      <c r="S247" s="26"/>
    </row>
    <row r="248" customFormat="false" ht="12.8" hidden="false" customHeight="false" outlineLevel="0" collapsed="false">
      <c r="E248" s="25"/>
      <c r="F248" s="25"/>
      <c r="S248" s="26"/>
    </row>
    <row r="249" customFormat="false" ht="12.8" hidden="false" customHeight="false" outlineLevel="0" collapsed="false">
      <c r="E249" s="25"/>
      <c r="F249" s="25"/>
      <c r="S249" s="26"/>
    </row>
    <row r="250" customFormat="false" ht="12.8" hidden="false" customHeight="false" outlineLevel="0" collapsed="false">
      <c r="E250" s="25"/>
      <c r="F250" s="25"/>
      <c r="S250" s="26"/>
    </row>
    <row r="251" customFormat="false" ht="12.8" hidden="false" customHeight="false" outlineLevel="0" collapsed="false">
      <c r="E251" s="25"/>
      <c r="F251" s="25"/>
      <c r="S251" s="26"/>
    </row>
    <row r="252" customFormat="false" ht="12.8" hidden="false" customHeight="false" outlineLevel="0" collapsed="false">
      <c r="E252" s="25"/>
      <c r="F252" s="25"/>
      <c r="S252" s="26"/>
    </row>
    <row r="253" customFormat="false" ht="12.8" hidden="false" customHeight="false" outlineLevel="0" collapsed="false">
      <c r="E253" s="25"/>
      <c r="F253" s="25"/>
      <c r="S253" s="26"/>
    </row>
    <row r="254" customFormat="false" ht="12.8" hidden="false" customHeight="false" outlineLevel="0" collapsed="false">
      <c r="E254" s="25"/>
      <c r="F254" s="25"/>
      <c r="S254" s="26"/>
    </row>
    <row r="255" customFormat="false" ht="12.8" hidden="false" customHeight="false" outlineLevel="0" collapsed="false">
      <c r="E255" s="25"/>
      <c r="F255" s="25"/>
      <c r="S255" s="26"/>
    </row>
    <row r="256" customFormat="false" ht="12.8" hidden="false" customHeight="false" outlineLevel="0" collapsed="false">
      <c r="E256" s="25"/>
      <c r="F256" s="25"/>
      <c r="S256" s="26"/>
    </row>
    <row r="257" customFormat="false" ht="12.8" hidden="false" customHeight="false" outlineLevel="0" collapsed="false">
      <c r="E257" s="25"/>
      <c r="F257" s="25"/>
      <c r="S257" s="26"/>
    </row>
    <row r="258" customFormat="false" ht="12.8" hidden="false" customHeight="false" outlineLevel="0" collapsed="false">
      <c r="E258" s="25"/>
      <c r="F258" s="25"/>
      <c r="S258" s="26"/>
    </row>
    <row r="259" customFormat="false" ht="12.8" hidden="false" customHeight="false" outlineLevel="0" collapsed="false">
      <c r="E259" s="25"/>
      <c r="F259" s="25"/>
      <c r="S259" s="26"/>
    </row>
    <row r="260" customFormat="false" ht="12.8" hidden="false" customHeight="false" outlineLevel="0" collapsed="false">
      <c r="E260" s="25"/>
      <c r="F260" s="25"/>
      <c r="S260" s="26"/>
    </row>
    <row r="261" customFormat="false" ht="12.8" hidden="false" customHeight="false" outlineLevel="0" collapsed="false">
      <c r="E261" s="25"/>
      <c r="F261" s="25"/>
      <c r="S261" s="26"/>
    </row>
    <row r="262" customFormat="false" ht="12.8" hidden="false" customHeight="false" outlineLevel="0" collapsed="false">
      <c r="E262" s="25"/>
      <c r="F262" s="25"/>
      <c r="S262" s="26"/>
    </row>
    <row r="263" customFormat="false" ht="12.8" hidden="false" customHeight="false" outlineLevel="0" collapsed="false">
      <c r="E263" s="25"/>
      <c r="F263" s="25"/>
      <c r="S263" s="26"/>
    </row>
    <row r="264" customFormat="false" ht="12.8" hidden="false" customHeight="false" outlineLevel="0" collapsed="false">
      <c r="E264" s="25"/>
      <c r="F264" s="25"/>
      <c r="S264" s="26"/>
    </row>
    <row r="265" customFormat="false" ht="12.8" hidden="false" customHeight="false" outlineLevel="0" collapsed="false">
      <c r="E265" s="25"/>
      <c r="F265" s="25"/>
      <c r="S265" s="26"/>
    </row>
    <row r="266" customFormat="false" ht="12.8" hidden="false" customHeight="false" outlineLevel="0" collapsed="false">
      <c r="E266" s="25"/>
      <c r="F266" s="25"/>
      <c r="S266" s="26"/>
    </row>
    <row r="267" customFormat="false" ht="12.8" hidden="false" customHeight="false" outlineLevel="0" collapsed="false">
      <c r="E267" s="25"/>
      <c r="F267" s="25"/>
      <c r="S267" s="26"/>
    </row>
    <row r="268" customFormat="false" ht="12.8" hidden="false" customHeight="false" outlineLevel="0" collapsed="false">
      <c r="E268" s="25"/>
      <c r="F268" s="25"/>
      <c r="S268" s="26"/>
    </row>
    <row r="269" customFormat="false" ht="12.8" hidden="false" customHeight="false" outlineLevel="0" collapsed="false">
      <c r="E269" s="25"/>
      <c r="F269" s="25"/>
      <c r="S269" s="26"/>
    </row>
    <row r="270" customFormat="false" ht="12.8" hidden="false" customHeight="false" outlineLevel="0" collapsed="false">
      <c r="E270" s="25"/>
      <c r="F270" s="25"/>
      <c r="S270" s="26"/>
    </row>
    <row r="271" customFormat="false" ht="12.8" hidden="false" customHeight="false" outlineLevel="0" collapsed="false">
      <c r="E271" s="25"/>
      <c r="F271" s="25"/>
      <c r="S271" s="26"/>
    </row>
    <row r="272" customFormat="false" ht="12.8" hidden="false" customHeight="false" outlineLevel="0" collapsed="false">
      <c r="E272" s="25"/>
      <c r="F272" s="25"/>
      <c r="S272" s="26"/>
    </row>
    <row r="273" customFormat="false" ht="12.8" hidden="false" customHeight="false" outlineLevel="0" collapsed="false">
      <c r="E273" s="25"/>
      <c r="F273" s="25"/>
      <c r="S273" s="26"/>
    </row>
    <row r="274" customFormat="false" ht="12.8" hidden="false" customHeight="false" outlineLevel="0" collapsed="false">
      <c r="E274" s="25"/>
      <c r="F274" s="25"/>
      <c r="S274" s="26"/>
    </row>
    <row r="275" customFormat="false" ht="12.8" hidden="false" customHeight="false" outlineLevel="0" collapsed="false">
      <c r="E275" s="25"/>
      <c r="F275" s="25"/>
      <c r="S275" s="26"/>
    </row>
    <row r="276" customFormat="false" ht="12.8" hidden="false" customHeight="false" outlineLevel="0" collapsed="false">
      <c r="E276" s="25"/>
      <c r="F276" s="25"/>
      <c r="S276" s="26"/>
    </row>
    <row r="277" customFormat="false" ht="12.8" hidden="false" customHeight="false" outlineLevel="0" collapsed="false">
      <c r="E277" s="25"/>
      <c r="F277" s="25"/>
      <c r="S277" s="26"/>
    </row>
    <row r="278" customFormat="false" ht="12.8" hidden="false" customHeight="false" outlineLevel="0" collapsed="false">
      <c r="E278" s="25"/>
      <c r="F278" s="25"/>
      <c r="S278" s="26"/>
    </row>
    <row r="279" customFormat="false" ht="12.8" hidden="false" customHeight="false" outlineLevel="0" collapsed="false">
      <c r="E279" s="25"/>
      <c r="F279" s="25"/>
      <c r="S279" s="26"/>
    </row>
    <row r="280" customFormat="false" ht="12.8" hidden="false" customHeight="false" outlineLevel="0" collapsed="false">
      <c r="E280" s="25"/>
      <c r="F280" s="25"/>
      <c r="S280" s="26"/>
    </row>
    <row r="281" customFormat="false" ht="12.8" hidden="false" customHeight="false" outlineLevel="0" collapsed="false">
      <c r="E281" s="25"/>
      <c r="F281" s="25"/>
      <c r="S281" s="26"/>
    </row>
    <row r="282" customFormat="false" ht="12.8" hidden="false" customHeight="false" outlineLevel="0" collapsed="false">
      <c r="E282" s="25"/>
      <c r="F282" s="25"/>
      <c r="S282" s="26"/>
    </row>
    <row r="283" customFormat="false" ht="12.8" hidden="false" customHeight="false" outlineLevel="0" collapsed="false">
      <c r="S283" s="26"/>
    </row>
    <row r="284" customFormat="false" ht="12.8" hidden="false" customHeight="false" outlineLevel="0" collapsed="false">
      <c r="S284" s="26"/>
    </row>
    <row r="285" customFormat="false" ht="12.8" hidden="false" customHeight="false" outlineLevel="0" collapsed="false">
      <c r="S285" s="26"/>
    </row>
    <row r="286" customFormat="false" ht="12.8" hidden="false" customHeight="false" outlineLevel="0" collapsed="false">
      <c r="S286" s="26"/>
    </row>
    <row r="287" customFormat="false" ht="12.8" hidden="false" customHeight="false" outlineLevel="0" collapsed="false">
      <c r="S287" s="26"/>
    </row>
    <row r="288" customFormat="false" ht="12.8" hidden="false" customHeight="false" outlineLevel="0" collapsed="false">
      <c r="S288" s="26"/>
    </row>
    <row r="289" customFormat="false" ht="12.8" hidden="false" customHeight="false" outlineLevel="0" collapsed="false">
      <c r="S289" s="26"/>
    </row>
    <row r="290" customFormat="false" ht="12.8" hidden="false" customHeight="false" outlineLevel="0" collapsed="false">
      <c r="S290" s="26"/>
    </row>
    <row r="291" customFormat="false" ht="12.8" hidden="false" customHeight="false" outlineLevel="0" collapsed="false">
      <c r="S291" s="26"/>
    </row>
    <row r="292" customFormat="false" ht="12.8" hidden="false" customHeight="false" outlineLevel="0" collapsed="false">
      <c r="S292" s="26"/>
    </row>
    <row r="293" customFormat="false" ht="12.8" hidden="false" customHeight="false" outlineLevel="0" collapsed="false">
      <c r="S293" s="26"/>
    </row>
    <row r="294" customFormat="false" ht="12.8" hidden="false" customHeight="false" outlineLevel="0" collapsed="false">
      <c r="S294" s="26"/>
    </row>
    <row r="295" customFormat="false" ht="12.8" hidden="false" customHeight="false" outlineLevel="0" collapsed="false">
      <c r="S295" s="26"/>
    </row>
    <row r="296" customFormat="false" ht="12.8" hidden="false" customHeight="false" outlineLevel="0" collapsed="false">
      <c r="S296" s="26"/>
    </row>
    <row r="297" customFormat="false" ht="12.8" hidden="false" customHeight="false" outlineLevel="0" collapsed="false">
      <c r="S297" s="26"/>
    </row>
    <row r="298" customFormat="false" ht="12.8" hidden="false" customHeight="false" outlineLevel="0" collapsed="false">
      <c r="S298" s="26"/>
    </row>
    <row r="299" customFormat="false" ht="12.8" hidden="false" customHeight="false" outlineLevel="0" collapsed="false">
      <c r="S299" s="26"/>
    </row>
    <row r="300" customFormat="false" ht="12.8" hidden="false" customHeight="false" outlineLevel="0" collapsed="false">
      <c r="S300" s="26"/>
    </row>
    <row r="301" customFormat="false" ht="12.8" hidden="false" customHeight="false" outlineLevel="0" collapsed="false">
      <c r="S301" s="26"/>
    </row>
    <row r="302" customFormat="false" ht="12.8" hidden="false" customHeight="false" outlineLevel="0" collapsed="false">
      <c r="S302" s="26"/>
    </row>
    <row r="303" customFormat="false" ht="12.8" hidden="false" customHeight="false" outlineLevel="0" collapsed="false">
      <c r="S303" s="26"/>
    </row>
    <row r="304" customFormat="false" ht="12.8" hidden="false" customHeight="false" outlineLevel="0" collapsed="false">
      <c r="S304" s="26"/>
    </row>
    <row r="305" customFormat="false" ht="12.8" hidden="false" customHeight="false" outlineLevel="0" collapsed="false">
      <c r="S305" s="26"/>
    </row>
  </sheetData>
  <mergeCells count="12"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Z1:AA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23046875" defaultRowHeight="12.8" customHeight="false" zeroHeight="false" outlineLevelRow="0" outlineLevelCol="0"/>
  <cols>
    <col collapsed="false" customWidth="true" hidden="false" outlineLevel="0" max="2" min="2" style="44" width="18.39"/>
    <col collapsed="false" customWidth="true" hidden="false" outlineLevel="0" max="11" min="3" style="22" width="5.41"/>
    <col collapsed="false" customWidth="true" hidden="false" outlineLevel="0" max="12" min="12" style="22" width="4.44"/>
    <col collapsed="false" customWidth="true" hidden="false" outlineLevel="0" max="13" min="13" style="0" width="7.34"/>
  </cols>
  <sheetData>
    <row r="1" customFormat="false" ht="12.8" hidden="false" customHeight="false" outlineLevel="0" collapsed="false">
      <c r="B1" s="18" t="s">
        <v>21</v>
      </c>
      <c r="C1" s="18" t="n">
        <v>5</v>
      </c>
      <c r="D1" s="18" t="n">
        <v>10</v>
      </c>
      <c r="E1" s="18" t="n">
        <v>15</v>
      </c>
      <c r="F1" s="18" t="n">
        <v>20</v>
      </c>
      <c r="G1" s="18" t="n">
        <v>30</v>
      </c>
      <c r="H1" s="18" t="n">
        <v>40</v>
      </c>
      <c r="I1" s="18" t="n">
        <v>50</v>
      </c>
      <c r="J1" s="18" t="n">
        <v>64</v>
      </c>
      <c r="K1" s="18" t="n">
        <v>82</v>
      </c>
      <c r="L1" s="18" t="n">
        <v>100</v>
      </c>
      <c r="M1" s="18" t="s">
        <v>80</v>
      </c>
    </row>
    <row r="2" customFormat="false" ht="12.8" hidden="false" customHeight="false" outlineLevel="0" collapsed="false">
      <c r="B2" s="16" t="s">
        <v>31</v>
      </c>
      <c r="D2" s="22" t="n">
        <v>2056</v>
      </c>
      <c r="E2" s="22" t="n">
        <v>1016</v>
      </c>
      <c r="F2" s="22" t="n">
        <v>755</v>
      </c>
      <c r="G2" s="22" t="n">
        <v>645</v>
      </c>
      <c r="H2" s="22" t="n">
        <v>500</v>
      </c>
      <c r="I2" s="22" t="n">
        <v>405</v>
      </c>
      <c r="J2" s="22" t="n">
        <v>389</v>
      </c>
      <c r="K2" s="22" t="n">
        <v>363</v>
      </c>
      <c r="L2" s="22" t="n">
        <v>278</v>
      </c>
      <c r="M2" s="45" t="n">
        <f aca="false">MEDIAN('Statistical Analysis'!AB5:AB13)</f>
        <v>0.0963357433835532</v>
      </c>
    </row>
    <row r="3" customFormat="false" ht="12.8" hidden="false" customHeight="false" outlineLevel="0" collapsed="false">
      <c r="B3" s="16" t="s">
        <v>32</v>
      </c>
      <c r="D3" s="22" t="n">
        <v>1594</v>
      </c>
      <c r="E3" s="22" t="n">
        <v>1115</v>
      </c>
      <c r="F3" s="22" t="n">
        <v>797</v>
      </c>
      <c r="G3" s="22" t="n">
        <v>610</v>
      </c>
      <c r="H3" s="22" t="n">
        <v>487</v>
      </c>
      <c r="I3" s="22" t="n">
        <v>424</v>
      </c>
      <c r="J3" s="22" t="n">
        <v>374</v>
      </c>
      <c r="K3" s="22" t="n">
        <v>328</v>
      </c>
      <c r="L3" s="22" t="n">
        <v>266</v>
      </c>
      <c r="M3" s="45" t="n">
        <f aca="false">MEDIAN('Statistical Analysis'!U15:U23)</f>
        <v>0.0917390933986562</v>
      </c>
    </row>
    <row r="4" customFormat="false" ht="12.8" hidden="false" customHeight="false" outlineLevel="0" collapsed="false">
      <c r="B4" s="16" t="s">
        <v>33</v>
      </c>
      <c r="E4" s="22" t="n">
        <v>1746</v>
      </c>
      <c r="F4" s="22" t="n">
        <v>1579</v>
      </c>
      <c r="G4" s="22" t="n">
        <v>1277</v>
      </c>
      <c r="H4" s="22" t="n">
        <v>979</v>
      </c>
      <c r="I4" s="22" t="n">
        <v>707</v>
      </c>
      <c r="J4" s="22" t="n">
        <v>529</v>
      </c>
      <c r="K4" s="22" t="n">
        <v>493</v>
      </c>
      <c r="L4" s="22" t="n">
        <v>440</v>
      </c>
      <c r="M4" s="45" t="n">
        <f aca="false">MEDIAN('Statistical Analysis'!U26:U33)</f>
        <v>0.118739870178145</v>
      </c>
    </row>
    <row r="5" customFormat="false" ht="12.8" hidden="false" customHeight="false" outlineLevel="0" collapsed="false">
      <c r="B5" s="16" t="s">
        <v>34</v>
      </c>
      <c r="D5" s="22" t="n">
        <v>1157</v>
      </c>
      <c r="E5" s="22" t="n">
        <v>833</v>
      </c>
      <c r="F5" s="22" t="n">
        <v>670</v>
      </c>
      <c r="G5" s="22" t="n">
        <v>506</v>
      </c>
      <c r="H5" s="22" t="n">
        <v>405</v>
      </c>
      <c r="I5" s="22" t="n">
        <v>336</v>
      </c>
      <c r="J5" s="22" t="n">
        <v>271</v>
      </c>
      <c r="K5" s="22" t="n">
        <v>235</v>
      </c>
      <c r="L5" s="22" t="n">
        <v>237</v>
      </c>
      <c r="M5" s="45" t="n">
        <f aca="false">MEDIAN('Statistical Analysis'!U35:U43)</f>
        <v>0.035796862207676</v>
      </c>
    </row>
    <row r="6" customFormat="false" ht="12.8" hidden="false" customHeight="false" outlineLevel="0" collapsed="false">
      <c r="B6" s="16" t="s">
        <v>36</v>
      </c>
      <c r="G6" s="22" t="n">
        <v>2195</v>
      </c>
      <c r="H6" s="22" t="n">
        <v>1610</v>
      </c>
      <c r="I6" s="22" t="n">
        <v>1315</v>
      </c>
      <c r="J6" s="22" t="n">
        <v>963</v>
      </c>
      <c r="K6" s="22" t="n">
        <v>903</v>
      </c>
      <c r="L6" s="22" t="n">
        <v>683</v>
      </c>
      <c r="M6" s="45" t="n">
        <f aca="false">MEDIAN('Statistical Analysis'!U50:U53)</f>
        <v>0.0804229840767542</v>
      </c>
    </row>
    <row r="7" customFormat="false" ht="12.8" hidden="false" customHeight="false" outlineLevel="0" collapsed="false">
      <c r="B7" s="16" t="s">
        <v>37</v>
      </c>
      <c r="C7" s="22" t="n">
        <v>609</v>
      </c>
      <c r="D7" s="22" t="n">
        <v>570</v>
      </c>
      <c r="E7" s="22" t="n">
        <v>480</v>
      </c>
      <c r="F7" s="22" t="n">
        <v>453</v>
      </c>
      <c r="G7" s="22" t="n">
        <v>321</v>
      </c>
      <c r="H7" s="22" t="n">
        <v>250</v>
      </c>
      <c r="I7" s="22" t="n">
        <v>229</v>
      </c>
      <c r="J7" s="22" t="n">
        <v>333</v>
      </c>
      <c r="K7" s="22" t="n">
        <v>309</v>
      </c>
      <c r="L7" s="22" t="n">
        <v>237</v>
      </c>
      <c r="M7" s="45" t="n">
        <f aca="false">MEDIAN('Statistical Analysis'!U56:U63)</f>
        <v>0.255087415578218</v>
      </c>
    </row>
    <row r="8" customFormat="false" ht="12.8" hidden="false" customHeight="false" outlineLevel="0" collapsed="false">
      <c r="B8" s="16" t="s">
        <v>38</v>
      </c>
      <c r="C8" s="22" t="n">
        <v>717</v>
      </c>
      <c r="D8" s="22" t="n">
        <v>266</v>
      </c>
      <c r="E8" s="22" t="n">
        <v>210</v>
      </c>
      <c r="F8" s="22" t="n">
        <v>150</v>
      </c>
      <c r="G8" s="22" t="n">
        <v>101</v>
      </c>
      <c r="H8" s="22" t="n">
        <v>92</v>
      </c>
      <c r="I8" s="22" t="n">
        <v>79</v>
      </c>
      <c r="J8" s="22" t="n">
        <v>55</v>
      </c>
      <c r="K8" s="22" t="n">
        <v>50</v>
      </c>
      <c r="L8" s="22" t="n">
        <v>43</v>
      </c>
      <c r="M8" s="45" t="n">
        <f aca="false">MEDIAN('Statistical Analysis'!U64:U73)</f>
        <v>0.12028830975937</v>
      </c>
    </row>
    <row r="9" customFormat="false" ht="12.8" hidden="false" customHeight="false" outlineLevel="0" collapsed="false">
      <c r="B9" s="16" t="s">
        <v>39</v>
      </c>
      <c r="C9" s="22" t="n">
        <v>1756</v>
      </c>
      <c r="D9" s="22" t="n">
        <v>1352</v>
      </c>
      <c r="E9" s="22" t="n">
        <v>845</v>
      </c>
      <c r="F9" s="22" t="n">
        <v>762</v>
      </c>
      <c r="G9" s="22" t="n">
        <v>508</v>
      </c>
      <c r="H9" s="22" t="n">
        <v>475</v>
      </c>
      <c r="I9" s="22" t="n">
        <v>346</v>
      </c>
      <c r="J9" s="22" t="n">
        <v>246</v>
      </c>
      <c r="K9" s="22" t="n">
        <v>212</v>
      </c>
      <c r="L9" s="22" t="n">
        <v>185</v>
      </c>
      <c r="M9" s="45" t="n">
        <f aca="false">MEDIAN('Statistical Analysis'!U76:U83)</f>
        <v>0.0409149793260102</v>
      </c>
    </row>
    <row r="10" customFormat="false" ht="12.8" hidden="false" customHeight="false" outlineLevel="0" collapsed="false">
      <c r="B10" s="16" t="s">
        <v>41</v>
      </c>
      <c r="C10" s="22" t="n">
        <v>174</v>
      </c>
      <c r="D10" s="22" t="n">
        <v>106</v>
      </c>
      <c r="E10" s="22" t="n">
        <v>83</v>
      </c>
      <c r="F10" s="22" t="n">
        <v>66</v>
      </c>
      <c r="G10" s="22" t="n">
        <v>54</v>
      </c>
      <c r="H10" s="22" t="n">
        <v>47</v>
      </c>
      <c r="I10" s="22" t="n">
        <v>35</v>
      </c>
      <c r="J10" s="22" t="n">
        <v>36</v>
      </c>
      <c r="K10" s="22" t="n">
        <v>30</v>
      </c>
      <c r="L10" s="22" t="n">
        <v>29</v>
      </c>
      <c r="M10" s="45" t="n">
        <f aca="false">MEDIAN('Statistical Analysis'!U84:U93)</f>
        <v>0.0700530294618754</v>
      </c>
    </row>
    <row r="11" customFormat="false" ht="12.8" hidden="false" customHeight="false" outlineLevel="0" collapsed="false">
      <c r="B11" s="16" t="s">
        <v>42</v>
      </c>
      <c r="D11" s="22" t="n">
        <v>556</v>
      </c>
      <c r="E11" s="22" t="n">
        <v>375</v>
      </c>
      <c r="F11" s="22" t="n">
        <v>281</v>
      </c>
      <c r="G11" s="22" t="n">
        <v>231</v>
      </c>
      <c r="H11" s="22" t="n">
        <v>180</v>
      </c>
      <c r="I11" s="22" t="n">
        <v>168</v>
      </c>
      <c r="J11" s="22" t="n">
        <v>142</v>
      </c>
      <c r="K11" s="22" t="n">
        <v>138</v>
      </c>
      <c r="L11" s="22" t="n">
        <v>98</v>
      </c>
      <c r="M11" s="45" t="n">
        <f aca="false">MEDIAN('Statistical Analysis'!U95:U103)</f>
        <v>0.062356789047374</v>
      </c>
    </row>
    <row r="12" customFormat="false" ht="12.8" hidden="false" customHeight="false" outlineLevel="0" collapsed="false">
      <c r="B12" s="16" t="s">
        <v>43</v>
      </c>
      <c r="D12" s="22" t="n">
        <v>2035</v>
      </c>
      <c r="E12" s="22" t="n">
        <v>1552</v>
      </c>
      <c r="F12" s="22" t="n">
        <v>1109</v>
      </c>
      <c r="G12" s="22" t="n">
        <v>781</v>
      </c>
      <c r="H12" s="22" t="n">
        <v>626</v>
      </c>
      <c r="I12" s="22" t="n">
        <v>521</v>
      </c>
      <c r="J12" s="22" t="n">
        <v>442</v>
      </c>
      <c r="K12" s="22" t="n">
        <v>335</v>
      </c>
      <c r="L12" s="22" t="n">
        <v>348</v>
      </c>
      <c r="M12" s="45" t="n">
        <f aca="false">MEDIAN('Statistical Analysis'!U107:U112)</f>
        <v>0.0277592361242779</v>
      </c>
    </row>
    <row r="13" customFormat="false" ht="12.8" hidden="false" customHeight="false" outlineLevel="0" collapsed="false">
      <c r="B13" s="16" t="s">
        <v>44</v>
      </c>
      <c r="H13" s="22" t="n">
        <v>2649</v>
      </c>
      <c r="I13" s="22" t="n">
        <v>1861</v>
      </c>
      <c r="J13" s="22" t="n">
        <v>1786</v>
      </c>
      <c r="K13" s="22" t="n">
        <v>1104</v>
      </c>
      <c r="L13" s="22" t="n">
        <v>915</v>
      </c>
      <c r="M13" s="45" t="n">
        <f aca="false">MEDIAN('Statistical Analysis'!U122:U123)</f>
        <v>0.0289971542903773</v>
      </c>
    </row>
    <row r="14" customFormat="false" ht="12.8" hidden="false" customHeight="false" outlineLevel="0" collapsed="false">
      <c r="B14" s="16" t="s">
        <v>46</v>
      </c>
      <c r="C14" s="22" t="n">
        <v>774</v>
      </c>
      <c r="D14" s="22" t="n">
        <v>386</v>
      </c>
      <c r="E14" s="22" t="n">
        <v>291</v>
      </c>
      <c r="F14" s="22" t="n">
        <v>220</v>
      </c>
      <c r="G14" s="22" t="n">
        <v>169</v>
      </c>
      <c r="H14" s="22" t="n">
        <v>153</v>
      </c>
      <c r="I14" s="22" t="n">
        <v>112</v>
      </c>
      <c r="J14" s="22" t="n">
        <v>96</v>
      </c>
      <c r="K14" s="22" t="n">
        <v>79</v>
      </c>
      <c r="L14" s="22" t="n">
        <v>68</v>
      </c>
      <c r="M14" s="45" t="n">
        <f aca="false">MEDIAN('Statistical Analysis'!U124:U133)</f>
        <v>0.0826870084548413</v>
      </c>
    </row>
    <row r="15" customFormat="false" ht="12.8" hidden="false" customHeight="false" outlineLevel="0" collapsed="false">
      <c r="B15" s="16" t="s">
        <v>47</v>
      </c>
      <c r="D15" s="22" t="n">
        <v>3024</v>
      </c>
      <c r="E15" s="22" t="n">
        <v>1732</v>
      </c>
      <c r="F15" s="22" t="n">
        <v>1276</v>
      </c>
      <c r="G15" s="22" t="n">
        <v>827</v>
      </c>
      <c r="H15" s="22" t="n">
        <v>633</v>
      </c>
      <c r="I15" s="22" t="n">
        <v>512</v>
      </c>
      <c r="J15" s="22" t="n">
        <v>531</v>
      </c>
      <c r="K15" s="22" t="n">
        <v>372</v>
      </c>
      <c r="L15" s="22" t="n">
        <v>341</v>
      </c>
      <c r="M15" s="45" t="n">
        <f aca="false">MEDIAN('Statistical Analysis'!U136:U143)</f>
        <v>0.0593276634477495</v>
      </c>
    </row>
    <row r="16" customFormat="false" ht="12.8" hidden="false" customHeight="false" outlineLevel="0" collapsed="false">
      <c r="B16" s="16" t="s">
        <v>45</v>
      </c>
      <c r="D16" s="22" t="n">
        <v>1394</v>
      </c>
      <c r="E16" s="22" t="n">
        <v>2635</v>
      </c>
      <c r="F16" s="22" t="n">
        <v>1767</v>
      </c>
      <c r="G16" s="22" t="n">
        <v>1455</v>
      </c>
      <c r="H16" s="22" t="n">
        <v>1158</v>
      </c>
      <c r="I16" s="22" t="n">
        <v>882</v>
      </c>
      <c r="J16" s="22" t="n">
        <v>657</v>
      </c>
      <c r="K16" s="22" t="n">
        <v>593</v>
      </c>
      <c r="L16" s="22" t="n">
        <v>463</v>
      </c>
      <c r="M16" s="45" t="n">
        <f aca="false">MEDIAN('Statistical Analysis'!U146:U153)</f>
        <v>0.074541651010295</v>
      </c>
    </row>
    <row r="17" customFormat="false" ht="12.8" hidden="false" customHeight="false" outlineLevel="0" collapsed="false">
      <c r="B17" s="16" t="s">
        <v>48</v>
      </c>
      <c r="D17" s="22" t="n">
        <v>1308</v>
      </c>
      <c r="E17" s="22" t="n">
        <v>1132</v>
      </c>
      <c r="F17" s="22" t="n">
        <v>772</v>
      </c>
      <c r="G17" s="22" t="n">
        <v>616</v>
      </c>
      <c r="H17" s="22" t="n">
        <v>474</v>
      </c>
      <c r="I17" s="22" t="n">
        <v>361</v>
      </c>
      <c r="J17" s="22" t="n">
        <v>292</v>
      </c>
      <c r="K17" s="22" t="n">
        <v>226</v>
      </c>
      <c r="L17" s="22" t="n">
        <v>210</v>
      </c>
      <c r="M17" s="45" t="n">
        <f aca="false">MEDIAN('Statistical Analysis'!U155:U163)</f>
        <v>0.107308695666628</v>
      </c>
    </row>
    <row r="18" customFormat="false" ht="12.8" hidden="false" customHeight="false" outlineLevel="0" collapsed="false">
      <c r="B18" s="16" t="s">
        <v>49</v>
      </c>
      <c r="D18" s="46" t="n">
        <f aca="false">IF(SUM(D6:D8)&gt;0,AVERAGE(D6:D8),"")</f>
        <v>418</v>
      </c>
      <c r="E18" s="46" t="n">
        <f aca="false">IF(SUM(E6:E8)&gt;0,AVERAGE(E6:E8),"")</f>
        <v>345</v>
      </c>
      <c r="F18" s="46" t="n">
        <f aca="false">IF(SUM(F6:F8)&gt;0,AVERAGE(F6:F8),"")</f>
        <v>301.5</v>
      </c>
      <c r="G18" s="46" t="n">
        <f aca="false">IF(SUM(G6:G8)&gt;0,AVERAGE(G6:G8),"")</f>
        <v>872.333333333333</v>
      </c>
      <c r="H18" s="46" t="n">
        <f aca="false">IF(SUM(H6:H8)&gt;0,AVERAGE(H6:H8),"")</f>
        <v>650.666666666667</v>
      </c>
      <c r="I18" s="46" t="n">
        <f aca="false">IF(SUM(I6:I8)&gt;0,AVERAGE(I6:I8),"")</f>
        <v>541</v>
      </c>
      <c r="J18" s="46" t="n">
        <f aca="false">IF(SUM(J6:J8)&gt;0,AVERAGE(J6:J8),"")</f>
        <v>450.333333333333</v>
      </c>
      <c r="K18" s="46" t="n">
        <f aca="false">IF(SUM(K6:K8)&gt;0,AVERAGE(K6:K8),"")</f>
        <v>420.666666666667</v>
      </c>
      <c r="L18" s="46" t="n">
        <f aca="false">IF(SUM(L6:L8)&gt;0,AVERAGE(L6:L8),"")</f>
        <v>321</v>
      </c>
      <c r="M18" s="45" t="n">
        <f aca="false">MEDIAN('Statistical Analysis'!U166:U173,'Statistical Analysis'!U166:U173)</f>
        <v>0.0726487647854184</v>
      </c>
    </row>
    <row r="19" customFormat="false" ht="12.8" hidden="false" customHeight="false" outlineLevel="0" collapsed="false">
      <c r="B19" s="16" t="s">
        <v>50</v>
      </c>
      <c r="D19" s="22" t="n">
        <v>2214</v>
      </c>
      <c r="E19" s="22" t="n">
        <v>1429</v>
      </c>
      <c r="F19" s="22" t="n">
        <v>1078</v>
      </c>
      <c r="G19" s="22" t="n">
        <v>717</v>
      </c>
      <c r="H19" s="22" t="n">
        <v>616</v>
      </c>
      <c r="I19" s="22" t="n">
        <v>501</v>
      </c>
      <c r="J19" s="22" t="n">
        <v>402</v>
      </c>
      <c r="K19" s="22" t="n">
        <v>324</v>
      </c>
      <c r="L19" s="22" t="n">
        <v>285</v>
      </c>
      <c r="M19" s="45" t="n">
        <f aca="false">MEDIAN('Statistical Analysis'!U175:U183)</f>
        <v>0.0892009130938516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306"/>
  <sheetViews>
    <sheetView showFormulas="false" showGridLines="true" showRowColHeaders="true" showZeros="true" rightToLeft="false" tabSelected="false" showOutlineSymbols="true" defaultGridColor="true" view="normal" topLeftCell="A143" colorId="64" zoomScale="100" zoomScaleNormal="100" zoomScalePageLayoutView="100" workbookViewId="0">
      <selection pane="topLeft" activeCell="O165" activeCellId="0" sqref="O165"/>
    </sheetView>
  </sheetViews>
  <sheetFormatPr defaultColWidth="11.23046875" defaultRowHeight="12.8" customHeight="false" zeroHeight="false" outlineLevelRow="0" outlineLevelCol="0"/>
  <cols>
    <col collapsed="false" customWidth="true" hidden="false" outlineLevel="0" max="1" min="1" style="0" width="18.39"/>
    <col collapsed="false" customWidth="true" hidden="false" outlineLevel="0" max="2" min="2" style="0" width="10.38"/>
    <col collapsed="false" customWidth="true" hidden="false" outlineLevel="0" max="14" min="3" style="0" width="10.23"/>
    <col collapsed="false" customWidth="true" hidden="false" outlineLevel="0" max="15" min="15" style="0" width="7.9"/>
    <col collapsed="false" customWidth="true" hidden="false" outlineLevel="0" max="16" min="16" style="0" width="9.41"/>
    <col collapsed="false" customWidth="true" hidden="false" outlineLevel="0" max="17" min="17" style="0" width="8.86"/>
    <col collapsed="false" customWidth="true" hidden="false" outlineLevel="0" max="18" min="18" style="0" width="7.04"/>
    <col collapsed="false" customWidth="true" hidden="false" outlineLevel="0" max="20" min="19" style="0" width="7.47"/>
    <col collapsed="false" customWidth="true" hidden="false" outlineLevel="0" max="21" min="21" style="0" width="7.34"/>
    <col collapsed="false" customWidth="true" hidden="false" outlineLevel="0" max="22" min="22" style="0" width="9.24"/>
    <col collapsed="false" customWidth="true" hidden="false" outlineLevel="0" max="23" min="23" style="0" width="9.41"/>
    <col collapsed="false" customWidth="true" hidden="false" outlineLevel="0" max="24" min="24" style="0" width="8.86"/>
    <col collapsed="false" customWidth="true" hidden="false" outlineLevel="0" max="25" min="25" style="0" width="7.04"/>
    <col collapsed="false" customWidth="true" hidden="false" outlineLevel="0" max="28" min="26" style="0" width="8.86"/>
    <col collapsed="false" customWidth="true" hidden="true" outlineLevel="0" max="29" min="29" style="0" width="10.11"/>
    <col collapsed="false" customWidth="true" hidden="false" outlineLevel="0" max="30" min="30" style="0" width="7.73"/>
    <col collapsed="false" customWidth="true" hidden="false" outlineLevel="0" max="31" min="31" style="0" width="9.41"/>
    <col collapsed="false" customWidth="true" hidden="false" outlineLevel="0" max="32" min="32" style="0" width="8.86"/>
    <col collapsed="false" customWidth="true" hidden="false" outlineLevel="0" max="33" min="33" style="0" width="6.9"/>
    <col collapsed="false" customWidth="true" hidden="false" outlineLevel="0" max="35" min="34" style="0" width="7.47"/>
    <col collapsed="false" customWidth="true" hidden="false" outlineLevel="0" max="36" min="36" style="0" width="7.34"/>
    <col collapsed="false" customWidth="true" hidden="false" outlineLevel="0" max="37" min="37" style="0" width="8.14"/>
    <col collapsed="false" customWidth="true" hidden="false" outlineLevel="0" max="38" min="38" style="0" width="9.41"/>
    <col collapsed="false" customWidth="true" hidden="false" outlineLevel="0" max="39" min="39" style="0" width="8.86"/>
    <col collapsed="false" customWidth="true" hidden="false" outlineLevel="0" max="40" min="40" style="0" width="7.04"/>
    <col collapsed="false" customWidth="true" hidden="false" outlineLevel="0" max="42" min="41" style="0" width="7.47"/>
    <col collapsed="false" customWidth="true" hidden="false" outlineLevel="0" max="43" min="43" style="0" width="7.34"/>
    <col collapsed="false" customWidth="true" hidden="false" outlineLevel="0" max="44" min="44" style="0" width="13.14"/>
    <col collapsed="false" customWidth="true" hidden="false" outlineLevel="0" max="46" min="45" style="0" width="12.73"/>
    <col collapsed="false" customWidth="true" hidden="false" outlineLevel="0" max="48" min="47" style="0" width="13.41"/>
    <col collapsed="false" customWidth="true" hidden="false" outlineLevel="0" max="49" min="49" style="0" width="19.63"/>
    <col collapsed="false" customWidth="true" hidden="false" outlineLevel="0" max="50" min="50" style="0" width="13.14"/>
    <col collapsed="false" customWidth="false" hidden="false" outlineLevel="0" max="52" min="52" style="17" width="11.23"/>
    <col collapsed="false" customWidth="true" hidden="false" outlineLevel="0" max="54" min="54" style="0" width="15.07"/>
  </cols>
  <sheetData>
    <row r="1" customFormat="false" ht="14.9" hidden="false" customHeight="false" outlineLevel="0" collapsed="false">
      <c r="A1" s="47" t="s">
        <v>21</v>
      </c>
      <c r="B1" s="48" t="s">
        <v>22</v>
      </c>
      <c r="C1" s="49" t="s">
        <v>81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 t="s">
        <v>82</v>
      </c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Z1" s="0"/>
    </row>
    <row r="2" customFormat="false" ht="12.8" hidden="false" customHeight="false" outlineLevel="0" collapsed="false">
      <c r="A2" s="47"/>
      <c r="B2" s="48"/>
      <c r="C2" s="50" t="s">
        <v>83</v>
      </c>
      <c r="D2" s="50"/>
      <c r="E2" s="50"/>
      <c r="F2" s="50" t="s">
        <v>84</v>
      </c>
      <c r="G2" s="50"/>
      <c r="H2" s="50"/>
      <c r="I2" s="50" t="s">
        <v>85</v>
      </c>
      <c r="J2" s="50"/>
      <c r="K2" s="50"/>
      <c r="L2" s="50" t="s">
        <v>86</v>
      </c>
      <c r="M2" s="50"/>
      <c r="N2" s="50"/>
      <c r="O2" s="50" t="s">
        <v>83</v>
      </c>
      <c r="P2" s="50"/>
      <c r="Q2" s="50"/>
      <c r="R2" s="50"/>
      <c r="S2" s="50"/>
      <c r="T2" s="50"/>
      <c r="U2" s="50"/>
      <c r="V2" s="50" t="s">
        <v>84</v>
      </c>
      <c r="W2" s="50"/>
      <c r="X2" s="50"/>
      <c r="Y2" s="50"/>
      <c r="Z2" s="50"/>
      <c r="AA2" s="50"/>
      <c r="AB2" s="50"/>
      <c r="AC2" s="51"/>
      <c r="AD2" s="50" t="s">
        <v>85</v>
      </c>
      <c r="AE2" s="50"/>
      <c r="AF2" s="50"/>
      <c r="AG2" s="50"/>
      <c r="AH2" s="50"/>
      <c r="AI2" s="50"/>
      <c r="AJ2" s="50"/>
      <c r="AK2" s="50" t="s">
        <v>86</v>
      </c>
      <c r="AL2" s="50"/>
      <c r="AM2" s="50"/>
      <c r="AN2" s="50"/>
      <c r="AO2" s="50"/>
      <c r="AP2" s="50"/>
      <c r="AQ2" s="50"/>
      <c r="AX2" s="44" t="s">
        <v>87</v>
      </c>
      <c r="AY2" s="44" t="s">
        <v>88</v>
      </c>
      <c r="AZ2" s="44" t="s">
        <v>89</v>
      </c>
    </row>
    <row r="3" customFormat="false" ht="28.35" hidden="false" customHeight="false" outlineLevel="0" collapsed="false">
      <c r="A3" s="47"/>
      <c r="B3" s="48"/>
      <c r="C3" s="52" t="n">
        <v>632456723</v>
      </c>
      <c r="D3" s="19" t="n">
        <v>102370435</v>
      </c>
      <c r="E3" s="53" t="n">
        <v>914023457</v>
      </c>
      <c r="F3" s="52" t="n">
        <v>632456723</v>
      </c>
      <c r="G3" s="19" t="n">
        <v>102370435</v>
      </c>
      <c r="H3" s="53" t="n">
        <v>914023457</v>
      </c>
      <c r="I3" s="52" t="n">
        <v>632456723</v>
      </c>
      <c r="J3" s="19" t="n">
        <v>102370435</v>
      </c>
      <c r="K3" s="53" t="n">
        <v>914023457</v>
      </c>
      <c r="L3" s="52" t="n">
        <v>632456723</v>
      </c>
      <c r="M3" s="19" t="n">
        <v>102370435</v>
      </c>
      <c r="N3" s="53" t="n">
        <v>914023457</v>
      </c>
      <c r="O3" s="54" t="s">
        <v>90</v>
      </c>
      <c r="P3" s="20" t="s">
        <v>91</v>
      </c>
      <c r="Q3" s="55" t="s">
        <v>92</v>
      </c>
      <c r="R3" s="55" t="s">
        <v>93</v>
      </c>
      <c r="S3" s="55" t="s">
        <v>94</v>
      </c>
      <c r="T3" s="55" t="s">
        <v>95</v>
      </c>
      <c r="U3" s="53" t="s">
        <v>96</v>
      </c>
      <c r="V3" s="54" t="s">
        <v>90</v>
      </c>
      <c r="W3" s="20" t="s">
        <v>91</v>
      </c>
      <c r="X3" s="55" t="s">
        <v>92</v>
      </c>
      <c r="Y3" s="55" t="s">
        <v>93</v>
      </c>
      <c r="Z3" s="55" t="s">
        <v>94</v>
      </c>
      <c r="AA3" s="55" t="s">
        <v>95</v>
      </c>
      <c r="AB3" s="53" t="s">
        <v>96</v>
      </c>
      <c r="AC3" s="19"/>
      <c r="AD3" s="54" t="s">
        <v>90</v>
      </c>
      <c r="AE3" s="20" t="s">
        <v>91</v>
      </c>
      <c r="AF3" s="55" t="s">
        <v>92</v>
      </c>
      <c r="AG3" s="55" t="s">
        <v>93</v>
      </c>
      <c r="AH3" s="55" t="s">
        <v>94</v>
      </c>
      <c r="AI3" s="55" t="s">
        <v>95</v>
      </c>
      <c r="AJ3" s="53" t="s">
        <v>96</v>
      </c>
      <c r="AK3" s="54" t="s">
        <v>90</v>
      </c>
      <c r="AL3" s="20" t="s">
        <v>91</v>
      </c>
      <c r="AM3" s="55" t="s">
        <v>92</v>
      </c>
      <c r="AN3" s="55" t="s">
        <v>93</v>
      </c>
      <c r="AO3" s="55" t="s">
        <v>94</v>
      </c>
      <c r="AP3" s="55" t="s">
        <v>95</v>
      </c>
      <c r="AQ3" s="53" t="s">
        <v>96</v>
      </c>
      <c r="AR3" s="19"/>
      <c r="AS3" s="19"/>
      <c r="AT3" s="22"/>
      <c r="AX3" s="0" t="n">
        <v>1</v>
      </c>
      <c r="AY3" s="0" t="n">
        <v>0</v>
      </c>
      <c r="AZ3" s="0" t="n">
        <v>0</v>
      </c>
    </row>
    <row r="4" customFormat="false" ht="12.8" hidden="false" customHeight="false" outlineLevel="0" collapsed="false">
      <c r="A4" s="56" t="s">
        <v>31</v>
      </c>
      <c r="B4" s="57" t="n">
        <v>5</v>
      </c>
      <c r="C4" s="56"/>
      <c r="D4" s="25"/>
      <c r="E4" s="57"/>
      <c r="F4" s="58"/>
      <c r="H4" s="59" t="n">
        <v>3422</v>
      </c>
      <c r="I4" s="56"/>
      <c r="K4" s="57"/>
      <c r="L4" s="56"/>
      <c r="N4" s="57"/>
      <c r="O4" s="60" t="str">
        <f aca="false">IF(SUM(C4:E4)&gt;0,AVERAGE(C4:E4),"")</f>
        <v/>
      </c>
      <c r="P4" s="61" t="str">
        <f aca="false">IF(SUM(C4:E4)&gt;0, ( IF(C4&gt;0,(C4-O4)^2,0) + IF(D4&gt;0,(D4-O4)^2,0) + IF(E4&gt;0,(E4-O4)^2,0) ) / COUNT(C4:E4),"")</f>
        <v/>
      </c>
      <c r="Q4" s="62" t="str">
        <f aca="false">IF(SUM(C4:E4)&gt;0,SQRT(P4),"")</f>
        <v/>
      </c>
      <c r="R4" s="63" t="str">
        <f aca="false">IF(COUNT(C4:E4)&gt;0,VLOOKUP(COUNT(C4:E4),$AX$2:$AZ$5,3)*(Q4/SQRT(COUNT(C4:E4))),"")</f>
        <v/>
      </c>
      <c r="S4" s="63" t="str">
        <f aca="false">IF(COUNT(C4:E4)&gt;0,O4-R4,"")</f>
        <v/>
      </c>
      <c r="T4" s="63" t="str">
        <f aca="false">IF(COUNT(C4:E4)&gt;0,O4+R4,"")</f>
        <v/>
      </c>
      <c r="U4" s="64" t="str">
        <f aca="false">IF(COUNT(C4:E4)&gt;0,Q4/O4,"")</f>
        <v/>
      </c>
      <c r="V4" s="65" t="n">
        <f aca="false">IF(SUM(F4:H4)&gt;0,AVERAGE(F4:H4),"")</f>
        <v>3422</v>
      </c>
      <c r="W4" s="66" t="n">
        <f aca="false">IF(SUM(F4:H4)&gt;0, ( IF(F4&gt;0,(F4-V4)^2,0) + IF(G4&gt;0,(G4-V4)^2,0) + IF(H4&gt;0,(H4-V4)^2,0) ) / COUNT(F4:H4),"")</f>
        <v>0</v>
      </c>
      <c r="X4" s="63" t="n">
        <f aca="false">IF(SUM(F4:H4)&gt;0,SQRT(W4),"")</f>
        <v>0</v>
      </c>
      <c r="Y4" s="63" t="n">
        <f aca="false">IF(COUNT(F4:H4)&gt;0,VLOOKUP(COUNT(F4:H4),$AX$2:$AZ$5,3)*(X4/SQRT(COUNT(F4:H4))),"")</f>
        <v>0</v>
      </c>
      <c r="Z4" s="63" t="n">
        <f aca="false">IF(COUNT(F4:H4)&gt;0,V4-Y4,"")</f>
        <v>3422</v>
      </c>
      <c r="AA4" s="63" t="n">
        <f aca="false">IF(COUNT(F4:H4)&gt;0,V4+Y4,"")</f>
        <v>3422</v>
      </c>
      <c r="AB4" s="64" t="n">
        <f aca="false">IF(COUNT(F4:H4)&gt;0,X4/V4,"")</f>
        <v>0</v>
      </c>
      <c r="AC4" s="26"/>
      <c r="AD4" s="65" t="str">
        <f aca="false">IF(SUM(I4:K4)&gt;0,AVERAGE(I4:K4),"")</f>
        <v/>
      </c>
      <c r="AE4" s="66" t="str">
        <f aca="false">IF(SUM(I4:K4)&gt;0, ( IF(I4&gt;0,(I4-AD4)^2,0) + IF(J4&gt;0,(J4-AD4)^2,0) + IF(K4&gt;0,(K4-AD4)^2,0) ) / COUNT(I4:K4),"")</f>
        <v/>
      </c>
      <c r="AF4" s="63" t="str">
        <f aca="false">IF(SUM(I4:K4)&gt;0,SQRT(AE4),"")</f>
        <v/>
      </c>
      <c r="AG4" s="63" t="str">
        <f aca="false">IF(COUNT(I4:K4)&gt;0,VLOOKUP(COUNT(I4:K4),$AX$2:$AZ$5,3)*(AF4/SQRT(COUNT(I4:K4))),"")</f>
        <v/>
      </c>
      <c r="AH4" s="63" t="str">
        <f aca="false">IF(COUNT(I4:K4)&gt;0,AD4-AG4,"")</f>
        <v/>
      </c>
      <c r="AI4" s="63" t="str">
        <f aca="false">IF(COUNT(I4:K4)&gt;0,AD4+AG4,"")</f>
        <v/>
      </c>
      <c r="AJ4" s="64" t="str">
        <f aca="false">IF(COUNT(I4:K4)&gt;0,AF4/AD4,"")</f>
        <v/>
      </c>
      <c r="AK4" s="65" t="str">
        <f aca="false">IF(SUM(L4:N4)&gt;0,AVERAGE(L4:N4),"")</f>
        <v/>
      </c>
      <c r="AL4" s="66" t="str">
        <f aca="false">IF(SUM(L4:N4)&gt;0, ( IF(L4&gt;0,(L4-AK4)^2,0) + IF(M4&gt;0,(M4-AK4)^2,0) + IF(N4&gt;0,(N4-AK4)^2,0) ) / COUNT(L4:N4),"")</f>
        <v/>
      </c>
      <c r="AM4" s="63" t="str">
        <f aca="false">IF(SUM(L4:N4)&gt;0,SQRT(AL4),"")</f>
        <v/>
      </c>
      <c r="AN4" s="63" t="str">
        <f aca="false">IF(COUNT(L4:N4)&gt;0,1.96*(AM4/COUNT(L4:N4)),"")</f>
        <v/>
      </c>
      <c r="AO4" s="63" t="str">
        <f aca="false">IF(COUNT(L4:N4)&gt;0,AK4-AN4,"")</f>
        <v/>
      </c>
      <c r="AP4" s="63" t="str">
        <f aca="false">IF(COUNT(L4:N4)&gt;0,AK4+AN4,"")</f>
        <v/>
      </c>
      <c r="AQ4" s="64" t="str">
        <f aca="false">IF(COUNT(L4:N4)&gt;0,AM4/AK4,"")</f>
        <v/>
      </c>
      <c r="AX4" s="0" t="n">
        <v>2</v>
      </c>
      <c r="AY4" s="23" t="n">
        <v>1</v>
      </c>
      <c r="AZ4" s="67" t="n">
        <v>12.706</v>
      </c>
    </row>
    <row r="5" customFormat="false" ht="12.8" hidden="false" customHeight="false" outlineLevel="0" collapsed="false">
      <c r="A5" s="56" t="s">
        <v>31</v>
      </c>
      <c r="B5" s="57" t="n">
        <v>10</v>
      </c>
      <c r="C5" s="56" t="n">
        <v>1949</v>
      </c>
      <c r="D5" s="25" t="n">
        <v>2335</v>
      </c>
      <c r="E5" s="57" t="n">
        <v>1884</v>
      </c>
      <c r="F5" s="58" t="n">
        <v>1530</v>
      </c>
      <c r="G5" s="0" t="n">
        <v>1246</v>
      </c>
      <c r="H5" s="59" t="n">
        <v>1768</v>
      </c>
      <c r="I5" s="56" t="n">
        <v>1868</v>
      </c>
      <c r="J5" s="0" t="n">
        <v>1886</v>
      </c>
      <c r="K5" s="57" t="n">
        <v>1744</v>
      </c>
      <c r="L5" s="56"/>
      <c r="M5" s="0" t="n">
        <v>2335</v>
      </c>
      <c r="N5" s="57" t="n">
        <v>1506</v>
      </c>
      <c r="O5" s="65" t="n">
        <f aca="false">IF(SUM(C5:E5)&gt;0,AVERAGE(C5:E5),"")</f>
        <v>2056</v>
      </c>
      <c r="P5" s="66" t="n">
        <f aca="false">IF(SUM(C5:E5)&gt;0, ( IF(C5&gt;0,(C5-O5)^2,0) + IF(D5&gt;0,(D5-O5)^2,0) + IF(E5&gt;0,(E5-O5)^2,0) ) / COUNT(C5:E5),"")</f>
        <v>39624.6666666667</v>
      </c>
      <c r="Q5" s="63" t="n">
        <f aca="false">IF(SUM(C5:E5)&gt;0,SQRT(P5),"")</f>
        <v>199.059455104918</v>
      </c>
      <c r="R5" s="63" t="n">
        <f aca="false">IF(COUNT(C5:E5)&gt;0,VLOOKUP(COUNT(C5:E5),$AX$2:$AZ$5,3)*(Q5/SQRT(COUNT(C5:E5))),"")</f>
        <v>494.531010045095</v>
      </c>
      <c r="S5" s="63" t="n">
        <f aca="false">IF(COUNT(C5:E5)&gt;0,O5-R5,"")</f>
        <v>1561.4689899549</v>
      </c>
      <c r="T5" s="63" t="n">
        <f aca="false">IF(COUNT(C5:E5)&gt;0,O5+R5,"")</f>
        <v>2550.5310100451</v>
      </c>
      <c r="U5" s="64" t="n">
        <f aca="false">IF(COUNT(C5:E5)&gt;0,Q5/O5,"")</f>
        <v>0.0968188011210688</v>
      </c>
      <c r="V5" s="65" t="n">
        <f aca="false">IF(SUM(F5:H5)&gt;0,AVERAGE(F5:H5),"")</f>
        <v>1514.66666666667</v>
      </c>
      <c r="W5" s="66" t="n">
        <f aca="false">IF(SUM(F5:H5)&gt;0, ( IF(F5&gt;0,(F5-V5)^2,0) + IF(G5&gt;0,(G5-V5)^2,0) + IF(H5&gt;0,(H5-V5)^2,0) ) / COUNT(F5:H5),"")</f>
        <v>45531.5555555556</v>
      </c>
      <c r="X5" s="63" t="n">
        <f aca="false">IF(SUM(F5:H5)&gt;0,SQRT(W5),"")</f>
        <v>213.381244619942</v>
      </c>
      <c r="Y5" s="63" t="n">
        <f aca="false">IF(COUNT(F5:H5)&gt;0,VLOOKUP(COUNT(F5:H5),$AX$2:$AZ$5,3)*(X5/SQRT(COUNT(F5:H5))),"")</f>
        <v>530.11117894883</v>
      </c>
      <c r="Z5" s="63" t="n">
        <f aca="false">IF(COUNT(F5:H5)&gt;0,V5-Y5,"")</f>
        <v>984.555487717837</v>
      </c>
      <c r="AA5" s="63" t="n">
        <f aca="false">IF(COUNT(F5:H5)&gt;0,V5+Y5,"")</f>
        <v>2044.7778456155</v>
      </c>
      <c r="AB5" s="64" t="n">
        <f aca="false">IF(COUNT(F5:H5)&gt;0,X5/V5,"")</f>
        <v>0.1408767019938</v>
      </c>
      <c r="AC5" s="26"/>
      <c r="AD5" s="65" t="n">
        <f aca="false">IF(SUM(I5:K5)&gt;0,AVERAGE(I5:K5),"")</f>
        <v>1832.66666666667</v>
      </c>
      <c r="AE5" s="66" t="n">
        <f aca="false">IF(SUM(I5:K5)&gt;0, ( IF(I5&gt;0,(I5-AD5)^2,0) + IF(J5&gt;0,(J5-AD5)^2,0) + IF(K5&gt;0,(K5-AD5)^2,0) ) / COUNT(I5:K5),"")</f>
        <v>3984.88888888889</v>
      </c>
      <c r="AF5" s="63" t="n">
        <f aca="false">IF(SUM(I5:K5)&gt;0,SQRT(AE5),"")</f>
        <v>63.1259763400844</v>
      </c>
      <c r="AG5" s="63" t="n">
        <f aca="false">IF(COUNT(I5:K5)&gt;0,VLOOKUP(COUNT(I5:K5),$AX$2:$AZ$5,3)*(AF5/SQRT(COUNT(I5:K5))),"")</f>
        <v>156.826274959363</v>
      </c>
      <c r="AH5" s="63" t="n">
        <f aca="false">IF(COUNT(I5:K5)&gt;0,AD5-AG5,"")</f>
        <v>1675.8403917073</v>
      </c>
      <c r="AI5" s="63" t="n">
        <f aca="false">IF(COUNT(I5:K5)&gt;0,AD5+AG5,"")</f>
        <v>1989.49294162603</v>
      </c>
      <c r="AJ5" s="64" t="n">
        <f aca="false">IF(COUNT(I5:K5)&gt;0,AF5/AD5,"")</f>
        <v>0.0344448761404607</v>
      </c>
      <c r="AK5" s="65" t="n">
        <f aca="false">IF(SUM(L5:N5)&gt;0,AVERAGE(L5:N5),"")</f>
        <v>1920.5</v>
      </c>
      <c r="AL5" s="66" t="n">
        <f aca="false">IF(SUM(L5:N5)&gt;0, ( IF(L5&gt;0,(L5-AK5)^2,0) + IF(M5&gt;0,(M5-AK5)^2,0) + IF(N5&gt;0,(N5-AK5)^2,0) ) / COUNT(L5:N5),"")</f>
        <v>171810.25</v>
      </c>
      <c r="AM5" s="63" t="n">
        <f aca="false">IF(SUM(L5:N5)&gt;0,SQRT(AL5),"")</f>
        <v>414.5</v>
      </c>
      <c r="AN5" s="63" t="n">
        <f aca="false">IF(COUNT(L5:N5)&gt;0,VLOOKUP(COUNT(L5:N5),$AX$2:$AZ$5,3)*(AM5/SQRT(COUNT(L5:N5))),"")</f>
        <v>3724.07473674798</v>
      </c>
      <c r="AO5" s="63" t="n">
        <f aca="false">IF(COUNT(L5:N5)&gt;0,AK5-AN5,"")</f>
        <v>-1803.57473674797</v>
      </c>
      <c r="AP5" s="63" t="n">
        <f aca="false">IF(COUNT(L5:N5)&gt;0,AK5+AN5,"")</f>
        <v>5644.57473674797</v>
      </c>
      <c r="AQ5" s="64" t="n">
        <f aca="false">IF(COUNT(L5:N5)&gt;0,AM5/AK5,"")</f>
        <v>0.215829211142932</v>
      </c>
      <c r="AX5" s="0" t="n">
        <v>3</v>
      </c>
      <c r="AY5" s="0" t="n">
        <v>2</v>
      </c>
      <c r="AZ5" s="16" t="n">
        <v>4.303</v>
      </c>
    </row>
    <row r="6" customFormat="false" ht="12.8" hidden="false" customHeight="false" outlineLevel="0" collapsed="false">
      <c r="A6" s="56" t="s">
        <v>31</v>
      </c>
      <c r="B6" s="57" t="n">
        <v>15</v>
      </c>
      <c r="C6" s="56" t="n">
        <v>976</v>
      </c>
      <c r="D6" s="25" t="n">
        <v>1058</v>
      </c>
      <c r="E6" s="57" t="n">
        <v>1014</v>
      </c>
      <c r="F6" s="58" t="n">
        <v>1122</v>
      </c>
      <c r="G6" s="0" t="n">
        <v>989</v>
      </c>
      <c r="H6" s="59" t="n">
        <v>1001</v>
      </c>
      <c r="I6" s="56" t="n">
        <v>1312</v>
      </c>
      <c r="J6" s="0" t="n">
        <v>955</v>
      </c>
      <c r="K6" s="57" t="n">
        <v>995</v>
      </c>
      <c r="L6" s="56"/>
      <c r="M6" s="0" t="n">
        <v>1146</v>
      </c>
      <c r="N6" s="57" t="n">
        <v>992</v>
      </c>
      <c r="O6" s="65" t="n">
        <f aca="false">IF(SUM(C6:E6)&gt;0,AVERAGE(C6:E6),"")</f>
        <v>1016</v>
      </c>
      <c r="P6" s="66" t="n">
        <f aca="false">IF(SUM(C6:E6)&gt;0, ( IF(C6&gt;0,(C6-O6)^2,0) + IF(D6&gt;0,(D6-O6)^2,0) + IF(E6&gt;0,(E6-O6)^2,0) ) / COUNT(C6:E6),"")</f>
        <v>1122.66666666667</v>
      </c>
      <c r="Q6" s="63" t="n">
        <f aca="false">IF(SUM(C6:E6)&gt;0,SQRT(P6),"")</f>
        <v>33.5062183283442</v>
      </c>
      <c r="R6" s="63" t="n">
        <f aca="false">IF(COUNT(C6:E6)&gt;0,VLOOKUP(COUNT(C6:E6),$AX$2:$AZ$5,3)*(Q6/SQRT(COUNT(C6:E6))),"")</f>
        <v>83.2407784095165</v>
      </c>
      <c r="S6" s="63" t="n">
        <f aca="false">IF(COUNT(C6:E6)&gt;0,O6-R6,"")</f>
        <v>932.759221590484</v>
      </c>
      <c r="T6" s="63" t="n">
        <f aca="false">IF(COUNT(C6:E6)&gt;0,O6+R6,"")</f>
        <v>1099.24077840952</v>
      </c>
      <c r="U6" s="64" t="n">
        <f aca="false">IF(COUNT(C6:E6)&gt;0,Q6/O6,"")</f>
        <v>0.0329785613467954</v>
      </c>
      <c r="V6" s="65" t="n">
        <f aca="false">IF(SUM(F6:H6)&gt;0,AVERAGE(F6:H6),"")</f>
        <v>1037.33333333333</v>
      </c>
      <c r="W6" s="66" t="n">
        <f aca="false">IF(SUM(F6:H6)&gt;0, ( IF(F6&gt;0,(F6-V6)^2,0) + IF(G6&gt;0,(G6-V6)^2,0) + IF(H6&gt;0,(H6-V6)^2,0) ) / COUNT(F6:H6),"")</f>
        <v>3608.22222222222</v>
      </c>
      <c r="X6" s="63" t="n">
        <f aca="false">IF(SUM(F6:H6)&gt;0,SQRT(W6),"")</f>
        <v>60.0684794399044</v>
      </c>
      <c r="Y6" s="63" t="n">
        <f aca="false">IF(COUNT(F6:H6)&gt;0,VLOOKUP(COUNT(F6:H6),$AX$2:$AZ$5,3)*(X6/SQRT(COUNT(F6:H6))),"")</f>
        <v>149.230418588417</v>
      </c>
      <c r="Z6" s="63" t="n">
        <f aca="false">IF(COUNT(F6:H6)&gt;0,V6-Y6,"")</f>
        <v>888.102914744917</v>
      </c>
      <c r="AA6" s="63" t="n">
        <f aca="false">IF(COUNT(F6:H6)&gt;0,V6+Y6,"")</f>
        <v>1186.56375192175</v>
      </c>
      <c r="AB6" s="64" t="n">
        <f aca="false">IF(COUNT(F6:H6)&gt;0,X6/V6,"")</f>
        <v>0.0579066318508076</v>
      </c>
      <c r="AC6" s="26"/>
      <c r="AD6" s="65" t="n">
        <f aca="false">IF(SUM(I6:K6)&gt;0,AVERAGE(I6:K6),"")</f>
        <v>1087.33333333333</v>
      </c>
      <c r="AE6" s="66" t="n">
        <f aca="false">IF(SUM(I6:K6)&gt;0, ( IF(I6&gt;0,(I6-AD6)^2,0) + IF(J6&gt;0,(J6-AD6)^2,0) + IF(K6&gt;0,(K6-AD6)^2,0) ) / COUNT(I6:K6),"")</f>
        <v>25504.2222222222</v>
      </c>
      <c r="AF6" s="63" t="n">
        <f aca="false">IF(SUM(I6:K6)&gt;0,SQRT(AE6),"")</f>
        <v>159.700413970103</v>
      </c>
      <c r="AG6" s="63" t="n">
        <f aca="false">IF(COUNT(I6:K6)&gt;0,VLOOKUP(COUNT(I6:K6),$AX$2:$AZ$5,3)*(AF6/SQRT(COUNT(I6:K6))),"")</f>
        <v>396.74984031092</v>
      </c>
      <c r="AH6" s="63" t="n">
        <f aca="false">IF(COUNT(I6:K6)&gt;0,AD6-AG6,"")</f>
        <v>690.583493022413</v>
      </c>
      <c r="AI6" s="63" t="n">
        <f aca="false">IF(COUNT(I6:K6)&gt;0,AD6+AG6,"")</f>
        <v>1484.08317364425</v>
      </c>
      <c r="AJ6" s="64" t="n">
        <f aca="false">IF(COUNT(I6:K6)&gt;0,AF6/AD6,"")</f>
        <v>0.146873464718059</v>
      </c>
      <c r="AK6" s="65" t="n">
        <f aca="false">IF(SUM(L6:N6)&gt;0,AVERAGE(L6:N6),"")</f>
        <v>1069</v>
      </c>
      <c r="AL6" s="66" t="n">
        <f aca="false">IF(SUM(L6:N6)&gt;0, ( IF(L6&gt;0,(L6-AK6)^2,0) + IF(M6&gt;0,(M6-AK6)^2,0) + IF(N6&gt;0,(N6-AK6)^2,0) ) / COUNT(L6:N6),"")</f>
        <v>5929</v>
      </c>
      <c r="AM6" s="63" t="n">
        <f aca="false">IF(SUM(L6:N6)&gt;0,SQRT(AL6),"")</f>
        <v>77</v>
      </c>
      <c r="AN6" s="63" t="n">
        <f aca="false">IF(COUNT(L6:N6)&gt;0,VLOOKUP(COUNT(L6:N6),$AX$2:$AZ$5,3)*(AM6/SQRT(COUNT(L6:N6))),"")</f>
        <v>691.806404655233</v>
      </c>
      <c r="AO6" s="63" t="n">
        <f aca="false">IF(COUNT(L6:N6)&gt;0,AK6-AN6,"")</f>
        <v>377.193595344767</v>
      </c>
      <c r="AP6" s="63" t="n">
        <f aca="false">IF(COUNT(L6:N6)&gt;0,AK6+AN6,"")</f>
        <v>1760.80640465523</v>
      </c>
      <c r="AQ6" s="64" t="n">
        <f aca="false">IF(COUNT(L6:N6)&gt;0,AM6/AK6,"")</f>
        <v>0.0720299345182413</v>
      </c>
    </row>
    <row r="7" customFormat="false" ht="12.8" hidden="false" customHeight="false" outlineLevel="0" collapsed="false">
      <c r="A7" s="56" t="s">
        <v>31</v>
      </c>
      <c r="B7" s="57" t="n">
        <v>20</v>
      </c>
      <c r="C7" s="56" t="n">
        <v>854</v>
      </c>
      <c r="D7" s="25" t="n">
        <v>703</v>
      </c>
      <c r="E7" s="57" t="n">
        <v>708</v>
      </c>
      <c r="F7" s="58" t="n">
        <v>695</v>
      </c>
      <c r="G7" s="0" t="n">
        <v>742</v>
      </c>
      <c r="H7" s="59" t="n">
        <v>760</v>
      </c>
      <c r="I7" s="56" t="n">
        <v>837</v>
      </c>
      <c r="J7" s="0" t="n">
        <v>863</v>
      </c>
      <c r="K7" s="57" t="n">
        <v>594</v>
      </c>
      <c r="L7" s="56"/>
      <c r="M7" s="0" t="n">
        <v>703</v>
      </c>
      <c r="N7" s="57" t="n">
        <v>708</v>
      </c>
      <c r="O7" s="65" t="n">
        <f aca="false">IF(SUM(C7:E7)&gt;0,AVERAGE(C7:E7),"")</f>
        <v>755</v>
      </c>
      <c r="P7" s="66" t="n">
        <f aca="false">IF(SUM(C7:E7)&gt;0, ( IF(C7&gt;0,(C7-O7)^2,0) + IF(D7&gt;0,(D7-O7)^2,0) + IF(E7&gt;0,(E7-O7)^2,0) ) / COUNT(C7:E7),"")</f>
        <v>4904.66666666667</v>
      </c>
      <c r="Q7" s="63" t="n">
        <f aca="false">IF(SUM(C7:E7)&gt;0,SQRT(P7),"")</f>
        <v>70.0333254006024</v>
      </c>
      <c r="R7" s="63" t="n">
        <f aca="false">IF(COUNT(C7:E7)&gt;0,VLOOKUP(COUNT(C7:E7),$AX$2:$AZ$5,3)*(Q7/SQRT(COUNT(C7:E7))),"")</f>
        <v>173.986466148631</v>
      </c>
      <c r="S7" s="63" t="n">
        <f aca="false">IF(COUNT(C7:E7)&gt;0,O7-R7,"")</f>
        <v>581.013533851369</v>
      </c>
      <c r="T7" s="63" t="n">
        <f aca="false">IF(COUNT(C7:E7)&gt;0,O7+R7,"")</f>
        <v>928.986466148632</v>
      </c>
      <c r="U7" s="64" t="n">
        <f aca="false">IF(COUNT(C7:E7)&gt;0,Q7/O7,"")</f>
        <v>0.0927593713915264</v>
      </c>
      <c r="V7" s="65" t="n">
        <f aca="false">IF(SUM(F7:H7)&gt;0,AVERAGE(F7:H7),"")</f>
        <v>732.333333333333</v>
      </c>
      <c r="W7" s="66" t="n">
        <f aca="false">IF(SUM(F7:H7)&gt;0, ( IF(F7&gt;0,(F7-V7)^2,0) + IF(G7&gt;0,(G7-V7)^2,0) + IF(H7&gt;0,(H7-V7)^2,0) ) / COUNT(F7:H7),"")</f>
        <v>750.888888888889</v>
      </c>
      <c r="X7" s="63" t="n">
        <f aca="false">IF(SUM(F7:H7)&gt;0,SQRT(W7),"")</f>
        <v>27.4023518860861</v>
      </c>
      <c r="Y7" s="63" t="n">
        <f aca="false">IF(COUNT(F7:H7)&gt;0,VLOOKUP(COUNT(F7:H7),$AX$2:$AZ$5,3)*(X7/SQRT(COUNT(F7:H7))),"")</f>
        <v>68.0767097885145</v>
      </c>
      <c r="Z7" s="63" t="n">
        <f aca="false">IF(COUNT(F7:H7)&gt;0,V7-Y7,"")</f>
        <v>664.256623544819</v>
      </c>
      <c r="AA7" s="63" t="n">
        <f aca="false">IF(COUNT(F7:H7)&gt;0,V7+Y7,"")</f>
        <v>800.410043121848</v>
      </c>
      <c r="AB7" s="64" t="n">
        <f aca="false">IF(COUNT(F7:H7)&gt;0,X7/V7,"")</f>
        <v>0.0374178678462715</v>
      </c>
      <c r="AC7" s="26"/>
      <c r="AD7" s="65" t="n">
        <f aca="false">IF(SUM(I7:K7)&gt;0,AVERAGE(I7:K7),"")</f>
        <v>764.666666666667</v>
      </c>
      <c r="AE7" s="66" t="n">
        <f aca="false">IF(SUM(I7:K7)&gt;0, ( IF(I7&gt;0,(I7-AD7)^2,0) + IF(J7&gt;0,(J7-AD7)^2,0) + IF(K7&gt;0,(K7-AD7)^2,0) ) / COUNT(I7:K7),"")</f>
        <v>14676.2222222222</v>
      </c>
      <c r="AF7" s="63" t="n">
        <f aca="false">IF(SUM(I7:K7)&gt;0,SQRT(AE7),"")</f>
        <v>121.145458941812</v>
      </c>
      <c r="AG7" s="63" t="n">
        <f aca="false">IF(COUNT(I7:K7)&gt;0,VLOOKUP(COUNT(I7:K7),$AX$2:$AZ$5,3)*(AF7/SQRT(COUNT(I7:K7))),"")</f>
        <v>300.966292413964</v>
      </c>
      <c r="AH7" s="63" t="n">
        <f aca="false">IF(COUNT(I7:K7)&gt;0,AD7-AG7,"")</f>
        <v>463.700374252703</v>
      </c>
      <c r="AI7" s="63" t="n">
        <f aca="false">IF(COUNT(I7:K7)&gt;0,AD7+AG7,"")</f>
        <v>1065.63295908063</v>
      </c>
      <c r="AJ7" s="64" t="n">
        <f aca="false">IF(COUNT(I7:K7)&gt;0,AF7/AD7,"")</f>
        <v>0.158429109339771</v>
      </c>
      <c r="AK7" s="65" t="n">
        <f aca="false">IF(SUM(L7:N7)&gt;0,AVERAGE(L7:N7),"")</f>
        <v>705.5</v>
      </c>
      <c r="AL7" s="66" t="n">
        <f aca="false">IF(SUM(L7:N7)&gt;0, ( IF(L7&gt;0,(L7-AK7)^2,0) + IF(M7&gt;0,(M7-AK7)^2,0) + IF(N7&gt;0,(N7-AK7)^2,0) ) / COUNT(L7:N7),"")</f>
        <v>6.25</v>
      </c>
      <c r="AM7" s="63" t="n">
        <f aca="false">IF(SUM(L7:N7)&gt;0,SQRT(AL7),"")</f>
        <v>2.5</v>
      </c>
      <c r="AN7" s="63" t="n">
        <f aca="false">IF(COUNT(L7:N7)&gt;0,VLOOKUP(COUNT(L7:N7),$AX$2:$AZ$5,3)*(AM7/SQRT(COUNT(L7:N7))),"")</f>
        <v>22.4612469043907</v>
      </c>
      <c r="AO7" s="63" t="n">
        <f aca="false">IF(COUNT(L7:N7)&gt;0,AK7-AN7,"")</f>
        <v>683.038753095609</v>
      </c>
      <c r="AP7" s="63" t="n">
        <f aca="false">IF(COUNT(L7:N7)&gt;0,AK7+AN7,"")</f>
        <v>727.961246904391</v>
      </c>
      <c r="AQ7" s="64" t="n">
        <f aca="false">IF(COUNT(L7:N7)&gt;0,AM7/AK7,"")</f>
        <v>0.00354358610914245</v>
      </c>
    </row>
    <row r="8" customFormat="false" ht="12.8" hidden="false" customHeight="false" outlineLevel="0" collapsed="false">
      <c r="A8" s="56" t="s">
        <v>31</v>
      </c>
      <c r="B8" s="57" t="n">
        <v>30</v>
      </c>
      <c r="C8" s="56" t="n">
        <v>767</v>
      </c>
      <c r="D8" s="25" t="n">
        <v>579</v>
      </c>
      <c r="E8" s="57" t="n">
        <v>588</v>
      </c>
      <c r="F8" s="58" t="n">
        <v>723</v>
      </c>
      <c r="G8" s="0" t="n">
        <v>509</v>
      </c>
      <c r="H8" s="59" t="n">
        <v>502</v>
      </c>
      <c r="I8" s="56" t="n">
        <v>540</v>
      </c>
      <c r="J8" s="0" t="n">
        <v>588</v>
      </c>
      <c r="K8" s="57" t="n">
        <v>479</v>
      </c>
      <c r="L8" s="56"/>
      <c r="M8" s="0" t="n">
        <v>579</v>
      </c>
      <c r="N8" s="57" t="n">
        <v>535</v>
      </c>
      <c r="O8" s="65" t="n">
        <f aca="false">IF(SUM(C8:E8)&gt;0,AVERAGE(C8:E8),"")</f>
        <v>644.666666666667</v>
      </c>
      <c r="P8" s="66" t="n">
        <f aca="false">IF(SUM(C8:E8)&gt;0, ( IF(C8&gt;0,(C8-O8)^2,0) + IF(D8&gt;0,(D8-O8)^2,0) + IF(E8&gt;0,(E8-O8)^2,0) ) / COUNT(C8:E8),"")</f>
        <v>7496.22222222222</v>
      </c>
      <c r="Q8" s="63" t="n">
        <f aca="false">IF(SUM(C8:E8)&gt;0,SQRT(P8),"")</f>
        <v>86.5807266210109</v>
      </c>
      <c r="R8" s="63" t="n">
        <f aca="false">IF(COUNT(C8:E8)&gt;0,VLOOKUP(COUNT(C8:E8),$AX$2:$AZ$5,3)*(Q8/SQRT(COUNT(C8:E8))),"")</f>
        <v>215.095807248942</v>
      </c>
      <c r="S8" s="63" t="n">
        <f aca="false">IF(COUNT(C8:E8)&gt;0,O8-R8,"")</f>
        <v>429.570859417725</v>
      </c>
      <c r="T8" s="63" t="n">
        <f aca="false">IF(COUNT(C8:E8)&gt;0,O8+R8,"")</f>
        <v>859.762473915609</v>
      </c>
      <c r="U8" s="64" t="n">
        <f aca="false">IF(COUNT(C8:E8)&gt;0,Q8/O8,"")</f>
        <v>0.134303091966408</v>
      </c>
      <c r="V8" s="65" t="n">
        <f aca="false">IF(SUM(F8:H8)&gt;0,AVERAGE(F8:H8),"")</f>
        <v>578</v>
      </c>
      <c r="W8" s="66" t="n">
        <f aca="false">IF(SUM(F8:H8)&gt;0, ( IF(F8&gt;0,(F8-V8)^2,0) + IF(G8&gt;0,(G8-V8)^2,0) + IF(H8&gt;0,(H8-V8)^2,0) ) / COUNT(F8:H8),"")</f>
        <v>10520.6666666667</v>
      </c>
      <c r="X8" s="63" t="n">
        <f aca="false">IF(SUM(F8:H8)&gt;0,SQRT(W8),"")</f>
        <v>102.570301094745</v>
      </c>
      <c r="Y8" s="63" t="n">
        <f aca="false">IF(COUNT(F8:H8)&gt;0,VLOOKUP(COUNT(F8:H8),$AX$2:$AZ$5,3)*(X8/SQRT(COUNT(F8:H8))),"")</f>
        <v>254.819318048866</v>
      </c>
      <c r="Z8" s="63" t="n">
        <f aca="false">IF(COUNT(F8:H8)&gt;0,V8-Y8,"")</f>
        <v>323.180681951135</v>
      </c>
      <c r="AA8" s="63" t="n">
        <f aca="false">IF(COUNT(F8:H8)&gt;0,V8+Y8,"")</f>
        <v>832.819318048866</v>
      </c>
      <c r="AB8" s="64" t="n">
        <f aca="false">IF(COUNT(F8:H8)&gt;0,X8/V8,"")</f>
        <v>0.177457268330009</v>
      </c>
      <c r="AC8" s="26"/>
      <c r="AD8" s="65" t="n">
        <f aca="false">IF(SUM(I8:K8)&gt;0,AVERAGE(I8:K8),"")</f>
        <v>535.666666666667</v>
      </c>
      <c r="AE8" s="66" t="n">
        <f aca="false">IF(SUM(I8:K8)&gt;0, ( IF(I8&gt;0,(I8-AD8)^2,0) + IF(J8&gt;0,(J8-AD8)^2,0) + IF(K8&gt;0,(K8-AD8)^2,0) ) / COUNT(I8:K8),"")</f>
        <v>1989.55555555556</v>
      </c>
      <c r="AF8" s="63" t="n">
        <f aca="false">IF(SUM(I8:K8)&gt;0,SQRT(AE8),"")</f>
        <v>44.6044342588891</v>
      </c>
      <c r="AG8" s="63" t="n">
        <f aca="false">IF(COUNT(I8:K8)&gt;0,VLOOKUP(COUNT(I8:K8),$AX$2:$AZ$5,3)*(AF8/SQRT(COUNT(I8:K8))),"")</f>
        <v>110.812500289988</v>
      </c>
      <c r="AH8" s="63" t="n">
        <f aca="false">IF(COUNT(I8:K8)&gt;0,AD8-AG8,"")</f>
        <v>424.854166376679</v>
      </c>
      <c r="AI8" s="63" t="n">
        <f aca="false">IF(COUNT(I8:K8)&gt;0,AD8+AG8,"")</f>
        <v>646.479166956654</v>
      </c>
      <c r="AJ8" s="64" t="n">
        <f aca="false">IF(COUNT(I8:K8)&gt;0,AF8/AD8,"")</f>
        <v>0.0832690123065757</v>
      </c>
      <c r="AK8" s="65" t="n">
        <f aca="false">IF(SUM(L8:N8)&gt;0,AVERAGE(L8:N8),"")</f>
        <v>557</v>
      </c>
      <c r="AL8" s="66" t="n">
        <f aca="false">IF(SUM(L8:N8)&gt;0, ( IF(L8&gt;0,(L8-AK8)^2,0) + IF(M8&gt;0,(M8-AK8)^2,0) + IF(N8&gt;0,(N8-AK8)^2,0) ) / COUNT(L8:N8),"")</f>
        <v>484</v>
      </c>
      <c r="AM8" s="63" t="n">
        <f aca="false">IF(SUM(L8:N8)&gt;0,SQRT(AL8),"")</f>
        <v>22</v>
      </c>
      <c r="AN8" s="63" t="n">
        <f aca="false">IF(COUNT(L8:N8)&gt;0,VLOOKUP(COUNT(L8:N8),$AX$2:$AZ$5,3)*(AM8/SQRT(COUNT(L8:N8))),"")</f>
        <v>197.658972758638</v>
      </c>
      <c r="AO8" s="63" t="n">
        <f aca="false">IF(COUNT(L8:N8)&gt;0,AK8-AN8,"")</f>
        <v>359.341027241362</v>
      </c>
      <c r="AP8" s="63" t="n">
        <f aca="false">IF(COUNT(L8:N8)&gt;0,AK8+AN8,"")</f>
        <v>754.658972758638</v>
      </c>
      <c r="AQ8" s="64" t="n">
        <f aca="false">IF(COUNT(L8:N8)&gt;0,AM8/AK8,"")</f>
        <v>0.0394973070017953</v>
      </c>
    </row>
    <row r="9" customFormat="false" ht="12.8" hidden="false" customHeight="false" outlineLevel="0" collapsed="false">
      <c r="A9" s="56" t="s">
        <v>31</v>
      </c>
      <c r="B9" s="57" t="n">
        <v>40</v>
      </c>
      <c r="C9" s="56" t="n">
        <v>481</v>
      </c>
      <c r="D9" s="25" t="n">
        <v>550</v>
      </c>
      <c r="E9" s="57" t="n">
        <v>469</v>
      </c>
      <c r="F9" s="58" t="n">
        <v>507</v>
      </c>
      <c r="G9" s="0" t="n">
        <v>462</v>
      </c>
      <c r="H9" s="59" t="n">
        <v>399</v>
      </c>
      <c r="I9" s="56" t="n">
        <v>435</v>
      </c>
      <c r="J9" s="0" t="n">
        <v>453</v>
      </c>
      <c r="K9" s="57" t="n">
        <v>404</v>
      </c>
      <c r="L9" s="56"/>
      <c r="M9" s="0" t="n">
        <v>561</v>
      </c>
      <c r="N9" s="57" t="n">
        <v>469</v>
      </c>
      <c r="O9" s="65" t="n">
        <f aca="false">IF(SUM(C9:E9)&gt;0,AVERAGE(C9:E9),"")</f>
        <v>500</v>
      </c>
      <c r="P9" s="66" t="n">
        <f aca="false">IF(SUM(C9:E9)&gt;0, ( IF(C9&gt;0,(C9-O9)^2,0) + IF(D9&gt;0,(D9-O9)^2,0) + IF(E9&gt;0,(E9-O9)^2,0) ) / COUNT(C9:E9),"")</f>
        <v>1274</v>
      </c>
      <c r="Q9" s="63" t="n">
        <f aca="false">IF(SUM(C9:E9)&gt;0,SQRT(P9),"")</f>
        <v>35.6931365951495</v>
      </c>
      <c r="R9" s="63" t="n">
        <f aca="false">IF(COUNT(C9:E9)&gt;0,VLOOKUP(COUNT(C9:E9),$AX$2:$AZ$5,3)*(Q9/SQRT(COUNT(C9:E9))),"")</f>
        <v>88.6738230182204</v>
      </c>
      <c r="S9" s="63" t="n">
        <f aca="false">IF(COUNT(C9:E9)&gt;0,O9-R9,"")</f>
        <v>411.32617698178</v>
      </c>
      <c r="T9" s="63" t="n">
        <f aca="false">IF(COUNT(C9:E9)&gt;0,O9+R9,"")</f>
        <v>588.67382301822</v>
      </c>
      <c r="U9" s="64" t="n">
        <f aca="false">IF(COUNT(C9:E9)&gt;0,Q9/O9,"")</f>
        <v>0.071386273190299</v>
      </c>
      <c r="V9" s="65" t="n">
        <f aca="false">IF(SUM(F9:H9)&gt;0,AVERAGE(F9:H9),"")</f>
        <v>456</v>
      </c>
      <c r="W9" s="66" t="n">
        <f aca="false">IF(SUM(F9:H9)&gt;0, ( IF(F9&gt;0,(F9-V9)^2,0) + IF(G9&gt;0,(G9-V9)^2,0) + IF(H9&gt;0,(H9-V9)^2,0) ) / COUNT(F9:H9),"")</f>
        <v>1962</v>
      </c>
      <c r="X9" s="63" t="n">
        <f aca="false">IF(SUM(F9:H9)&gt;0,SQRT(W9),"")</f>
        <v>44.2944691807002</v>
      </c>
      <c r="Y9" s="63" t="n">
        <f aca="false">IF(COUNT(F9:H9)&gt;0,VLOOKUP(COUNT(F9:H9),$AX$2:$AZ$5,3)*(X9/SQRT(COUNT(F9:H9))),"")</f>
        <v>110.042442202997</v>
      </c>
      <c r="Z9" s="63" t="n">
        <f aca="false">IF(COUNT(F9:H9)&gt;0,V9-Y9,"")</f>
        <v>345.957557797003</v>
      </c>
      <c r="AA9" s="63" t="n">
        <f aca="false">IF(COUNT(F9:H9)&gt;0,V9+Y9,"")</f>
        <v>566.042442202997</v>
      </c>
      <c r="AB9" s="64" t="n">
        <f aca="false">IF(COUNT(F9:H9)&gt;0,X9/V9,"")</f>
        <v>0.097136993817325</v>
      </c>
      <c r="AC9" s="26"/>
      <c r="AD9" s="65" t="n">
        <f aca="false">IF(SUM(I9:K9)&gt;0,AVERAGE(I9:K9),"")</f>
        <v>430.666666666667</v>
      </c>
      <c r="AE9" s="66" t="n">
        <f aca="false">IF(SUM(I9:K9)&gt;0, ( IF(I9&gt;0,(I9-AD9)^2,0) + IF(J9&gt;0,(J9-AD9)^2,0) + IF(K9&gt;0,(K9-AD9)^2,0) ) / COUNT(I9:K9),"")</f>
        <v>409.555555555556</v>
      </c>
      <c r="AF9" s="63" t="n">
        <f aca="false">IF(SUM(I9:K9)&gt;0,SQRT(AE9),"")</f>
        <v>20.2374789822141</v>
      </c>
      <c r="AG9" s="63" t="n">
        <f aca="false">IF(COUNT(I9:K9)&gt;0,VLOOKUP(COUNT(I9:K9),$AX$2:$AZ$5,3)*(AF9/SQRT(COUNT(I9:K9))),"")</f>
        <v>50.2767422756472</v>
      </c>
      <c r="AH9" s="63" t="n">
        <f aca="false">IF(COUNT(I9:K9)&gt;0,AD9-AG9,"")</f>
        <v>380.389924391019</v>
      </c>
      <c r="AI9" s="63" t="n">
        <f aca="false">IF(COUNT(I9:K9)&gt;0,AD9+AG9,"")</f>
        <v>480.943408942314</v>
      </c>
      <c r="AJ9" s="64" t="n">
        <f aca="false">IF(COUNT(I9:K9)&gt;0,AF9/AD9,"")</f>
        <v>0.0469910502682989</v>
      </c>
      <c r="AK9" s="65" t="n">
        <f aca="false">IF(SUM(L9:N9)&gt;0,AVERAGE(L9:N9),"")</f>
        <v>515</v>
      </c>
      <c r="AL9" s="66" t="n">
        <f aca="false">IF(SUM(L9:N9)&gt;0, ( IF(L9&gt;0,(L9-AK9)^2,0) + IF(M9&gt;0,(M9-AK9)^2,0) + IF(N9&gt;0,(N9-AK9)^2,0) ) / COUNT(L9:N9),"")</f>
        <v>2116</v>
      </c>
      <c r="AM9" s="63" t="n">
        <f aca="false">IF(SUM(L9:N9)&gt;0,SQRT(AL9),"")</f>
        <v>46</v>
      </c>
      <c r="AN9" s="63" t="n">
        <f aca="false">IF(COUNT(L9:N9)&gt;0,VLOOKUP(COUNT(L9:N9),$AX$2:$AZ$5,3)*(AM9/SQRT(COUNT(L9:N9))),"")</f>
        <v>413.286943040789</v>
      </c>
      <c r="AO9" s="63" t="n">
        <f aca="false">IF(COUNT(L9:N9)&gt;0,AK9-AN9,"")</f>
        <v>101.713056959211</v>
      </c>
      <c r="AP9" s="63" t="n">
        <f aca="false">IF(COUNT(L9:N9)&gt;0,AK9+AN9,"")</f>
        <v>928.286943040789</v>
      </c>
      <c r="AQ9" s="64" t="n">
        <f aca="false">IF(COUNT(L9:N9)&gt;0,AM9/AK9,"")</f>
        <v>0.0893203883495146</v>
      </c>
    </row>
    <row r="10" customFormat="false" ht="12.8" hidden="false" customHeight="false" outlineLevel="0" collapsed="false">
      <c r="A10" s="56" t="s">
        <v>31</v>
      </c>
      <c r="B10" s="57" t="n">
        <v>50</v>
      </c>
      <c r="C10" s="56" t="n">
        <v>423</v>
      </c>
      <c r="D10" s="25" t="n">
        <v>432</v>
      </c>
      <c r="E10" s="57" t="n">
        <v>361</v>
      </c>
      <c r="F10" s="58" t="n">
        <v>476</v>
      </c>
      <c r="G10" s="0" t="n">
        <v>405</v>
      </c>
      <c r="H10" s="59" t="n">
        <v>386</v>
      </c>
      <c r="I10" s="56" t="n">
        <v>380</v>
      </c>
      <c r="J10" s="0" t="n">
        <v>406</v>
      </c>
      <c r="K10" s="57" t="n">
        <v>318</v>
      </c>
      <c r="L10" s="56"/>
      <c r="M10" s="0" t="n">
        <v>464</v>
      </c>
      <c r="N10" s="57" t="n">
        <v>370</v>
      </c>
      <c r="O10" s="65" t="n">
        <f aca="false">IF(SUM(C10:E10)&gt;0,AVERAGE(C10:E10),"")</f>
        <v>405.333333333333</v>
      </c>
      <c r="P10" s="66" t="n">
        <f aca="false">IF(SUM(C10:E10)&gt;0, ( IF(C10&gt;0,(C10-O10)^2,0) + IF(D10&gt;0,(D10-O10)^2,0) + IF(E10&gt;0,(E10-O10)^2,0) ) / COUNT(C10:E10),"")</f>
        <v>996.222222222222</v>
      </c>
      <c r="Q10" s="63" t="n">
        <f aca="false">IF(SUM(C10:E10)&gt;0,SQRT(P10),"")</f>
        <v>31.5629881700422</v>
      </c>
      <c r="R10" s="63" t="n">
        <f aca="false">IF(COUNT(C10:E10)&gt;0,VLOOKUP(COUNT(C10:E10),$AX$2:$AZ$5,3)*(Q10/SQRT(COUNT(C10:E10))),"")</f>
        <v>78.4131374796814</v>
      </c>
      <c r="S10" s="63" t="n">
        <f aca="false">IF(COUNT(C10:E10)&gt;0,O10-R10,"")</f>
        <v>326.920195853652</v>
      </c>
      <c r="T10" s="63" t="n">
        <f aca="false">IF(COUNT(C10:E10)&gt;0,O10+R10,"")</f>
        <v>483.746470813015</v>
      </c>
      <c r="U10" s="64" t="n">
        <f aca="false">IF(COUNT(C10:E10)&gt;0,Q10/O10,"")</f>
        <v>0.0778692142353014</v>
      </c>
      <c r="V10" s="65" t="n">
        <f aca="false">IF(SUM(F10:H10)&gt;0,AVERAGE(F10:H10),"")</f>
        <v>422.333333333333</v>
      </c>
      <c r="W10" s="66" t="n">
        <f aca="false">IF(SUM(F10:H10)&gt;0, ( IF(F10&gt;0,(F10-V10)^2,0) + IF(G10&gt;0,(G10-V10)^2,0) + IF(H10&gt;0,(H10-V10)^2,0) ) / COUNT(F10:H10),"")</f>
        <v>1500.22222222222</v>
      </c>
      <c r="X10" s="63" t="n">
        <f aca="false">IF(SUM(F10:H10)&gt;0,SQRT(W10),"")</f>
        <v>38.7327022323801</v>
      </c>
      <c r="Y10" s="63" t="n">
        <f aca="false">IF(COUNT(F10:H10)&gt;0,VLOOKUP(COUNT(F10:H10),$AX$2:$AZ$5,3)*(X10/SQRT(COUNT(F10:H10))),"")</f>
        <v>96.2251320674979</v>
      </c>
      <c r="Z10" s="63" t="n">
        <f aca="false">IF(COUNT(F10:H10)&gt;0,V10-Y10,"")</f>
        <v>326.108201265835</v>
      </c>
      <c r="AA10" s="63" t="n">
        <f aca="false">IF(COUNT(F10:H10)&gt;0,V10+Y10,"")</f>
        <v>518.558465400831</v>
      </c>
      <c r="AB10" s="64" t="n">
        <f aca="false">IF(COUNT(F10:H10)&gt;0,X10/V10,"")</f>
        <v>0.0917112128627785</v>
      </c>
      <c r="AC10" s="26"/>
      <c r="AD10" s="65" t="n">
        <f aca="false">IF(SUM(I10:K10)&gt;0,AVERAGE(I10:K10),"")</f>
        <v>368</v>
      </c>
      <c r="AE10" s="66" t="n">
        <f aca="false">IF(SUM(I10:K10)&gt;0, ( IF(I10&gt;0,(I10-AD10)^2,0) + IF(J10&gt;0,(J10-AD10)^2,0) + IF(K10&gt;0,(K10-AD10)^2,0) ) / COUNT(I10:K10),"")</f>
        <v>1362.66666666667</v>
      </c>
      <c r="AF10" s="63" t="n">
        <f aca="false">IF(SUM(I10:K10)&gt;0,SQRT(AE10),"")</f>
        <v>36.9143151997523</v>
      </c>
      <c r="AG10" s="63" t="n">
        <f aca="false">IF(COUNT(I10:K10)&gt;0,VLOOKUP(COUNT(I10:K10),$AX$2:$AZ$5,3)*(AF10/SQRT(COUNT(I10:K10))),"")</f>
        <v>91.7076436848218</v>
      </c>
      <c r="AH10" s="63" t="n">
        <f aca="false">IF(COUNT(I10:K10)&gt;0,AD10-AG10,"")</f>
        <v>276.292356315178</v>
      </c>
      <c r="AI10" s="63" t="n">
        <f aca="false">IF(COUNT(I10:K10)&gt;0,AD10+AG10,"")</f>
        <v>459.707643684822</v>
      </c>
      <c r="AJ10" s="64" t="n">
        <f aca="false">IF(COUNT(I10:K10)&gt;0,AF10/AD10,"")</f>
        <v>0.100310639129762</v>
      </c>
      <c r="AK10" s="65" t="n">
        <f aca="false">IF(SUM(L10:N10)&gt;0,AVERAGE(L10:N10),"")</f>
        <v>417</v>
      </c>
      <c r="AL10" s="66" t="n">
        <f aca="false">IF(SUM(L10:N10)&gt;0, ( IF(L10&gt;0,(L10-AK10)^2,0) + IF(M10&gt;0,(M10-AK10)^2,0) + IF(N10&gt;0,(N10-AK10)^2,0) ) / COUNT(L10:N10),"")</f>
        <v>2209</v>
      </c>
      <c r="AM10" s="63" t="n">
        <f aca="false">IF(SUM(L10:N10)&gt;0,SQRT(AL10),"")</f>
        <v>47</v>
      </c>
      <c r="AN10" s="63" t="n">
        <f aca="false">IF(COUNT(L10:N10)&gt;0,VLOOKUP(COUNT(L10:N10),$AX$2:$AZ$5,3)*(AM10/SQRT(COUNT(L10:N10))),"")</f>
        <v>422.271441802545</v>
      </c>
      <c r="AO10" s="63" t="n">
        <f aca="false">IF(COUNT(L10:N10)&gt;0,AK10-AN10,"")</f>
        <v>-5.27144180254481</v>
      </c>
      <c r="AP10" s="63" t="n">
        <f aca="false">IF(COUNT(L10:N10)&gt;0,AK10+AN10,"")</f>
        <v>839.271441802545</v>
      </c>
      <c r="AQ10" s="64" t="n">
        <f aca="false">IF(COUNT(L10:N10)&gt;0,AM10/AK10,"")</f>
        <v>0.112709832134293</v>
      </c>
    </row>
    <row r="11" customFormat="false" ht="12.8" hidden="false" customHeight="false" outlineLevel="0" collapsed="false">
      <c r="A11" s="56" t="s">
        <v>31</v>
      </c>
      <c r="B11" s="57" t="n">
        <v>64</v>
      </c>
      <c r="C11" s="56" t="n">
        <v>393</v>
      </c>
      <c r="D11" s="25" t="n">
        <v>383</v>
      </c>
      <c r="E11" s="57" t="n">
        <v>390</v>
      </c>
      <c r="F11" s="58" t="n">
        <v>355</v>
      </c>
      <c r="G11" s="0" t="n">
        <v>331</v>
      </c>
      <c r="H11" s="59" t="n">
        <v>336</v>
      </c>
      <c r="I11" s="56" t="n">
        <v>357</v>
      </c>
      <c r="J11" s="0" t="n">
        <v>455</v>
      </c>
      <c r="K11" s="57" t="n">
        <v>291</v>
      </c>
      <c r="L11" s="56"/>
      <c r="M11" s="0" t="n">
        <v>356</v>
      </c>
      <c r="N11" s="57" t="n">
        <v>315</v>
      </c>
      <c r="O11" s="65" t="n">
        <f aca="false">IF(SUM(C11:E11)&gt;0,AVERAGE(C11:E11),"")</f>
        <v>388.666666666667</v>
      </c>
      <c r="P11" s="66" t="n">
        <f aca="false">IF(SUM(C11:E11)&gt;0, ( IF(C11&gt;0,(C11-O11)^2,0) + IF(D11&gt;0,(D11-O11)^2,0) + IF(E11&gt;0,(E11-O11)^2,0) ) / COUNT(C11:E11),"")</f>
        <v>17.5555555555556</v>
      </c>
      <c r="Q11" s="63" t="n">
        <f aca="false">IF(SUM(C11:E11)&gt;0,SQRT(P11),"")</f>
        <v>4.18993502999218</v>
      </c>
      <c r="R11" s="63" t="n">
        <f aca="false">IF(COUNT(C11:E11)&gt;0,VLOOKUP(COUNT(C11:E11),$AX$2:$AZ$5,3)*(Q11/SQRT(COUNT(C11:E11))),"")</f>
        <v>10.4092156854004</v>
      </c>
      <c r="S11" s="63" t="n">
        <f aca="false">IF(COUNT(C11:E11)&gt;0,O11-R11,"")</f>
        <v>378.257450981266</v>
      </c>
      <c r="T11" s="63" t="n">
        <f aca="false">IF(COUNT(C11:E11)&gt;0,O11+R11,"")</f>
        <v>399.075882352067</v>
      </c>
      <c r="U11" s="64" t="n">
        <f aca="false">IF(COUNT(C11:E11)&gt;0,Q11/O11,"")</f>
        <v>0.0107802788078701</v>
      </c>
      <c r="V11" s="65" t="n">
        <f aca="false">IF(SUM(F11:H11)&gt;0,AVERAGE(F11:H11),"")</f>
        <v>340.666666666667</v>
      </c>
      <c r="W11" s="66" t="n">
        <f aca="false">IF(SUM(F11:H11)&gt;0, ( IF(F11&gt;0,(F11-V11)^2,0) + IF(G11&gt;0,(G11-V11)^2,0) + IF(H11&gt;0,(H11-V11)^2,0) ) / COUNT(F11:H11),"")</f>
        <v>106.888888888889</v>
      </c>
      <c r="X11" s="63" t="n">
        <f aca="false">IF(SUM(F11:H11)&gt;0,SQRT(W11),"")</f>
        <v>10.3387082795139</v>
      </c>
      <c r="Y11" s="63" t="n">
        <f aca="false">IF(COUNT(F11:H11)&gt;0,VLOOKUP(COUNT(F11:H11),$AX$2:$AZ$5,3)*(X11/SQRT(COUNT(F11:H11))),"")</f>
        <v>25.6848480035013</v>
      </c>
      <c r="Z11" s="63" t="n">
        <f aca="false">IF(COUNT(F11:H11)&gt;0,V11-Y11,"")</f>
        <v>314.981818663165</v>
      </c>
      <c r="AA11" s="63" t="n">
        <f aca="false">IF(COUNT(F11:H11)&gt;0,V11+Y11,"")</f>
        <v>366.351514670168</v>
      </c>
      <c r="AB11" s="64" t="n">
        <f aca="false">IF(COUNT(F11:H11)&gt;0,X11/V11,"")</f>
        <v>0.0303484587461269</v>
      </c>
      <c r="AC11" s="26"/>
      <c r="AD11" s="65" t="n">
        <f aca="false">IF(SUM(I11:K11)&gt;0,AVERAGE(I11:K11),"")</f>
        <v>367.666666666667</v>
      </c>
      <c r="AE11" s="66" t="n">
        <f aca="false">IF(SUM(I11:K11)&gt;0, ( IF(I11&gt;0,(I11-AD11)^2,0) + IF(J11&gt;0,(J11-AD11)^2,0) + IF(K11&gt;0,(K11-AD11)^2,0) ) / COUNT(I11:K11),"")</f>
        <v>4539.55555555556</v>
      </c>
      <c r="AF11" s="63" t="n">
        <f aca="false">IF(SUM(I11:K11)&gt;0,SQRT(AE11),"")</f>
        <v>67.3762239633207</v>
      </c>
      <c r="AG11" s="63" t="n">
        <f aca="false">IF(COUNT(I11:K11)&gt;0,VLOOKUP(COUNT(I11:K11),$AX$2:$AZ$5,3)*(AF11/SQRT(COUNT(I11:K11))),"")</f>
        <v>167.385327524603</v>
      </c>
      <c r="AH11" s="63" t="n">
        <f aca="false">IF(COUNT(I11:K11)&gt;0,AD11-AG11,"")</f>
        <v>200.281339142064</v>
      </c>
      <c r="AI11" s="63" t="n">
        <f aca="false">IF(COUNT(I11:K11)&gt;0,AD11+AG11,"")</f>
        <v>535.051994191269</v>
      </c>
      <c r="AJ11" s="64" t="n">
        <f aca="false">IF(COUNT(I11:K11)&gt;0,AF11/AD11,"")</f>
        <v>0.183253555657264</v>
      </c>
      <c r="AK11" s="65" t="n">
        <f aca="false">IF(SUM(L11:N11)&gt;0,AVERAGE(L11:N11),"")</f>
        <v>335.5</v>
      </c>
      <c r="AL11" s="66" t="n">
        <f aca="false">IF(SUM(L11:N11)&gt;0, ( IF(L11&gt;0,(L11-AK11)^2,0) + IF(M11&gt;0,(M11-AK11)^2,0) + IF(N11&gt;0,(N11-AK11)^2,0) ) / COUNT(L11:N11),"")</f>
        <v>420.25</v>
      </c>
      <c r="AM11" s="63" t="n">
        <f aca="false">IF(SUM(L11:N11)&gt;0,SQRT(AL11),"")</f>
        <v>20.5</v>
      </c>
      <c r="AN11" s="63" t="n">
        <f aca="false">IF(COUNT(L11:N11)&gt;0,VLOOKUP(COUNT(L11:N11),$AX$2:$AZ$5,3)*(AM11/SQRT(COUNT(L11:N11))),"")</f>
        <v>184.182224616004</v>
      </c>
      <c r="AO11" s="63" t="n">
        <f aca="false">IF(COUNT(L11:N11)&gt;0,AK11-AN11,"")</f>
        <v>151.317775383996</v>
      </c>
      <c r="AP11" s="63" t="n">
        <f aca="false">IF(COUNT(L11:N11)&gt;0,AK11+AN11,"")</f>
        <v>519.682224616004</v>
      </c>
      <c r="AQ11" s="64" t="n">
        <f aca="false">IF(COUNT(L11:N11)&gt;0,AM11/AK11,"")</f>
        <v>0.0611028315946349</v>
      </c>
    </row>
    <row r="12" customFormat="false" ht="12.8" hidden="false" customHeight="false" outlineLevel="0" collapsed="false">
      <c r="A12" s="56" t="s">
        <v>31</v>
      </c>
      <c r="B12" s="57" t="n">
        <v>82</v>
      </c>
      <c r="C12" s="56" t="n">
        <v>347</v>
      </c>
      <c r="D12" s="25" t="n">
        <v>392</v>
      </c>
      <c r="E12" s="57" t="n">
        <v>351</v>
      </c>
      <c r="F12" s="58" t="n">
        <v>345</v>
      </c>
      <c r="G12" s="0" t="n">
        <v>277</v>
      </c>
      <c r="H12" s="59" t="n">
        <v>291</v>
      </c>
      <c r="I12" s="56" t="n">
        <v>299</v>
      </c>
      <c r="J12" s="0" t="n">
        <v>294</v>
      </c>
      <c r="K12" s="57" t="n">
        <v>284</v>
      </c>
      <c r="L12" s="56"/>
      <c r="M12" s="0" t="n">
        <v>358</v>
      </c>
      <c r="N12" s="57" t="n">
        <v>321</v>
      </c>
      <c r="O12" s="65" t="n">
        <f aca="false">IF(SUM(C12:E12)&gt;0,AVERAGE(C12:E12),"")</f>
        <v>363.333333333333</v>
      </c>
      <c r="P12" s="66" t="n">
        <f aca="false">IF(SUM(C12:E12)&gt;0, ( IF(C12&gt;0,(C12-O12)^2,0) + IF(D12&gt;0,(D12-O12)^2,0) + IF(E12&gt;0,(E12-O12)^2,0) ) / COUNT(C12:E12),"")</f>
        <v>413.555555555556</v>
      </c>
      <c r="Q12" s="63" t="n">
        <f aca="false">IF(SUM(C12:E12)&gt;0,SQRT(P12),"")</f>
        <v>20.3360653902262</v>
      </c>
      <c r="R12" s="63" t="n">
        <f aca="false">IF(COUNT(C12:E12)&gt;0,VLOOKUP(COUNT(C12:E12),$AX$2:$AZ$5,3)*(Q12/SQRT(COUNT(C12:E12))),"")</f>
        <v>50.5216642558931</v>
      </c>
      <c r="S12" s="63" t="n">
        <f aca="false">IF(COUNT(C12:E12)&gt;0,O12-R12,"")</f>
        <v>312.81166907744</v>
      </c>
      <c r="T12" s="63" t="n">
        <f aca="false">IF(COUNT(C12:E12)&gt;0,O12+R12,"")</f>
        <v>413.854997589226</v>
      </c>
      <c r="U12" s="64" t="n">
        <f aca="false">IF(COUNT(C12:E12)&gt;0,Q12/O12,"")</f>
        <v>0.0559708221749345</v>
      </c>
      <c r="V12" s="65" t="n">
        <f aca="false">IF(SUM(F12:H12)&gt;0,AVERAGE(F12:H12),"")</f>
        <v>304.333333333333</v>
      </c>
      <c r="W12" s="66" t="n">
        <f aca="false">IF(SUM(F12:H12)&gt;0, ( IF(F12&gt;0,(F12-V12)^2,0) + IF(G12&gt;0,(G12-V12)^2,0) + IF(H12&gt;0,(H12-V12)^2,0) ) / COUNT(F12:H12),"")</f>
        <v>859.555555555556</v>
      </c>
      <c r="X12" s="63" t="n">
        <f aca="false">IF(SUM(F12:H12)&gt;0,SQRT(W12),"")</f>
        <v>29.3181779030614</v>
      </c>
      <c r="Y12" s="63" t="n">
        <f aca="false">IF(COUNT(F12:H12)&gt;0,VLOOKUP(COUNT(F12:H12),$AX$2:$AZ$5,3)*(X12/SQRT(COUNT(F12:H12))),"")</f>
        <v>72.8362695629853</v>
      </c>
      <c r="Z12" s="63" t="n">
        <f aca="false">IF(COUNT(F12:H12)&gt;0,V12-Y12,"")</f>
        <v>231.497063770348</v>
      </c>
      <c r="AA12" s="63" t="n">
        <f aca="false">IF(COUNT(F12:H12)&gt;0,V12+Y12,"")</f>
        <v>377.169602896319</v>
      </c>
      <c r="AB12" s="64" t="n">
        <f aca="false">IF(COUNT(F12:H12)&gt;0,X12/V12,"")</f>
        <v>0.0963357433835532</v>
      </c>
      <c r="AC12" s="26"/>
      <c r="AD12" s="65" t="n">
        <f aca="false">IF(SUM(I12:K12)&gt;0,AVERAGE(I12:K12),"")</f>
        <v>292.333333333333</v>
      </c>
      <c r="AE12" s="66" t="n">
        <f aca="false">IF(SUM(I12:K12)&gt;0, ( IF(I12&gt;0,(I12-AD12)^2,0) + IF(J12&gt;0,(J12-AD12)^2,0) + IF(K12&gt;0,(K12-AD12)^2,0) ) / COUNT(I12:K12),"")</f>
        <v>38.8888888888889</v>
      </c>
      <c r="AF12" s="63" t="n">
        <f aca="false">IF(SUM(I12:K12)&gt;0,SQRT(AE12),"")</f>
        <v>6.23609564462324</v>
      </c>
      <c r="AG12" s="63" t="n">
        <f aca="false">IF(COUNT(I12:K12)&gt;0,VLOOKUP(COUNT(I12:K12),$AX$2:$AZ$5,3)*(AF12/SQRT(COUNT(I12:K12))),"")</f>
        <v>15.4925706806939</v>
      </c>
      <c r="AH12" s="63" t="n">
        <f aca="false">IF(COUNT(I12:K12)&gt;0,AD12-AG12,"")</f>
        <v>276.840762652639</v>
      </c>
      <c r="AI12" s="63" t="n">
        <f aca="false">IF(COUNT(I12:K12)&gt;0,AD12+AG12,"")</f>
        <v>307.825904014027</v>
      </c>
      <c r="AJ12" s="64" t="n">
        <f aca="false">IF(COUNT(I12:K12)&gt;0,AF12/AD12,"")</f>
        <v>0.0213321401754501</v>
      </c>
      <c r="AK12" s="65" t="n">
        <f aca="false">IF(SUM(L12:N12)&gt;0,AVERAGE(L12:N12),"")</f>
        <v>339.5</v>
      </c>
      <c r="AL12" s="66" t="n">
        <f aca="false">IF(SUM(L12:N12)&gt;0, ( IF(L12&gt;0,(L12-AK12)^2,0) + IF(M12&gt;0,(M12-AK12)^2,0) + IF(N12&gt;0,(N12-AK12)^2,0) ) / COUNT(L12:N12),"")</f>
        <v>342.25</v>
      </c>
      <c r="AM12" s="63" t="n">
        <f aca="false">IF(SUM(L12:N12)&gt;0,SQRT(AL12),"")</f>
        <v>18.5</v>
      </c>
      <c r="AN12" s="63" t="n">
        <f aca="false">IF(COUNT(L12:N12)&gt;0,VLOOKUP(COUNT(L12:N12),$AX$2:$AZ$5,3)*(AM12/SQRT(COUNT(L12:N12))),"")</f>
        <v>166.213227092491</v>
      </c>
      <c r="AO12" s="63" t="n">
        <f aca="false">IF(COUNT(L12:N12)&gt;0,AK12-AN12,"")</f>
        <v>173.286772907509</v>
      </c>
      <c r="AP12" s="63" t="n">
        <f aca="false">IF(COUNT(L12:N12)&gt;0,AK12+AN12,"")</f>
        <v>505.713227092491</v>
      </c>
      <c r="AQ12" s="64" t="n">
        <f aca="false">IF(COUNT(L12:N12)&gt;0,AM12/AK12,"")</f>
        <v>0.0544918998527246</v>
      </c>
    </row>
    <row r="13" customFormat="false" ht="12.8" hidden="false" customHeight="false" outlineLevel="0" collapsed="false">
      <c r="A13" s="56" t="s">
        <v>31</v>
      </c>
      <c r="B13" s="57" t="n">
        <v>100</v>
      </c>
      <c r="C13" s="56" t="n">
        <v>266</v>
      </c>
      <c r="D13" s="25" t="n">
        <v>280</v>
      </c>
      <c r="E13" s="57" t="n">
        <v>289</v>
      </c>
      <c r="F13" s="58" t="n">
        <v>258</v>
      </c>
      <c r="G13" s="0" t="n">
        <v>313</v>
      </c>
      <c r="H13" s="59" t="n">
        <v>231</v>
      </c>
      <c r="I13" s="56" t="n">
        <v>279</v>
      </c>
      <c r="K13" s="57"/>
      <c r="L13" s="56"/>
      <c r="M13" s="0" t="n">
        <v>270</v>
      </c>
      <c r="N13" s="57" t="n">
        <v>279</v>
      </c>
      <c r="O13" s="65" t="n">
        <f aca="false">IF(SUM(C13:E13)&gt;0,AVERAGE(C13:E13),"")</f>
        <v>278.333333333333</v>
      </c>
      <c r="P13" s="66" t="n">
        <f aca="false">IF(SUM(C13:E13)&gt;0, ( IF(C13&gt;0,(C13-O13)^2,0) + IF(D13&gt;0,(D13-O13)^2,0) + IF(E13&gt;0,(E13-O13)^2,0) ) / COUNT(C13:E13),"")</f>
        <v>89.5555555555555</v>
      </c>
      <c r="Q13" s="63" t="n">
        <f aca="false">IF(SUM(C13:E13)&gt;0,SQRT(P13),"")</f>
        <v>9.46337971105226</v>
      </c>
      <c r="R13" s="63" t="n">
        <f aca="false">IF(COUNT(C13:E13)&gt;0,VLOOKUP(COUNT(C13:E13),$AX$2:$AZ$5,3)*(Q13/SQRT(COUNT(C13:E13))),"")</f>
        <v>23.5102357960354</v>
      </c>
      <c r="S13" s="63" t="n">
        <f aca="false">IF(COUNT(C13:E13)&gt;0,O13-R13,"")</f>
        <v>254.823097537298</v>
      </c>
      <c r="T13" s="63" t="n">
        <f aca="false">IF(COUNT(C13:E13)&gt;0,O13+R13,"")</f>
        <v>301.843569129369</v>
      </c>
      <c r="U13" s="64" t="n">
        <f aca="false">IF(COUNT(C13:E13)&gt;0,Q13/O13,"")</f>
        <v>0.0340001666265351</v>
      </c>
      <c r="V13" s="65" t="n">
        <f aca="false">IF(SUM(F13:H13)&gt;0,AVERAGE(F13:H13),"")</f>
        <v>267.333333333333</v>
      </c>
      <c r="W13" s="66" t="n">
        <f aca="false">IF(SUM(F13:H13)&gt;0, ( IF(F13&gt;0,(F13-V13)^2,0) + IF(G13&gt;0,(G13-V13)^2,0) + IF(H13&gt;0,(H13-V13)^2,0) ) / COUNT(F13:H13),"")</f>
        <v>1164.22222222222</v>
      </c>
      <c r="X13" s="63" t="n">
        <f aca="false">IF(SUM(F13:H13)&gt;0,SQRT(W13),"")</f>
        <v>34.1207007873845</v>
      </c>
      <c r="Y13" s="63" t="n">
        <f aca="false">IF(COUNT(F13:H13)&gt;0,VLOOKUP(COUNT(F13:H13),$AX$2:$AZ$5,3)*(X13/SQRT(COUNT(F13:H13))),"")</f>
        <v>84.7673606608547</v>
      </c>
      <c r="Z13" s="63" t="n">
        <f aca="false">IF(COUNT(F13:H13)&gt;0,V13-Y13,"")</f>
        <v>182.565972672479</v>
      </c>
      <c r="AA13" s="63" t="n">
        <f aca="false">IF(COUNT(F13:H13)&gt;0,V13+Y13,"")</f>
        <v>352.100693994188</v>
      </c>
      <c r="AB13" s="64" t="n">
        <f aca="false">IF(COUNT(F13:H13)&gt;0,X13/V13,"")</f>
        <v>0.127633544092461</v>
      </c>
      <c r="AC13" s="26"/>
      <c r="AD13" s="65" t="n">
        <f aca="false">IF(SUM(I13:K13)&gt;0,AVERAGE(I13:K13),"")</f>
        <v>279</v>
      </c>
      <c r="AE13" s="66" t="n">
        <f aca="false">IF(SUM(I13:K13)&gt;0, ( IF(I13&gt;0,(I13-AD13)^2,0) + IF(J13&gt;0,(J13-AD13)^2,0) + IF(K13&gt;0,(K13-AD13)^2,0) ) / COUNT(I13:K13),"")</f>
        <v>0</v>
      </c>
      <c r="AF13" s="63" t="n">
        <f aca="false">IF(SUM(I13:K13)&gt;0,SQRT(AE13),"")</f>
        <v>0</v>
      </c>
      <c r="AG13" s="63" t="n">
        <f aca="false">IF(COUNT(I13:K13)&gt;0,VLOOKUP(COUNT(I13:K13),$AX$2:$AZ$5,3)*(AF13/SQRT(COUNT(I13:K13))),"")</f>
        <v>0</v>
      </c>
      <c r="AH13" s="63" t="n">
        <f aca="false">IF(COUNT(I13:K13)&gt;0,AD13-AG13,"")</f>
        <v>279</v>
      </c>
      <c r="AI13" s="63" t="n">
        <f aca="false">IF(COUNT(I13:K13)&gt;0,AD13+AG13,"")</f>
        <v>279</v>
      </c>
      <c r="AJ13" s="64" t="n">
        <f aca="false">IF(COUNT(I13:K13)&gt;0,AF13/AD13,"")</f>
        <v>0</v>
      </c>
      <c r="AK13" s="65" t="n">
        <f aca="false">IF(SUM(L13:N13)&gt;0,AVERAGE(L13:N13),"")</f>
        <v>274.5</v>
      </c>
      <c r="AL13" s="66" t="n">
        <f aca="false">IF(SUM(L13:N13)&gt;0, ( IF(L13&gt;0,(L13-AK13)^2,0) + IF(M13&gt;0,(M13-AK13)^2,0) + IF(N13&gt;0,(N13-AK13)^2,0) ) / COUNT(L13:N13),"")</f>
        <v>20.25</v>
      </c>
      <c r="AM13" s="63" t="n">
        <f aca="false">IF(SUM(L13:N13)&gt;0,SQRT(AL13),"")</f>
        <v>4.5</v>
      </c>
      <c r="AN13" s="63" t="n">
        <f aca="false">IF(COUNT(L13:N13)&gt;0,VLOOKUP(COUNT(L13:N13),$AX$2:$AZ$5,3)*(AM13/SQRT(COUNT(L13:N13))),"")</f>
        <v>40.4302444279032</v>
      </c>
      <c r="AO13" s="63" t="n">
        <f aca="false">IF(COUNT(L13:N13)&gt;0,AK13-AN13,"")</f>
        <v>234.069755572097</v>
      </c>
      <c r="AP13" s="63" t="n">
        <f aca="false">IF(COUNT(L13:N13)&gt;0,AK13+AN13,"")</f>
        <v>314.930244427903</v>
      </c>
      <c r="AQ13" s="64" t="n">
        <f aca="false">IF(COUNT(L13:N13)&gt;0,AM13/AK13,"")</f>
        <v>0.0163934426229508</v>
      </c>
    </row>
    <row r="14" customFormat="false" ht="12.8" hidden="false" customHeight="false" outlineLevel="0" collapsed="false">
      <c r="A14" s="56" t="s">
        <v>32</v>
      </c>
      <c r="B14" s="57" t="n">
        <v>5</v>
      </c>
      <c r="C14" s="56"/>
      <c r="D14" s="25"/>
      <c r="E14" s="57"/>
      <c r="F14" s="58"/>
      <c r="H14" s="59"/>
      <c r="I14" s="56"/>
      <c r="K14" s="57" t="n">
        <v>1791</v>
      </c>
      <c r="L14" s="56"/>
      <c r="N14" s="57"/>
      <c r="O14" s="65" t="str">
        <f aca="false">IF(SUM(C14:E14)&gt;0,AVERAGE(C14:E14),"")</f>
        <v/>
      </c>
      <c r="P14" s="66" t="str">
        <f aca="false">IF(SUM(C14:E14)&gt;0, ( IF(C14&gt;0,(C14-O14)^2,0) + IF(D14&gt;0,(D14-O14)^2,0) + IF(E14&gt;0,(E14-O14)^2,0) ) / COUNT(C14:E14),"")</f>
        <v/>
      </c>
      <c r="Q14" s="63" t="str">
        <f aca="false">IF(SUM(C14:E14)&gt;0,SQRT(P14),"")</f>
        <v/>
      </c>
      <c r="R14" s="63" t="str">
        <f aca="false">IF(COUNT(C14:E14)&gt;0,VLOOKUP(COUNT(C14:E14),$AX$2:$AZ$5,3)*(Q14/SQRT(COUNT(C14:E14))),"")</f>
        <v/>
      </c>
      <c r="S14" s="63" t="str">
        <f aca="false">IF(COUNT(C14:E14)&gt;0,O14-R14,"")</f>
        <v/>
      </c>
      <c r="T14" s="63" t="str">
        <f aca="false">IF(COUNT(C14:E14)&gt;0,O14+R14,"")</f>
        <v/>
      </c>
      <c r="U14" s="64" t="str">
        <f aca="false">IF(COUNT(C14:E14)&gt;0,Q14/O14,"")</f>
        <v/>
      </c>
      <c r="V14" s="65" t="str">
        <f aca="false">IF(SUM(F14:H14)&gt;0,AVERAGE(F14:H14),"")</f>
        <v/>
      </c>
      <c r="W14" s="66" t="str">
        <f aca="false">IF(SUM(F14:H14)&gt;0, ( IF(F14&gt;0,(F14-V14)^2,0) + IF(G14&gt;0,(G14-V14)^2,0) + IF(H14&gt;0,(H14-V14)^2,0) ) / COUNT(F14:H14),"")</f>
        <v/>
      </c>
      <c r="X14" s="63" t="str">
        <f aca="false">IF(SUM(F14:H14)&gt;0,SQRT(W14),"")</f>
        <v/>
      </c>
      <c r="Y14" s="63" t="str">
        <f aca="false">IF(COUNT(F14:H14)&gt;0,VLOOKUP(COUNT(F14:H14),$AX$2:$AZ$5,3)*(X14/SQRT(COUNT(F14:H14))),"")</f>
        <v/>
      </c>
      <c r="Z14" s="63" t="str">
        <f aca="false">IF(COUNT(F14:H14)&gt;0,V14-Y14,"")</f>
        <v/>
      </c>
      <c r="AA14" s="63" t="str">
        <f aca="false">IF(COUNT(F14:H14)&gt;0,V14+Y14,"")</f>
        <v/>
      </c>
      <c r="AB14" s="64" t="str">
        <f aca="false">IF(COUNT(F14:H14)&gt;0,X14/V14,"")</f>
        <v/>
      </c>
      <c r="AC14" s="26"/>
      <c r="AD14" s="65" t="n">
        <f aca="false">IF(SUM(I14:K14)&gt;0,AVERAGE(I14:K14),"")</f>
        <v>1791</v>
      </c>
      <c r="AE14" s="66" t="n">
        <f aca="false">IF(SUM(I14:K14)&gt;0, ( IF(I14&gt;0,(I14-AD14)^2,0) + IF(J14&gt;0,(J14-AD14)^2,0) + IF(K14&gt;0,(K14-AD14)^2,0) ) / COUNT(I14:K14),"")</f>
        <v>0</v>
      </c>
      <c r="AF14" s="63" t="n">
        <f aca="false">IF(SUM(I14:K14)&gt;0,SQRT(AE14),"")</f>
        <v>0</v>
      </c>
      <c r="AG14" s="63" t="n">
        <f aca="false">IF(COUNT(I14:K14)&gt;0,VLOOKUP(COUNT(I14:K14),$AX$2:$AZ$5,3)*(AF14/SQRT(COUNT(I14:K14))),"")</f>
        <v>0</v>
      </c>
      <c r="AH14" s="63" t="n">
        <f aca="false">IF(COUNT(I14:K14)&gt;0,AD14-AG14,"")</f>
        <v>1791</v>
      </c>
      <c r="AI14" s="63" t="n">
        <f aca="false">IF(COUNT(I14:K14)&gt;0,AD14+AG14,"")</f>
        <v>1791</v>
      </c>
      <c r="AJ14" s="64" t="n">
        <f aca="false">IF(COUNT(I14:K14)&gt;0,AF14/AD14,"")</f>
        <v>0</v>
      </c>
      <c r="AK14" s="65" t="str">
        <f aca="false">IF(SUM(L14:N14)&gt;0,AVERAGE(L14:N14),"")</f>
        <v/>
      </c>
      <c r="AL14" s="66" t="str">
        <f aca="false">IF(SUM(L14:N14)&gt;0, ( IF(L14&gt;0,(L14-AK14)^2,0) + IF(M14&gt;0,(M14-AK14)^2,0) + IF(N14&gt;0,(N14-AK14)^2,0) ) / COUNT(L14:N14),"")</f>
        <v/>
      </c>
      <c r="AM14" s="63" t="str">
        <f aca="false">IF(SUM(L14:N14)&gt;0,SQRT(AL14),"")</f>
        <v/>
      </c>
      <c r="AN14" s="63" t="str">
        <f aca="false">IF(COUNT(L14:N14)&gt;0,VLOOKUP(COUNT(L14:N14),$AX$2:$AZ$5,3)*(AM14/SQRT(COUNT(L14:N14))),"")</f>
        <v/>
      </c>
      <c r="AO14" s="63" t="str">
        <f aca="false">IF(COUNT(L14:N14)&gt;0,AK14-AN14,"")</f>
        <v/>
      </c>
      <c r="AP14" s="63" t="str">
        <f aca="false">IF(COUNT(L14:N14)&gt;0,AK14+AN14,"")</f>
        <v/>
      </c>
      <c r="AQ14" s="64" t="str">
        <f aca="false">IF(COUNT(L14:N14)&gt;0,AM14/AK14,"")</f>
        <v/>
      </c>
    </row>
    <row r="15" customFormat="false" ht="12.8" hidden="false" customHeight="false" outlineLevel="0" collapsed="false">
      <c r="A15" s="56" t="s">
        <v>32</v>
      </c>
      <c r="B15" s="57" t="n">
        <v>10</v>
      </c>
      <c r="C15" s="56" t="n">
        <v>1647</v>
      </c>
      <c r="D15" s="25" t="n">
        <v>1394</v>
      </c>
      <c r="E15" s="57" t="n">
        <v>1740</v>
      </c>
      <c r="F15" s="58" t="n">
        <v>1291</v>
      </c>
      <c r="H15" s="59" t="n">
        <v>1461</v>
      </c>
      <c r="I15" s="56" t="n">
        <v>1353</v>
      </c>
      <c r="J15" s="0" t="n">
        <v>1392</v>
      </c>
      <c r="K15" s="57" t="n">
        <v>1402</v>
      </c>
      <c r="L15" s="56"/>
      <c r="M15" s="0" t="n">
        <v>1394</v>
      </c>
      <c r="N15" s="57"/>
      <c r="O15" s="65" t="n">
        <f aca="false">IF(SUM(C15:E15)&gt;0,AVERAGE(C15:E15),"")</f>
        <v>1593.66666666667</v>
      </c>
      <c r="P15" s="66" t="n">
        <f aca="false">IF(SUM(C15:E15)&gt;0, ( IF(C15&gt;0,(C15-O15)^2,0) + IF(D15&gt;0,(D15-O15)^2,0) + IF(E15&gt;0,(E15-O15)^2,0) ) / COUNT(C15:E15),"")</f>
        <v>21374.8888888889</v>
      </c>
      <c r="Q15" s="63" t="n">
        <f aca="false">IF(SUM(C15:E15)&gt;0,SQRT(P15),"")</f>
        <v>146.201535179658</v>
      </c>
      <c r="R15" s="63" t="n">
        <f aca="false">IF(COUNT(C15:E15)&gt;0,VLOOKUP(COUNT(C15:E15),$AX$2:$AZ$5,3)*(Q15/SQRT(COUNT(C15:E15))),"")</f>
        <v>363.214059962299</v>
      </c>
      <c r="S15" s="63" t="n">
        <f aca="false">IF(COUNT(C15:E15)&gt;0,O15-R15,"")</f>
        <v>1230.45260670437</v>
      </c>
      <c r="T15" s="63" t="n">
        <f aca="false">IF(COUNT(C15:E15)&gt;0,O15+R15,"")</f>
        <v>1956.88072662897</v>
      </c>
      <c r="U15" s="64" t="n">
        <f aca="false">IF(COUNT(C15:E15)&gt;0,Q15/O15,"")</f>
        <v>0.0917390933986562</v>
      </c>
      <c r="V15" s="65" t="n">
        <f aca="false">IF(SUM(F15:H15)&gt;0,AVERAGE(F15:H15),"")</f>
        <v>1376</v>
      </c>
      <c r="W15" s="66" t="n">
        <f aca="false">IF(SUM(F15:H15)&gt;0, ( IF(F15&gt;0,(F15-V15)^2,0) + IF(G15&gt;0,(G15-V15)^2,0) + IF(H15&gt;0,(H15-V15)^2,0) ) / COUNT(F15:H15),"")</f>
        <v>7225</v>
      </c>
      <c r="X15" s="63" t="n">
        <f aca="false">IF(SUM(F15:H15)&gt;0,SQRT(W15),"")</f>
        <v>85</v>
      </c>
      <c r="Y15" s="63" t="n">
        <f aca="false">IF(COUNT(F15:H15)&gt;0,VLOOKUP(COUNT(F15:H15),$AX$2:$AZ$5,3)*(X15/SQRT(COUNT(F15:H15))),"")</f>
        <v>763.682394749283</v>
      </c>
      <c r="Z15" s="63" t="n">
        <f aca="false">IF(COUNT(F15:H15)&gt;0,V15-Y15,"")</f>
        <v>612.317605250717</v>
      </c>
      <c r="AA15" s="63" t="n">
        <f aca="false">IF(COUNT(F15:H15)&gt;0,V15+Y15,"")</f>
        <v>2139.68239474928</v>
      </c>
      <c r="AB15" s="64" t="n">
        <f aca="false">IF(COUNT(F15:H15)&gt;0,X15/V15,"")</f>
        <v>0.0617732558139535</v>
      </c>
      <c r="AC15" s="26"/>
      <c r="AD15" s="65" t="n">
        <f aca="false">IF(SUM(I15:K15)&gt;0,AVERAGE(I15:K15),"")</f>
        <v>1382.33333333333</v>
      </c>
      <c r="AE15" s="66" t="n">
        <f aca="false">IF(SUM(I15:K15)&gt;0, ( IF(I15&gt;0,(I15-AD15)^2,0) + IF(J15&gt;0,(J15-AD15)^2,0) + IF(K15&gt;0,(K15-AD15)^2,0) ) / COUNT(I15:K15),"")</f>
        <v>446.888888888889</v>
      </c>
      <c r="AF15" s="63" t="n">
        <f aca="false">IF(SUM(I15:K15)&gt;0,SQRT(AE15),"")</f>
        <v>21.1397466609439</v>
      </c>
      <c r="AG15" s="63" t="n">
        <f aca="false">IF(COUNT(I15:K15)&gt;0,VLOOKUP(COUNT(I15:K15),$AX$2:$AZ$5,3)*(AF15/SQRT(COUNT(I15:K15))),"")</f>
        <v>52.5182803440507</v>
      </c>
      <c r="AH15" s="63" t="n">
        <f aca="false">IF(COUNT(I15:K15)&gt;0,AD15-AG15,"")</f>
        <v>1329.81505298928</v>
      </c>
      <c r="AI15" s="63" t="n">
        <f aca="false">IF(COUNT(I15:K15)&gt;0,AD15+AG15,"")</f>
        <v>1434.85161367738</v>
      </c>
      <c r="AJ15" s="64" t="n">
        <f aca="false">IF(COUNT(I15:K15)&gt;0,AF15/AD15,"")</f>
        <v>0.015292799610039</v>
      </c>
      <c r="AK15" s="65" t="n">
        <f aca="false">IF(SUM(L15:N15)&gt;0,AVERAGE(L15:N15),"")</f>
        <v>1394</v>
      </c>
      <c r="AL15" s="66" t="n">
        <f aca="false">IF(SUM(L15:N15)&gt;0, ( IF(L15&gt;0,(L15-AK15)^2,0) + IF(M15&gt;0,(M15-AK15)^2,0) + IF(N15&gt;0,(N15-AK15)^2,0) ) / COUNT(L15:N15),"")</f>
        <v>0</v>
      </c>
      <c r="AM15" s="63" t="n">
        <f aca="false">IF(SUM(L15:N15)&gt;0,SQRT(AL15),"")</f>
        <v>0</v>
      </c>
      <c r="AN15" s="63" t="n">
        <f aca="false">IF(COUNT(L15:N15)&gt;0,VLOOKUP(COUNT(L15:N15),$AX$2:$AZ$5,3)*(AM15/SQRT(COUNT(L15:N15))),"")</f>
        <v>0</v>
      </c>
      <c r="AO15" s="63" t="n">
        <f aca="false">IF(COUNT(L15:N15)&gt;0,AK15-AN15,"")</f>
        <v>1394</v>
      </c>
      <c r="AP15" s="63" t="n">
        <f aca="false">IF(COUNT(L15:N15)&gt;0,AK15+AN15,"")</f>
        <v>1394</v>
      </c>
      <c r="AQ15" s="64" t="n">
        <f aca="false">IF(COUNT(L15:N15)&gt;0,AM15/AK15,"")</f>
        <v>0</v>
      </c>
      <c r="AZ15" s="0"/>
      <c r="BA15" s="17"/>
    </row>
    <row r="16" customFormat="false" ht="12.8" hidden="false" customHeight="false" outlineLevel="0" collapsed="false">
      <c r="A16" s="56" t="s">
        <v>32</v>
      </c>
      <c r="B16" s="57" t="n">
        <v>15</v>
      </c>
      <c r="C16" s="56" t="n">
        <v>993</v>
      </c>
      <c r="D16" s="25" t="n">
        <v>1133</v>
      </c>
      <c r="E16" s="57" t="n">
        <v>1218</v>
      </c>
      <c r="F16" s="58" t="n">
        <v>1012</v>
      </c>
      <c r="G16" s="0" t="n">
        <v>903</v>
      </c>
      <c r="H16" s="59" t="n">
        <v>979</v>
      </c>
      <c r="I16" s="56" t="n">
        <v>1132</v>
      </c>
      <c r="J16" s="0" t="n">
        <v>1096</v>
      </c>
      <c r="K16" s="57" t="n">
        <v>923</v>
      </c>
      <c r="L16" s="56"/>
      <c r="M16" s="0" t="n">
        <v>987</v>
      </c>
      <c r="N16" s="57" t="n">
        <v>1269</v>
      </c>
      <c r="O16" s="65" t="n">
        <f aca="false">IF(SUM(C16:E16)&gt;0,AVERAGE(C16:E16),"")</f>
        <v>1114.66666666667</v>
      </c>
      <c r="P16" s="66" t="n">
        <f aca="false">IF(SUM(C16:E16)&gt;0, ( IF(C16&gt;0,(C16-O16)^2,0) + IF(D16&gt;0,(D16-O16)^2,0) + IF(E16&gt;0,(E16-O16)^2,0) ) / COUNT(C16:E16),"")</f>
        <v>8605.55555555556</v>
      </c>
      <c r="Q16" s="63" t="n">
        <f aca="false">IF(SUM(C16:E16)&gt;0,SQRT(P16),"")</f>
        <v>92.7661336671716</v>
      </c>
      <c r="R16" s="63" t="n">
        <f aca="false">IF(COUNT(C16:E16)&gt;0,VLOOKUP(COUNT(C16:E16),$AX$2:$AZ$5,3)*(Q16/SQRT(COUNT(C16:E16))),"")</f>
        <v>230.462450307749</v>
      </c>
      <c r="S16" s="63" t="n">
        <f aca="false">IF(COUNT(C16:E16)&gt;0,O16-R16,"")</f>
        <v>884.204216358917</v>
      </c>
      <c r="T16" s="63" t="n">
        <f aca="false">IF(COUNT(C16:E16)&gt;0,O16+R16,"")</f>
        <v>1345.12911697442</v>
      </c>
      <c r="U16" s="64" t="n">
        <f aca="false">IF(COUNT(C16:E16)&gt;0,Q16/O16,"")</f>
        <v>0.0832232060411229</v>
      </c>
      <c r="V16" s="65" t="n">
        <f aca="false">IF(SUM(F16:H16)&gt;0,AVERAGE(F16:H16),"")</f>
        <v>964.666666666667</v>
      </c>
      <c r="W16" s="66" t="n">
        <f aca="false">IF(SUM(F16:H16)&gt;0, ( IF(F16&gt;0,(F16-V16)^2,0) + IF(G16&gt;0,(G16-V16)^2,0) + IF(H16&gt;0,(H16-V16)^2,0) ) / COUNT(F16:H16),"")</f>
        <v>2082.88888888889</v>
      </c>
      <c r="X16" s="63" t="n">
        <f aca="false">IF(SUM(F16:H16)&gt;0,SQRT(W16),"")</f>
        <v>45.6386775541195</v>
      </c>
      <c r="Y16" s="63" t="n">
        <f aca="false">IF(COUNT(F16:H16)&gt;0,VLOOKUP(COUNT(F16:H16),$AX$2:$AZ$5,3)*(X16/SQRT(COUNT(F16:H16))),"")</f>
        <v>113.38191042503</v>
      </c>
      <c r="Z16" s="63" t="n">
        <f aca="false">IF(COUNT(F16:H16)&gt;0,V16-Y16,"")</f>
        <v>851.284756241636</v>
      </c>
      <c r="AA16" s="63" t="n">
        <f aca="false">IF(COUNT(F16:H16)&gt;0,V16+Y16,"")</f>
        <v>1078.0485770917</v>
      </c>
      <c r="AB16" s="64" t="n">
        <f aca="false">IF(COUNT(F16:H16)&gt;0,X16/V16,"")</f>
        <v>0.0473103084527845</v>
      </c>
      <c r="AC16" s="26"/>
      <c r="AD16" s="65" t="n">
        <f aca="false">IF(SUM(I16:K16)&gt;0,AVERAGE(I16:K16),"")</f>
        <v>1050.33333333333</v>
      </c>
      <c r="AE16" s="66" t="n">
        <f aca="false">IF(SUM(I16:K16)&gt;0, ( IF(I16&gt;0,(I16-AD16)^2,0) + IF(J16&gt;0,(J16-AD16)^2,0) + IF(K16&gt;0,(K16-AD16)^2,0) ) / COUNT(I16:K16),"")</f>
        <v>8322.88888888889</v>
      </c>
      <c r="AF16" s="63" t="n">
        <f aca="false">IF(SUM(I16:K16)&gt;0,SQRT(AE16),"")</f>
        <v>91.2298684033299</v>
      </c>
      <c r="AG16" s="63" t="n">
        <f aca="false">IF(COUNT(I16:K16)&gt;0,VLOOKUP(COUNT(I16:K16),$AX$2:$AZ$5,3)*(AF16/SQRT(COUNT(I16:K16))),"")</f>
        <v>226.645847814668</v>
      </c>
      <c r="AH16" s="63" t="n">
        <f aca="false">IF(COUNT(I16:K16)&gt;0,AD16-AG16,"")</f>
        <v>823.687485518665</v>
      </c>
      <c r="AI16" s="63" t="n">
        <f aca="false">IF(COUNT(I16:K16)&gt;0,AD16+AG16,"")</f>
        <v>1276.979181148</v>
      </c>
      <c r="AJ16" s="64" t="n">
        <f aca="false">IF(COUNT(I16:K16)&gt;0,AF16/AD16,"")</f>
        <v>0.086858014982542</v>
      </c>
      <c r="AK16" s="65" t="n">
        <f aca="false">IF(SUM(L16:N16)&gt;0,AVERAGE(L16:N16),"")</f>
        <v>1128</v>
      </c>
      <c r="AL16" s="66" t="n">
        <f aca="false">IF(SUM(L16:N16)&gt;0, ( IF(L16&gt;0,(L16-AK16)^2,0) + IF(M16&gt;0,(M16-AK16)^2,0) + IF(N16&gt;0,(N16-AK16)^2,0) ) / COUNT(L16:N16),"")</f>
        <v>19881</v>
      </c>
      <c r="AM16" s="63" t="n">
        <f aca="false">IF(SUM(L16:N16)&gt;0,SQRT(AL16),"")</f>
        <v>141</v>
      </c>
      <c r="AN16" s="63" t="n">
        <f aca="false">IF(COUNT(L16:N16)&gt;0,VLOOKUP(COUNT(L16:N16),$AX$2:$AZ$5,3)*(AM16/SQRT(COUNT(L16:N16))),"")</f>
        <v>1266.81432540763</v>
      </c>
      <c r="AO16" s="63" t="n">
        <f aca="false">IF(COUNT(L16:N16)&gt;0,AK16-AN16,"")</f>
        <v>-138.814325407634</v>
      </c>
      <c r="AP16" s="63" t="n">
        <f aca="false">IF(COUNT(L16:N16)&gt;0,AK16+AN16,"")</f>
        <v>2394.81432540763</v>
      </c>
      <c r="AQ16" s="64" t="n">
        <f aca="false">IF(COUNT(L16:N16)&gt;0,AM16/AK16,"")</f>
        <v>0.125</v>
      </c>
      <c r="AZ16" s="0"/>
      <c r="BA16" s="17"/>
    </row>
    <row r="17" customFormat="false" ht="12.8" hidden="false" customHeight="false" outlineLevel="0" collapsed="false">
      <c r="A17" s="56" t="s">
        <v>32</v>
      </c>
      <c r="B17" s="57" t="n">
        <v>20</v>
      </c>
      <c r="C17" s="56" t="n">
        <v>762</v>
      </c>
      <c r="D17" s="25" t="n">
        <v>854</v>
      </c>
      <c r="E17" s="57" t="n">
        <v>776</v>
      </c>
      <c r="F17" s="58" t="n">
        <v>985</v>
      </c>
      <c r="G17" s="0" t="n">
        <v>802</v>
      </c>
      <c r="H17" s="59" t="n">
        <v>849</v>
      </c>
      <c r="I17" s="56" t="n">
        <v>964</v>
      </c>
      <c r="J17" s="0" t="n">
        <v>711</v>
      </c>
      <c r="K17" s="57" t="n">
        <v>606</v>
      </c>
      <c r="L17" s="56"/>
      <c r="M17" s="0" t="n">
        <v>854</v>
      </c>
      <c r="N17" s="57" t="n">
        <v>769</v>
      </c>
      <c r="O17" s="65" t="n">
        <f aca="false">IF(SUM(C17:E17)&gt;0,AVERAGE(C17:E17),"")</f>
        <v>797.333333333333</v>
      </c>
      <c r="P17" s="66" t="n">
        <f aca="false">IF(SUM(C17:E17)&gt;0, ( IF(C17&gt;0,(C17-O17)^2,0) + IF(D17&gt;0,(D17-O17)^2,0) + IF(E17&gt;0,(E17-O17)^2,0) ) / COUNT(C17:E17),"")</f>
        <v>1638.22222222222</v>
      </c>
      <c r="Q17" s="63" t="n">
        <f aca="false">IF(SUM(C17:E17)&gt;0,SQRT(P17),"")</f>
        <v>40.4749579644281</v>
      </c>
      <c r="R17" s="63" t="n">
        <f aca="false">IF(COUNT(C17:E17)&gt;0,VLOOKUP(COUNT(C17:E17),$AX$2:$AZ$5,3)*(Q17/SQRT(COUNT(C17:E17))),"")</f>
        <v>100.553484551294</v>
      </c>
      <c r="S17" s="63" t="n">
        <f aca="false">IF(COUNT(C17:E17)&gt;0,O17-R17,"")</f>
        <v>696.779848782039</v>
      </c>
      <c r="T17" s="63" t="n">
        <f aca="false">IF(COUNT(C17:E17)&gt;0,O17+R17,"")</f>
        <v>897.886817884628</v>
      </c>
      <c r="U17" s="64" t="n">
        <f aca="false">IF(COUNT(C17:E17)&gt;0,Q17/O17,"")</f>
        <v>0.0507629071460219</v>
      </c>
      <c r="V17" s="65" t="n">
        <f aca="false">IF(SUM(F17:H17)&gt;0,AVERAGE(F17:H17),"")</f>
        <v>878.666666666667</v>
      </c>
      <c r="W17" s="66" t="n">
        <f aca="false">IF(SUM(F17:H17)&gt;0, ( IF(F17&gt;0,(F17-V17)^2,0) + IF(G17&gt;0,(G17-V17)^2,0) + IF(H17&gt;0,(H17-V17)^2,0) ) / COUNT(F17:H17),"")</f>
        <v>6021.55555555556</v>
      </c>
      <c r="X17" s="63" t="n">
        <f aca="false">IF(SUM(F17:H17)&gt;0,SQRT(W17),"")</f>
        <v>77.5986826921408</v>
      </c>
      <c r="Y17" s="63" t="n">
        <f aca="false">IF(COUNT(F17:H17)&gt;0,VLOOKUP(COUNT(F17:H17),$AX$2:$AZ$5,3)*(X17/SQRT(COUNT(F17:H17))),"")</f>
        <v>192.781372327615</v>
      </c>
      <c r="Z17" s="63" t="n">
        <f aca="false">IF(COUNT(F17:H17)&gt;0,V17-Y17,"")</f>
        <v>685.885294339052</v>
      </c>
      <c r="AA17" s="63" t="n">
        <f aca="false">IF(COUNT(F17:H17)&gt;0,V17+Y17,"")</f>
        <v>1071.44803899428</v>
      </c>
      <c r="AB17" s="64" t="n">
        <f aca="false">IF(COUNT(F17:H17)&gt;0,X17/V17,"")</f>
        <v>0.0883141305297506</v>
      </c>
      <c r="AC17" s="26"/>
      <c r="AD17" s="65" t="n">
        <f aca="false">IF(SUM(I17:K17)&gt;0,AVERAGE(I17:K17),"")</f>
        <v>760.333333333333</v>
      </c>
      <c r="AE17" s="66" t="n">
        <f aca="false">IF(SUM(I17:K17)&gt;0, ( IF(I17&gt;0,(I17-AD17)^2,0) + IF(J17&gt;0,(J17-AD17)^2,0) + IF(K17&gt;0,(K17-AD17)^2,0) ) / COUNT(I17:K17),"")</f>
        <v>22577.5555555556</v>
      </c>
      <c r="AF17" s="63" t="n">
        <f aca="false">IF(SUM(I17:K17)&gt;0,SQRT(AE17),"")</f>
        <v>150.258296128885</v>
      </c>
      <c r="AG17" s="63" t="n">
        <f aca="false">IF(COUNT(I17:K17)&gt;0,VLOOKUP(COUNT(I17:K17),$AX$2:$AZ$5,3)*(AF17/SQRT(COUNT(I17:K17))),"")</f>
        <v>373.292426190494</v>
      </c>
      <c r="AH17" s="63" t="n">
        <f aca="false">IF(COUNT(I17:K17)&gt;0,AD17-AG17,"")</f>
        <v>387.04090714284</v>
      </c>
      <c r="AI17" s="63" t="n">
        <f aca="false">IF(COUNT(I17:K17)&gt;0,AD17+AG17,"")</f>
        <v>1133.62575952383</v>
      </c>
      <c r="AJ17" s="64" t="n">
        <f aca="false">IF(COUNT(I17:K17)&gt;0,AF17/AD17,"")</f>
        <v>0.197621608236148</v>
      </c>
      <c r="AK17" s="65" t="n">
        <f aca="false">IF(SUM(L17:N17)&gt;0,AVERAGE(L17:N17),"")</f>
        <v>811.5</v>
      </c>
      <c r="AL17" s="66" t="n">
        <f aca="false">IF(SUM(L17:N17)&gt;0, ( IF(L17&gt;0,(L17-AK17)^2,0) + IF(M17&gt;0,(M17-AK17)^2,0) + IF(N17&gt;0,(N17-AK17)^2,0) ) / COUNT(L17:N17),"")</f>
        <v>1806.25</v>
      </c>
      <c r="AM17" s="63" t="n">
        <f aca="false">IF(SUM(L17:N17)&gt;0,SQRT(AL17),"")</f>
        <v>42.5</v>
      </c>
      <c r="AN17" s="63" t="n">
        <f aca="false">IF(COUNT(L17:N17)&gt;0,VLOOKUP(COUNT(L17:N17),$AX$2:$AZ$5,3)*(AM17/SQRT(COUNT(L17:N17))),"")</f>
        <v>381.841197374642</v>
      </c>
      <c r="AO17" s="63" t="n">
        <f aca="false">IF(COUNT(L17:N17)&gt;0,AK17-AN17,"")</f>
        <v>429.658802625359</v>
      </c>
      <c r="AP17" s="63" t="n">
        <f aca="false">IF(COUNT(L17:N17)&gt;0,AK17+AN17,"")</f>
        <v>1193.34119737464</v>
      </c>
      <c r="AQ17" s="64" t="n">
        <f aca="false">IF(COUNT(L17:N17)&gt;0,AM17/AK17,"")</f>
        <v>0.0523721503388786</v>
      </c>
    </row>
    <row r="18" customFormat="false" ht="12.8" hidden="false" customHeight="false" outlineLevel="0" collapsed="false">
      <c r="A18" s="56" t="s">
        <v>32</v>
      </c>
      <c r="B18" s="57" t="n">
        <v>30</v>
      </c>
      <c r="C18" s="56" t="n">
        <v>647</v>
      </c>
      <c r="D18" s="25" t="n">
        <v>555</v>
      </c>
      <c r="E18" s="57" t="n">
        <v>629</v>
      </c>
      <c r="F18" s="58" t="n">
        <v>533</v>
      </c>
      <c r="G18" s="0" t="n">
        <v>582</v>
      </c>
      <c r="H18" s="59" t="n">
        <v>536</v>
      </c>
      <c r="I18" s="56" t="n">
        <v>650</v>
      </c>
      <c r="J18" s="0" t="n">
        <v>619</v>
      </c>
      <c r="K18" s="57" t="n">
        <v>523</v>
      </c>
      <c r="L18" s="56"/>
      <c r="M18" s="0" t="n">
        <v>555</v>
      </c>
      <c r="N18" s="57" t="n">
        <v>629</v>
      </c>
      <c r="O18" s="65" t="n">
        <f aca="false">IF(SUM(C18:E18)&gt;0,AVERAGE(C18:E18),"")</f>
        <v>610.333333333333</v>
      </c>
      <c r="P18" s="66" t="n">
        <f aca="false">IF(SUM(C18:E18)&gt;0, ( IF(C18&gt;0,(C18-O18)^2,0) + IF(D18&gt;0,(D18-O18)^2,0) + IF(E18&gt;0,(E18-O18)^2,0) ) / COUNT(C18:E18),"")</f>
        <v>1584.88888888889</v>
      </c>
      <c r="Q18" s="63" t="n">
        <f aca="false">IF(SUM(C18:E18)&gt;0,SQRT(P18),"")</f>
        <v>39.8106630048896</v>
      </c>
      <c r="R18" s="63" t="n">
        <f aca="false">IF(COUNT(C18:E18)&gt;0,VLOOKUP(COUNT(C18:E18),$AX$2:$AZ$5,3)*(Q18/SQRT(COUNT(C18:E18))),"")</f>
        <v>98.9031512017167</v>
      </c>
      <c r="S18" s="63" t="n">
        <f aca="false">IF(COUNT(C18:E18)&gt;0,O18-R18,"")</f>
        <v>511.430182131617</v>
      </c>
      <c r="T18" s="63" t="n">
        <f aca="false">IF(COUNT(C18:E18)&gt;0,O18+R18,"")</f>
        <v>709.23648453505</v>
      </c>
      <c r="U18" s="64" t="n">
        <f aca="false">IF(COUNT(C18:E18)&gt;0,Q18/O18,"")</f>
        <v>0.0652277384023315</v>
      </c>
      <c r="V18" s="65" t="n">
        <f aca="false">IF(SUM(F18:H18)&gt;0,AVERAGE(F18:H18),"")</f>
        <v>550.333333333333</v>
      </c>
      <c r="W18" s="66" t="n">
        <f aca="false">IF(SUM(F18:H18)&gt;0, ( IF(F18&gt;0,(F18-V18)^2,0) + IF(G18&gt;0,(G18-V18)^2,0) + IF(H18&gt;0,(H18-V18)^2,0) ) / COUNT(F18:H18),"")</f>
        <v>502.888888888889</v>
      </c>
      <c r="X18" s="63" t="n">
        <f aca="false">IF(SUM(F18:H18)&gt;0,SQRT(W18),"")</f>
        <v>22.4251842554055</v>
      </c>
      <c r="Y18" s="63" t="n">
        <f aca="false">IF(COUNT(F18:H18)&gt;0,VLOOKUP(COUNT(F18:H18),$AX$2:$AZ$5,3)*(X18/SQRT(COUNT(F18:H18))),"")</f>
        <v>55.7117420743865</v>
      </c>
      <c r="Z18" s="63" t="n">
        <f aca="false">IF(COUNT(F18:H18)&gt;0,V18-Y18,"")</f>
        <v>494.621591258947</v>
      </c>
      <c r="AA18" s="63" t="n">
        <f aca="false">IF(COUNT(F18:H18)&gt;0,V18+Y18,"")</f>
        <v>606.04507540772</v>
      </c>
      <c r="AB18" s="64" t="n">
        <f aca="false">IF(COUNT(F18:H18)&gt;0,X18/V18,"")</f>
        <v>0.040748366302978</v>
      </c>
      <c r="AC18" s="26"/>
      <c r="AD18" s="65" t="n">
        <f aca="false">IF(SUM(I18:K18)&gt;0,AVERAGE(I18:K18),"")</f>
        <v>597.333333333333</v>
      </c>
      <c r="AE18" s="66" t="n">
        <f aca="false">IF(SUM(I18:K18)&gt;0, ( IF(I18&gt;0,(I18-AD18)^2,0) + IF(J18&gt;0,(J18-AD18)^2,0) + IF(K18&gt;0,(K18-AD18)^2,0) ) / COUNT(I18:K18),"")</f>
        <v>2922.88888888889</v>
      </c>
      <c r="AF18" s="63" t="n">
        <f aca="false">IF(SUM(I18:K18)&gt;0,SQRT(AE18),"")</f>
        <v>54.0637483799347</v>
      </c>
      <c r="AG18" s="63" t="n">
        <f aca="false">IF(COUNT(I18:K18)&gt;0,VLOOKUP(COUNT(I18:K18),$AX$2:$AZ$5,3)*(AF18/SQRT(COUNT(I18:K18))),"")</f>
        <v>134.31263578543</v>
      </c>
      <c r="AH18" s="63" t="n">
        <f aca="false">IF(COUNT(I18:K18)&gt;0,AD18-AG18,"")</f>
        <v>463.020697547903</v>
      </c>
      <c r="AI18" s="63" t="n">
        <f aca="false">IF(COUNT(I18:K18)&gt;0,AD18+AG18,"")</f>
        <v>731.645969118764</v>
      </c>
      <c r="AJ18" s="64" t="n">
        <f aca="false">IF(COUNT(I18:K18)&gt;0,AF18/AD18,"")</f>
        <v>0.0905085073324799</v>
      </c>
      <c r="AK18" s="65" t="n">
        <f aca="false">IF(SUM(L18:N18)&gt;0,AVERAGE(L18:N18),"")</f>
        <v>592</v>
      </c>
      <c r="AL18" s="66" t="n">
        <f aca="false">IF(SUM(L18:N18)&gt;0, ( IF(L18&gt;0,(L18-AK18)^2,0) + IF(M18&gt;0,(M18-AK18)^2,0) + IF(N18&gt;0,(N18-AK18)^2,0) ) / COUNT(L18:N18),"")</f>
        <v>1369</v>
      </c>
      <c r="AM18" s="63" t="n">
        <f aca="false">IF(SUM(L18:N18)&gt;0,SQRT(AL18),"")</f>
        <v>37</v>
      </c>
      <c r="AN18" s="63" t="n">
        <f aca="false">IF(COUNT(L18:N18)&gt;0,VLOOKUP(COUNT(L18:N18),$AX$2:$AZ$5,3)*(AM18/SQRT(COUNT(L18:N18))),"")</f>
        <v>332.426454184982</v>
      </c>
      <c r="AO18" s="63" t="n">
        <f aca="false">IF(COUNT(L18:N18)&gt;0,AK18-AN18,"")</f>
        <v>259.573545815018</v>
      </c>
      <c r="AP18" s="63" t="n">
        <f aca="false">IF(COUNT(L18:N18)&gt;0,AK18+AN18,"")</f>
        <v>924.426454184982</v>
      </c>
      <c r="AQ18" s="64" t="n">
        <f aca="false">IF(COUNT(L18:N18)&gt;0,AM18/AK18,"")</f>
        <v>0.0625</v>
      </c>
    </row>
    <row r="19" customFormat="false" ht="12.8" hidden="false" customHeight="false" outlineLevel="0" collapsed="false">
      <c r="A19" s="56" t="s">
        <v>32</v>
      </c>
      <c r="B19" s="57" t="n">
        <v>40</v>
      </c>
      <c r="C19" s="56" t="n">
        <v>419</v>
      </c>
      <c r="D19" s="25" t="n">
        <v>558</v>
      </c>
      <c r="E19" s="57" t="n">
        <v>483</v>
      </c>
      <c r="F19" s="58"/>
      <c r="G19" s="0" t="n">
        <v>428</v>
      </c>
      <c r="H19" s="59" t="n">
        <v>461</v>
      </c>
      <c r="I19" s="56" t="n">
        <v>478</v>
      </c>
      <c r="J19" s="0" t="n">
        <v>473</v>
      </c>
      <c r="K19" s="57" t="n">
        <v>441</v>
      </c>
      <c r="L19" s="56"/>
      <c r="M19" s="0" t="n">
        <v>452</v>
      </c>
      <c r="N19" s="57" t="n">
        <v>489</v>
      </c>
      <c r="O19" s="65" t="n">
        <f aca="false">IF(SUM(C19:E19)&gt;0,AVERAGE(C19:E19),"")</f>
        <v>486.666666666667</v>
      </c>
      <c r="P19" s="66" t="n">
        <f aca="false">IF(SUM(C19:E19)&gt;0, ( IF(C19&gt;0,(C19-O19)^2,0) + IF(D19&gt;0,(D19-O19)^2,0) + IF(E19&gt;0,(E19-O19)^2,0) ) / COUNT(C19:E19),"")</f>
        <v>3226.88888888889</v>
      </c>
      <c r="Q19" s="63" t="n">
        <f aca="false">IF(SUM(C19:E19)&gt;0,SQRT(P19),"")</f>
        <v>56.8057117628931</v>
      </c>
      <c r="R19" s="63" t="n">
        <f aca="false">IF(COUNT(C19:E19)&gt;0,VLOOKUP(COUNT(C19:E19),$AX$2:$AZ$5,3)*(Q19/SQRT(COUNT(C19:E19))),"")</f>
        <v>141.124600183536</v>
      </c>
      <c r="S19" s="63" t="n">
        <f aca="false">IF(COUNT(C19:E19)&gt;0,O19-R19,"")</f>
        <v>345.54206648313</v>
      </c>
      <c r="T19" s="63" t="n">
        <f aca="false">IF(COUNT(C19:E19)&gt;0,O19+R19,"")</f>
        <v>627.791266850203</v>
      </c>
      <c r="U19" s="64" t="n">
        <f aca="false">IF(COUNT(C19:E19)&gt;0,Q19/O19,"")</f>
        <v>0.116724065266219</v>
      </c>
      <c r="V19" s="65" t="n">
        <f aca="false">IF(SUM(F19:H19)&gt;0,AVERAGE(F19:H19),"")</f>
        <v>444.5</v>
      </c>
      <c r="W19" s="66" t="n">
        <f aca="false">IF(SUM(F19:H19)&gt;0, ( IF(F19&gt;0,(F19-V19)^2,0) + IF(G19&gt;0,(G19-V19)^2,0) + IF(H19&gt;0,(H19-V19)^2,0) ) / COUNT(F19:H19),"")</f>
        <v>272.25</v>
      </c>
      <c r="X19" s="63" t="n">
        <f aca="false">IF(SUM(F19:H19)&gt;0,SQRT(W19),"")</f>
        <v>16.5</v>
      </c>
      <c r="Y19" s="63" t="n">
        <f aca="false">IF(COUNT(F19:H19)&gt;0,VLOOKUP(COUNT(F19:H19),$AX$2:$AZ$5,3)*(X19/SQRT(COUNT(F19:H19))),"")</f>
        <v>148.244229568979</v>
      </c>
      <c r="Z19" s="63" t="n">
        <f aca="false">IF(COUNT(F19:H19)&gt;0,V19-Y19,"")</f>
        <v>296.255770431021</v>
      </c>
      <c r="AA19" s="63" t="n">
        <f aca="false">IF(COUNT(F19:H19)&gt;0,V19+Y19,"")</f>
        <v>592.744229568979</v>
      </c>
      <c r="AB19" s="64" t="n">
        <f aca="false">IF(COUNT(F19:H19)&gt;0,X19/V19,"")</f>
        <v>0.0371203599550056</v>
      </c>
      <c r="AC19" s="26"/>
      <c r="AD19" s="65" t="n">
        <f aca="false">IF(SUM(I19:K19)&gt;0,AVERAGE(I19:K19),"")</f>
        <v>464</v>
      </c>
      <c r="AE19" s="66" t="n">
        <f aca="false">IF(SUM(I19:K19)&gt;0, ( IF(I19&gt;0,(I19-AD19)^2,0) + IF(J19&gt;0,(J19-AD19)^2,0) + IF(K19&gt;0,(K19-AD19)^2,0) ) / COUNT(I19:K19),"")</f>
        <v>268.666666666667</v>
      </c>
      <c r="AF19" s="63" t="n">
        <f aca="false">IF(SUM(I19:K19)&gt;0,SQRT(AE19),"")</f>
        <v>16.391054470859</v>
      </c>
      <c r="AG19" s="63" t="n">
        <f aca="false">IF(COUNT(I19:K19)&gt;0,VLOOKUP(COUNT(I19:K19),$AX$2:$AZ$5,3)*(AF19/SQRT(COUNT(I19:K19))),"")</f>
        <v>40.7209228966579</v>
      </c>
      <c r="AH19" s="63" t="n">
        <f aca="false">IF(COUNT(I19:K19)&gt;0,AD19-AG19,"")</f>
        <v>423.279077103342</v>
      </c>
      <c r="AI19" s="63" t="n">
        <f aca="false">IF(COUNT(I19:K19)&gt;0,AD19+AG19,"")</f>
        <v>504.720922896658</v>
      </c>
      <c r="AJ19" s="64" t="n">
        <f aca="false">IF(COUNT(I19:K19)&gt;0,AF19/AD19,"")</f>
        <v>0.0353255484285754</v>
      </c>
      <c r="AK19" s="65" t="n">
        <f aca="false">IF(SUM(L19:N19)&gt;0,AVERAGE(L19:N19),"")</f>
        <v>470.5</v>
      </c>
      <c r="AL19" s="66" t="n">
        <f aca="false">IF(SUM(L19:N19)&gt;0, ( IF(L19&gt;0,(L19-AK19)^2,0) + IF(M19&gt;0,(M19-AK19)^2,0) + IF(N19&gt;0,(N19-AK19)^2,0) ) / COUNT(L19:N19),"")</f>
        <v>342.25</v>
      </c>
      <c r="AM19" s="63" t="n">
        <f aca="false">IF(SUM(L19:N19)&gt;0,SQRT(AL19),"")</f>
        <v>18.5</v>
      </c>
      <c r="AN19" s="63" t="n">
        <f aca="false">IF(COUNT(L19:N19)&gt;0,VLOOKUP(COUNT(L19:N19),$AX$2:$AZ$5,3)*(AM19/SQRT(COUNT(L19:N19))),"")</f>
        <v>166.213227092491</v>
      </c>
      <c r="AO19" s="63" t="n">
        <f aca="false">IF(COUNT(L19:N19)&gt;0,AK19-AN19,"")</f>
        <v>304.286772907509</v>
      </c>
      <c r="AP19" s="63" t="n">
        <f aca="false">IF(COUNT(L19:N19)&gt;0,AK19+AN19,"")</f>
        <v>636.713227092491</v>
      </c>
      <c r="AQ19" s="64" t="n">
        <f aca="false">IF(COUNT(L19:N19)&gt;0,AM19/AK19,"")</f>
        <v>0.0393198724760893</v>
      </c>
    </row>
    <row r="20" customFormat="false" ht="12.8" hidden="false" customHeight="false" outlineLevel="0" collapsed="false">
      <c r="A20" s="56" t="s">
        <v>32</v>
      </c>
      <c r="B20" s="57" t="n">
        <v>50</v>
      </c>
      <c r="C20" s="56" t="n">
        <v>383</v>
      </c>
      <c r="D20" s="25" t="n">
        <v>482</v>
      </c>
      <c r="E20" s="57" t="n">
        <v>406</v>
      </c>
      <c r="F20" s="58" t="n">
        <v>407</v>
      </c>
      <c r="G20" s="0" t="n">
        <v>449</v>
      </c>
      <c r="H20" s="59" t="n">
        <v>448</v>
      </c>
      <c r="I20" s="56" t="n">
        <v>365</v>
      </c>
      <c r="J20" s="0" t="n">
        <v>453</v>
      </c>
      <c r="K20" s="57" t="n">
        <v>386</v>
      </c>
      <c r="L20" s="56"/>
      <c r="M20" s="0" t="n">
        <v>451</v>
      </c>
      <c r="N20" s="57" t="n">
        <v>377</v>
      </c>
      <c r="O20" s="65" t="n">
        <f aca="false">IF(SUM(C20:E20)&gt;0,AVERAGE(C20:E20),"")</f>
        <v>423.666666666667</v>
      </c>
      <c r="P20" s="66" t="n">
        <f aca="false">IF(SUM(C20:E20)&gt;0, ( IF(C20&gt;0,(C20-O20)^2,0) + IF(D20&gt;0,(D20-O20)^2,0) + IF(E20&gt;0,(E20-O20)^2,0) ) / COUNT(C20:E20),"")</f>
        <v>1789.55555555556</v>
      </c>
      <c r="Q20" s="63" t="n">
        <f aca="false">IF(SUM(C20:E20)&gt;0,SQRT(P20),"")</f>
        <v>42.3031388380999</v>
      </c>
      <c r="R20" s="63" t="n">
        <f aca="false">IF(COUNT(C20:E20)&gt;0,VLOOKUP(COUNT(C20:E20),$AX$2:$AZ$5,3)*(Q20/SQRT(COUNT(C20:E20))),"")</f>
        <v>105.095304147483</v>
      </c>
      <c r="S20" s="63" t="n">
        <f aca="false">IF(COUNT(C20:E20)&gt;0,O20-R20,"")</f>
        <v>318.571362519184</v>
      </c>
      <c r="T20" s="63" t="n">
        <f aca="false">IF(COUNT(C20:E20)&gt;0,O20+R20,"")</f>
        <v>528.761970814149</v>
      </c>
      <c r="U20" s="64" t="n">
        <f aca="false">IF(COUNT(C20:E20)&gt;0,Q20/O20,"")</f>
        <v>0.0998500523322578</v>
      </c>
      <c r="V20" s="65" t="n">
        <f aca="false">IF(SUM(F20:H20)&gt;0,AVERAGE(F20:H20),"")</f>
        <v>434.666666666667</v>
      </c>
      <c r="W20" s="66" t="n">
        <f aca="false">IF(SUM(F20:H20)&gt;0, ( IF(F20&gt;0,(F20-V20)^2,0) + IF(G20&gt;0,(G20-V20)^2,0) + IF(H20&gt;0,(H20-V20)^2,0) ) / COUNT(F20:H20),"")</f>
        <v>382.888888888889</v>
      </c>
      <c r="X20" s="63" t="n">
        <f aca="false">IF(SUM(F20:H20)&gt;0,SQRT(W20),"")</f>
        <v>19.5675468285856</v>
      </c>
      <c r="Y20" s="63" t="n">
        <f aca="false">IF(COUNT(F20:H20)&gt;0,VLOOKUP(COUNT(F20:H20),$AX$2:$AZ$5,3)*(X20/SQRT(COUNT(F20:H20))),"")</f>
        <v>48.6124042294039</v>
      </c>
      <c r="Z20" s="63" t="n">
        <f aca="false">IF(COUNT(F20:H20)&gt;0,V20-Y20,"")</f>
        <v>386.054262437263</v>
      </c>
      <c r="AA20" s="63" t="n">
        <f aca="false">IF(COUNT(F20:H20)&gt;0,V20+Y20,"")</f>
        <v>483.279070896071</v>
      </c>
      <c r="AB20" s="64" t="n">
        <f aca="false">IF(COUNT(F20:H20)&gt;0,X20/V20,"")</f>
        <v>0.045017362335703</v>
      </c>
      <c r="AC20" s="26"/>
      <c r="AD20" s="65" t="n">
        <f aca="false">IF(SUM(I20:K20)&gt;0,AVERAGE(I20:K20),"")</f>
        <v>401.333333333333</v>
      </c>
      <c r="AE20" s="66" t="n">
        <f aca="false">IF(SUM(I20:K20)&gt;0, ( IF(I20&gt;0,(I20-AD20)^2,0) + IF(J20&gt;0,(J20-AD20)^2,0) + IF(K20&gt;0,(K20-AD20)^2,0) ) / COUNT(I20:K20),"")</f>
        <v>1408.22222222222</v>
      </c>
      <c r="AF20" s="63" t="n">
        <f aca="false">IF(SUM(I20:K20)&gt;0,SQRT(AE20),"")</f>
        <v>37.52628708282</v>
      </c>
      <c r="AG20" s="63" t="n">
        <f aca="false">IF(COUNT(I20:K20)&gt;0,VLOOKUP(COUNT(I20:K20),$AX$2:$AZ$5,3)*(AF20/SQRT(COUNT(I20:K20))),"")</f>
        <v>93.227988816346</v>
      </c>
      <c r="AH20" s="63" t="n">
        <f aca="false">IF(COUNT(I20:K20)&gt;0,AD20-AG20,"")</f>
        <v>308.105344516987</v>
      </c>
      <c r="AI20" s="63" t="n">
        <f aca="false">IF(COUNT(I20:K20)&gt;0,AD20+AG20,"")</f>
        <v>494.561322149679</v>
      </c>
      <c r="AJ20" s="64" t="n">
        <f aca="false">IF(COUNT(I20:K20)&gt;0,AF20/AD20,"")</f>
        <v>0.0935040375817774</v>
      </c>
      <c r="AK20" s="65" t="n">
        <f aca="false">IF(SUM(L20:N20)&gt;0,AVERAGE(L20:N20),"")</f>
        <v>414</v>
      </c>
      <c r="AL20" s="66" t="n">
        <f aca="false">IF(SUM(L20:N20)&gt;0, ( IF(L20&gt;0,(L20-AK20)^2,0) + IF(M20&gt;0,(M20-AK20)^2,0) + IF(N20&gt;0,(N20-AK20)^2,0) ) / COUNT(L20:N20),"")</f>
        <v>1369</v>
      </c>
      <c r="AM20" s="63" t="n">
        <f aca="false">IF(SUM(L20:N20)&gt;0,SQRT(AL20),"")</f>
        <v>37</v>
      </c>
      <c r="AN20" s="63" t="n">
        <f aca="false">IF(COUNT(L20:N20)&gt;0,VLOOKUP(COUNT(L20:N20),$AX$2:$AZ$5,3)*(AM20/SQRT(COUNT(L20:N20))),"")</f>
        <v>332.426454184982</v>
      </c>
      <c r="AO20" s="63" t="n">
        <f aca="false">IF(COUNT(L20:N20)&gt;0,AK20-AN20,"")</f>
        <v>81.573545815018</v>
      </c>
      <c r="AP20" s="63" t="n">
        <f aca="false">IF(COUNT(L20:N20)&gt;0,AK20+AN20,"")</f>
        <v>746.426454184982</v>
      </c>
      <c r="AQ20" s="64" t="n">
        <f aca="false">IF(COUNT(L20:N20)&gt;0,AM20/AK20,"")</f>
        <v>0.0893719806763285</v>
      </c>
    </row>
    <row r="21" customFormat="false" ht="12.8" hidden="false" customHeight="false" outlineLevel="0" collapsed="false">
      <c r="A21" s="56" t="s">
        <v>32</v>
      </c>
      <c r="B21" s="57" t="n">
        <v>64</v>
      </c>
      <c r="C21" s="56" t="n">
        <v>342</v>
      </c>
      <c r="D21" s="25" t="n">
        <v>323</v>
      </c>
      <c r="E21" s="57" t="n">
        <v>458</v>
      </c>
      <c r="F21" s="58" t="n">
        <v>375</v>
      </c>
      <c r="G21" s="0" t="n">
        <v>342</v>
      </c>
      <c r="H21" s="59" t="n">
        <v>316</v>
      </c>
      <c r="I21" s="56" t="n">
        <v>324</v>
      </c>
      <c r="J21" s="0" t="n">
        <v>379</v>
      </c>
      <c r="K21" s="57" t="n">
        <v>323</v>
      </c>
      <c r="L21" s="56"/>
      <c r="M21" s="0" t="n">
        <v>323</v>
      </c>
      <c r="N21" s="57" t="n">
        <v>326</v>
      </c>
      <c r="O21" s="65" t="n">
        <f aca="false">IF(SUM(C21:E21)&gt;0,AVERAGE(C21:E21),"")</f>
        <v>374.333333333333</v>
      </c>
      <c r="P21" s="66" t="n">
        <f aca="false">IF(SUM(C21:E21)&gt;0, ( IF(C21&gt;0,(C21-O21)^2,0) + IF(D21&gt;0,(D21-O21)^2,0) + IF(E21&gt;0,(E21-O21)^2,0) ) / COUNT(C21:E21),"")</f>
        <v>3560.22222222222</v>
      </c>
      <c r="Q21" s="63" t="n">
        <f aca="false">IF(SUM(C21:E21)&gt;0,SQRT(P21),"")</f>
        <v>59.6675977580983</v>
      </c>
      <c r="R21" s="63" t="n">
        <f aca="false">IF(COUNT(C21:E21)&gt;0,VLOOKUP(COUNT(C21:E21),$AX$2:$AZ$5,3)*(Q21/SQRT(COUNT(C21:E21))),"")</f>
        <v>148.234492909289</v>
      </c>
      <c r="S21" s="63" t="n">
        <f aca="false">IF(COUNT(C21:E21)&gt;0,O21-R21,"")</f>
        <v>226.098840424044</v>
      </c>
      <c r="T21" s="63" t="n">
        <f aca="false">IF(COUNT(C21:E21)&gt;0,O21+R21,"")</f>
        <v>522.567826242623</v>
      </c>
      <c r="U21" s="64" t="n">
        <f aca="false">IF(COUNT(C21:E21)&gt;0,Q21/O21,"")</f>
        <v>0.159396966406318</v>
      </c>
      <c r="V21" s="65" t="n">
        <f aca="false">IF(SUM(F21:H21)&gt;0,AVERAGE(F21:H21),"")</f>
        <v>344.333333333333</v>
      </c>
      <c r="W21" s="66" t="n">
        <f aca="false">IF(SUM(F21:H21)&gt;0, ( IF(F21&gt;0,(F21-V21)^2,0) + IF(G21&gt;0,(G21-V21)^2,0) + IF(H21&gt;0,(H21-V21)^2,0) ) / COUNT(F21:H21),"")</f>
        <v>582.888888888889</v>
      </c>
      <c r="X21" s="63" t="n">
        <f aca="false">IF(SUM(F21:H21)&gt;0,SQRT(W21),"")</f>
        <v>24.1430919496424</v>
      </c>
      <c r="Y21" s="63" t="n">
        <f aca="false">IF(COUNT(F21:H21)&gt;0,VLOOKUP(COUNT(F21:H21),$AX$2:$AZ$5,3)*(X21/SQRT(COUNT(F21:H21))),"")</f>
        <v>59.9796057975511</v>
      </c>
      <c r="Z21" s="63" t="n">
        <f aca="false">IF(COUNT(F21:H21)&gt;0,V21-Y21,"")</f>
        <v>284.353727535782</v>
      </c>
      <c r="AA21" s="63" t="n">
        <f aca="false">IF(COUNT(F21:H21)&gt;0,V21+Y21,"")</f>
        <v>404.312939130884</v>
      </c>
      <c r="AB21" s="64" t="n">
        <f aca="false">IF(COUNT(F21:H21)&gt;0,X21/V21,"")</f>
        <v>0.0701154654878289</v>
      </c>
      <c r="AC21" s="26"/>
      <c r="AD21" s="65" t="n">
        <f aca="false">IF(SUM(I21:K21)&gt;0,AVERAGE(I21:K21),"")</f>
        <v>342</v>
      </c>
      <c r="AE21" s="66" t="n">
        <f aca="false">IF(SUM(I21:K21)&gt;0, ( IF(I21&gt;0,(I21-AD21)^2,0) + IF(J21&gt;0,(J21-AD21)^2,0) + IF(K21&gt;0,(K21-AD21)^2,0) ) / COUNT(I21:K21),"")</f>
        <v>684.666666666667</v>
      </c>
      <c r="AF21" s="63" t="n">
        <f aca="false">IF(SUM(I21:K21)&gt;0,SQRT(AE21),"")</f>
        <v>26.1661358757205</v>
      </c>
      <c r="AG21" s="63" t="n">
        <f aca="false">IF(COUNT(I21:K21)&gt;0,VLOOKUP(COUNT(I21:K21),$AX$2:$AZ$5,3)*(AF21/SQRT(COUNT(I21:K21))),"")</f>
        <v>65.0055311202225</v>
      </c>
      <c r="AH21" s="63" t="n">
        <f aca="false">IF(COUNT(I21:K21)&gt;0,AD21-AG21,"")</f>
        <v>276.994468879777</v>
      </c>
      <c r="AI21" s="63" t="n">
        <f aca="false">IF(COUNT(I21:K21)&gt;0,AD21+AG21,"")</f>
        <v>407.005531120223</v>
      </c>
      <c r="AJ21" s="64" t="n">
        <f aca="false">IF(COUNT(I21:K21)&gt;0,AF21/AD21,"")</f>
        <v>0.0765091692272529</v>
      </c>
      <c r="AK21" s="65" t="n">
        <f aca="false">IF(SUM(L21:N21)&gt;0,AVERAGE(L21:N21),"")</f>
        <v>324.5</v>
      </c>
      <c r="AL21" s="66" t="n">
        <f aca="false">IF(SUM(L21:N21)&gt;0, ( IF(L21&gt;0,(L21-AK21)^2,0) + IF(M21&gt;0,(M21-AK21)^2,0) + IF(N21&gt;0,(N21-AK21)^2,0) ) / COUNT(L21:N21),"")</f>
        <v>2.25</v>
      </c>
      <c r="AM21" s="63" t="n">
        <f aca="false">IF(SUM(L21:N21)&gt;0,SQRT(AL21),"")</f>
        <v>1.5</v>
      </c>
      <c r="AN21" s="63" t="n">
        <f aca="false">IF(COUNT(L21:N21)&gt;0,VLOOKUP(COUNT(L21:N21),$AX$2:$AZ$5,3)*(AM21/SQRT(COUNT(L21:N21))),"")</f>
        <v>13.4767481426344</v>
      </c>
      <c r="AO21" s="63" t="n">
        <f aca="false">IF(COUNT(L21:N21)&gt;0,AK21-AN21,"")</f>
        <v>311.023251857366</v>
      </c>
      <c r="AP21" s="63" t="n">
        <f aca="false">IF(COUNT(L21:N21)&gt;0,AK21+AN21,"")</f>
        <v>337.976748142634</v>
      </c>
      <c r="AQ21" s="64" t="n">
        <f aca="false">IF(COUNT(L21:N21)&gt;0,AM21/AK21,"")</f>
        <v>0.00462249614791988</v>
      </c>
    </row>
    <row r="22" customFormat="false" ht="12.8" hidden="false" customHeight="false" outlineLevel="0" collapsed="false">
      <c r="A22" s="56" t="s">
        <v>32</v>
      </c>
      <c r="B22" s="57" t="n">
        <v>82</v>
      </c>
      <c r="C22" s="56" t="n">
        <v>326</v>
      </c>
      <c r="D22" s="25" t="n">
        <v>298</v>
      </c>
      <c r="E22" s="57" t="n">
        <v>360</v>
      </c>
      <c r="F22" s="58" t="n">
        <v>282</v>
      </c>
      <c r="G22" s="0" t="n">
        <v>286</v>
      </c>
      <c r="H22" s="59" t="n">
        <v>340</v>
      </c>
      <c r="I22" s="56" t="n">
        <v>279</v>
      </c>
      <c r="J22" s="0" t="n">
        <v>308</v>
      </c>
      <c r="K22" s="57" t="n">
        <v>262</v>
      </c>
      <c r="L22" s="56"/>
      <c r="M22" s="0" t="n">
        <v>282</v>
      </c>
      <c r="N22" s="57" t="n">
        <v>303</v>
      </c>
      <c r="O22" s="65" t="n">
        <f aca="false">IF(SUM(C22:E22)&gt;0,AVERAGE(C22:E22),"")</f>
        <v>328</v>
      </c>
      <c r="P22" s="66" t="n">
        <f aca="false">IF(SUM(C22:E22)&gt;0, ( IF(C22&gt;0,(C22-O22)^2,0) + IF(D22&gt;0,(D22-O22)^2,0) + IF(E22&gt;0,(E22-O22)^2,0) ) / COUNT(C22:E22),"")</f>
        <v>642.666666666667</v>
      </c>
      <c r="Q22" s="63" t="n">
        <f aca="false">IF(SUM(C22:E22)&gt;0,SQRT(P22),"")</f>
        <v>25.3508711224421</v>
      </c>
      <c r="R22" s="63" t="n">
        <f aca="false">IF(COUNT(C22:E22)&gt;0,VLOOKUP(COUNT(C22:E22),$AX$2:$AZ$5,3)*(Q22/SQRT(COUNT(C22:E22))),"")</f>
        <v>62.980137743754</v>
      </c>
      <c r="S22" s="63" t="n">
        <f aca="false">IF(COUNT(C22:E22)&gt;0,O22-R22,"")</f>
        <v>265.019862256246</v>
      </c>
      <c r="T22" s="63" t="n">
        <f aca="false">IF(COUNT(C22:E22)&gt;0,O22+R22,"")</f>
        <v>390.980137743754</v>
      </c>
      <c r="U22" s="64" t="n">
        <f aca="false">IF(COUNT(C22:E22)&gt;0,Q22/O22,"")</f>
        <v>0.0772892412269575</v>
      </c>
      <c r="V22" s="65" t="n">
        <f aca="false">IF(SUM(F22:H22)&gt;0,AVERAGE(F22:H22),"")</f>
        <v>302.666666666667</v>
      </c>
      <c r="W22" s="66" t="n">
        <f aca="false">IF(SUM(F22:H22)&gt;0, ( IF(F22&gt;0,(F22-V22)^2,0) + IF(G22&gt;0,(G22-V22)^2,0) + IF(H22&gt;0,(H22-V22)^2,0) ) / COUNT(F22:H22),"")</f>
        <v>699.555555555556</v>
      </c>
      <c r="X22" s="63" t="n">
        <f aca="false">IF(SUM(F22:H22)&gt;0,SQRT(W22),"")</f>
        <v>26.4491125665032</v>
      </c>
      <c r="Y22" s="63" t="n">
        <f aca="false">IF(COUNT(F22:H22)&gt;0,VLOOKUP(COUNT(F22:H22),$AX$2:$AZ$5,3)*(X22/SQRT(COUNT(F22:H22))),"")</f>
        <v>65.7085409251988</v>
      </c>
      <c r="Z22" s="63" t="n">
        <f aca="false">IF(COUNT(F22:H22)&gt;0,V22-Y22,"")</f>
        <v>236.958125741468</v>
      </c>
      <c r="AA22" s="63" t="n">
        <f aca="false">IF(COUNT(F22:H22)&gt;0,V22+Y22,"")</f>
        <v>368.375207591865</v>
      </c>
      <c r="AB22" s="64" t="n">
        <f aca="false">IF(COUNT(F22:H22)&gt;0,X22/V22,"")</f>
        <v>0.0873869357924113</v>
      </c>
      <c r="AC22" s="26"/>
      <c r="AD22" s="65" t="n">
        <f aca="false">IF(SUM(I22:K22)&gt;0,AVERAGE(I22:K22),"")</f>
        <v>283</v>
      </c>
      <c r="AE22" s="66" t="n">
        <f aca="false">IF(SUM(I22:K22)&gt;0, ( IF(I22&gt;0,(I22-AD22)^2,0) + IF(J22&gt;0,(J22-AD22)^2,0) + IF(K22&gt;0,(K22-AD22)^2,0) ) / COUNT(I22:K22),"")</f>
        <v>360.666666666667</v>
      </c>
      <c r="AF22" s="63" t="n">
        <f aca="false">IF(SUM(I22:K22)&gt;0,SQRT(AE22),"")</f>
        <v>18.9912260443255</v>
      </c>
      <c r="AG22" s="63" t="n">
        <f aca="false">IF(COUNT(I22:K22)&gt;0,VLOOKUP(COUNT(I22:K22),$AX$2:$AZ$5,3)*(AF22/SQRT(COUNT(I22:K22))),"")</f>
        <v>47.1806284848159</v>
      </c>
      <c r="AH22" s="63" t="n">
        <f aca="false">IF(COUNT(I22:K22)&gt;0,AD22-AG22,"")</f>
        <v>235.819371515184</v>
      </c>
      <c r="AI22" s="63" t="n">
        <f aca="false">IF(COUNT(I22:K22)&gt;0,AD22+AG22,"")</f>
        <v>330.180628484816</v>
      </c>
      <c r="AJ22" s="64" t="n">
        <f aca="false">IF(COUNT(I22:K22)&gt;0,AF22/AD22,"")</f>
        <v>0.0671068058103374</v>
      </c>
      <c r="AK22" s="65" t="n">
        <f aca="false">IF(SUM(L22:N22)&gt;0,AVERAGE(L22:N22),"")</f>
        <v>292.5</v>
      </c>
      <c r="AL22" s="66" t="n">
        <f aca="false">IF(SUM(L22:N22)&gt;0, ( IF(L22&gt;0,(L22-AK22)^2,0) + IF(M22&gt;0,(M22-AK22)^2,0) + IF(N22&gt;0,(N22-AK22)^2,0) ) / COUNT(L22:N22),"")</f>
        <v>110.25</v>
      </c>
      <c r="AM22" s="63" t="n">
        <f aca="false">IF(SUM(L22:N22)&gt;0,SQRT(AL22),"")</f>
        <v>10.5</v>
      </c>
      <c r="AN22" s="63" t="n">
        <f aca="false">IF(COUNT(L22:N22)&gt;0,VLOOKUP(COUNT(L22:N22),$AX$2:$AZ$5,3)*(AM22/SQRT(COUNT(L22:N22))),"")</f>
        <v>94.3372369984409</v>
      </c>
      <c r="AO22" s="63" t="n">
        <f aca="false">IF(COUNT(L22:N22)&gt;0,AK22-AN22,"")</f>
        <v>198.162763001559</v>
      </c>
      <c r="AP22" s="63" t="n">
        <f aca="false">IF(COUNT(L22:N22)&gt;0,AK22+AN22,"")</f>
        <v>386.837236998441</v>
      </c>
      <c r="AQ22" s="64" t="n">
        <f aca="false">IF(COUNT(L22:N22)&gt;0,AM22/AK22,"")</f>
        <v>0.0358974358974359</v>
      </c>
    </row>
    <row r="23" customFormat="false" ht="12.8" hidden="false" customHeight="false" outlineLevel="0" collapsed="false">
      <c r="A23" s="56" t="s">
        <v>32</v>
      </c>
      <c r="B23" s="57" t="n">
        <v>100</v>
      </c>
      <c r="C23" s="56" t="n">
        <v>236</v>
      </c>
      <c r="D23" s="25" t="n">
        <v>267</v>
      </c>
      <c r="E23" s="57" t="n">
        <v>296</v>
      </c>
      <c r="F23" s="58" t="n">
        <v>266</v>
      </c>
      <c r="G23" s="0" t="n">
        <v>312</v>
      </c>
      <c r="H23" s="59" t="n">
        <v>254</v>
      </c>
      <c r="I23" s="56" t="n">
        <v>247</v>
      </c>
      <c r="J23" s="0" t="n">
        <v>302</v>
      </c>
      <c r="K23" s="57"/>
      <c r="L23" s="56"/>
      <c r="M23" s="0" t="n">
        <v>286</v>
      </c>
      <c r="N23" s="57" t="n">
        <v>231</v>
      </c>
      <c r="O23" s="65" t="n">
        <f aca="false">IF(SUM(C23:E23)&gt;0,AVERAGE(C23:E23),"")</f>
        <v>266.333333333333</v>
      </c>
      <c r="P23" s="66" t="n">
        <f aca="false">IF(SUM(C23:E23)&gt;0, ( IF(C23&gt;0,(C23-O23)^2,0) + IF(D23&gt;0,(D23-O23)^2,0) + IF(E23&gt;0,(E23-O23)^2,0) ) / COUNT(C23:E23),"")</f>
        <v>600.222222222222</v>
      </c>
      <c r="Q23" s="63" t="n">
        <f aca="false">IF(SUM(C23:E23)&gt;0,SQRT(P23),"")</f>
        <v>24.4994331000173</v>
      </c>
      <c r="R23" s="63" t="n">
        <f aca="false">IF(COUNT(C23:E23)&gt;0,VLOOKUP(COUNT(C23:E23),$AX$2:$AZ$5,3)*(Q23/SQRT(COUNT(C23:E23))),"")</f>
        <v>60.8648777326251</v>
      </c>
      <c r="S23" s="63" t="n">
        <f aca="false">IF(COUNT(C23:E23)&gt;0,O23-R23,"")</f>
        <v>205.468455600708</v>
      </c>
      <c r="T23" s="63" t="n">
        <f aca="false">IF(COUNT(C23:E23)&gt;0,O23+R23,"")</f>
        <v>327.198211065958</v>
      </c>
      <c r="U23" s="64" t="n">
        <f aca="false">IF(COUNT(C23:E23)&gt;0,Q23/O23,"")</f>
        <v>0.0919878589487507</v>
      </c>
      <c r="V23" s="65" t="n">
        <f aca="false">IF(SUM(F23:H23)&gt;0,AVERAGE(F23:H23),"")</f>
        <v>277.333333333333</v>
      </c>
      <c r="W23" s="66" t="n">
        <f aca="false">IF(SUM(F23:H23)&gt;0, ( IF(F23&gt;0,(F23-V23)^2,0) + IF(G23&gt;0,(G23-V23)^2,0) + IF(H23&gt;0,(H23-V23)^2,0) ) / COUNT(F23:H23),"")</f>
        <v>624.888888888889</v>
      </c>
      <c r="X23" s="63" t="n">
        <f aca="false">IF(SUM(F23:H23)&gt;0,SQRT(W23),"")</f>
        <v>24.9977776790036</v>
      </c>
      <c r="Y23" s="63" t="n">
        <f aca="false">IF(COUNT(F23:H23)&gt;0,VLOOKUP(COUNT(F23:H23),$AX$2:$AZ$5,3)*(X23/SQRT(COUNT(F23:H23))),"")</f>
        <v>62.1029342111114</v>
      </c>
      <c r="Z23" s="63" t="n">
        <f aca="false">IF(COUNT(F23:H23)&gt;0,V23-Y23,"")</f>
        <v>215.230399122222</v>
      </c>
      <c r="AA23" s="63" t="n">
        <f aca="false">IF(COUNT(F23:H23)&gt;0,V23+Y23,"")</f>
        <v>339.436267544445</v>
      </c>
      <c r="AB23" s="64" t="n">
        <f aca="false">IF(COUNT(F23:H23)&gt;0,X23/V23,"")</f>
        <v>0.0901362175925609</v>
      </c>
      <c r="AC23" s="26"/>
      <c r="AD23" s="65" t="n">
        <f aca="false">IF(SUM(I23:K23)&gt;0,AVERAGE(I23:K23),"")</f>
        <v>274.5</v>
      </c>
      <c r="AE23" s="66" t="n">
        <f aca="false">IF(SUM(I23:K23)&gt;0, ( IF(I23&gt;0,(I23-AD23)^2,0) + IF(J23&gt;0,(J23-AD23)^2,0) + IF(K23&gt;0,(K23-AD23)^2,0) ) / COUNT(I23:K23),"")</f>
        <v>756.25</v>
      </c>
      <c r="AF23" s="63" t="n">
        <f aca="false">IF(SUM(I23:K23)&gt;0,SQRT(AE23),"")</f>
        <v>27.5</v>
      </c>
      <c r="AG23" s="63" t="n">
        <f aca="false">IF(COUNT(I23:K23)&gt;0,VLOOKUP(COUNT(I23:K23),$AX$2:$AZ$5,3)*(AF23/SQRT(COUNT(I23:K23))),"")</f>
        <v>247.073715948297</v>
      </c>
      <c r="AH23" s="63" t="n">
        <f aca="false">IF(COUNT(I23:K23)&gt;0,AD23-AG23,"")</f>
        <v>27.4262840517025</v>
      </c>
      <c r="AI23" s="63" t="n">
        <f aca="false">IF(COUNT(I23:K23)&gt;0,AD23+AG23,"")</f>
        <v>521.573715948298</v>
      </c>
      <c r="AJ23" s="64" t="n">
        <f aca="false">IF(COUNT(I23:K23)&gt;0,AF23/AD23,"")</f>
        <v>0.100182149362477</v>
      </c>
      <c r="AK23" s="65" t="n">
        <f aca="false">IF(SUM(L23:N23)&gt;0,AVERAGE(L23:N23),"")</f>
        <v>258.5</v>
      </c>
      <c r="AL23" s="66" t="n">
        <f aca="false">IF(SUM(L23:N23)&gt;0, ( IF(L23&gt;0,(L23-AK23)^2,0) + IF(M23&gt;0,(M23-AK23)^2,0) + IF(N23&gt;0,(N23-AK23)^2,0) ) / COUNT(L23:N23),"")</f>
        <v>756.25</v>
      </c>
      <c r="AM23" s="63" t="n">
        <f aca="false">IF(SUM(L23:N23)&gt;0,SQRT(AL23),"")</f>
        <v>27.5</v>
      </c>
      <c r="AN23" s="63" t="n">
        <f aca="false">IF(COUNT(L23:N23)&gt;0,VLOOKUP(COUNT(L23:N23),$AX$2:$AZ$5,3)*(AM23/SQRT(COUNT(L23:N23))),"")</f>
        <v>247.073715948297</v>
      </c>
      <c r="AO23" s="63" t="n">
        <f aca="false">IF(COUNT(L23:N23)&gt;0,AK23-AN23,"")</f>
        <v>11.4262840517025</v>
      </c>
      <c r="AP23" s="63" t="n">
        <f aca="false">IF(COUNT(L23:N23)&gt;0,AK23+AN23,"")</f>
        <v>505.573715948298</v>
      </c>
      <c r="AQ23" s="64" t="n">
        <f aca="false">IF(COUNT(L23:N23)&gt;0,AM23/AK23,"")</f>
        <v>0.106382978723404</v>
      </c>
    </row>
    <row r="24" customFormat="false" ht="12.8" hidden="false" customHeight="false" outlineLevel="0" collapsed="false">
      <c r="A24" s="56" t="s">
        <v>33</v>
      </c>
      <c r="B24" s="57" t="n">
        <v>5</v>
      </c>
      <c r="C24" s="56"/>
      <c r="D24" s="25"/>
      <c r="E24" s="57"/>
      <c r="F24" s="58"/>
      <c r="H24" s="59"/>
      <c r="I24" s="56"/>
      <c r="K24" s="57"/>
      <c r="L24" s="56"/>
      <c r="N24" s="57"/>
      <c r="O24" s="65" t="str">
        <f aca="false">IF(SUM(C24:E24)&gt;0,AVERAGE(C24:E24),"")</f>
        <v/>
      </c>
      <c r="P24" s="66" t="str">
        <f aca="false">IF(SUM(C24:E24)&gt;0, ( IF(C24&gt;0,(C24-O24)^2,0) + IF(D24&gt;0,(D24-O24)^2,0) + IF(E24&gt;0,(E24-O24)^2,0) ) / COUNT(C24:E24),"")</f>
        <v/>
      </c>
      <c r="Q24" s="63" t="str">
        <f aca="false">IF(SUM(C24:E24)&gt;0,SQRT(P24),"")</f>
        <v/>
      </c>
      <c r="R24" s="63" t="str">
        <f aca="false">IF(COUNT(C24:E24)&gt;0,VLOOKUP(COUNT(C24:E24),$AX$2:$AZ$5,3)*(Q24/SQRT(COUNT(C24:E24))),"")</f>
        <v/>
      </c>
      <c r="S24" s="63" t="str">
        <f aca="false">IF(COUNT(C24:E24)&gt;0,O24-R24,"")</f>
        <v/>
      </c>
      <c r="T24" s="63" t="str">
        <f aca="false">IF(COUNT(C24:E24)&gt;0,O24+R24,"")</f>
        <v/>
      </c>
      <c r="U24" s="64" t="str">
        <f aca="false">IF(COUNT(C24:E24)&gt;0,Q24/O24,"")</f>
        <v/>
      </c>
      <c r="V24" s="65" t="str">
        <f aca="false">IF(SUM(F24:H24)&gt;0,AVERAGE(F24:H24),"")</f>
        <v/>
      </c>
      <c r="W24" s="66" t="str">
        <f aca="false">IF(SUM(F24:H24)&gt;0, ( IF(F24&gt;0,(F24-V24)^2,0) + IF(G24&gt;0,(G24-V24)^2,0) + IF(H24&gt;0,(H24-V24)^2,0) ) / COUNT(F24:H24),"")</f>
        <v/>
      </c>
      <c r="X24" s="63" t="str">
        <f aca="false">IF(SUM(F24:H24)&gt;0,SQRT(W24),"")</f>
        <v/>
      </c>
      <c r="Y24" s="63" t="str">
        <f aca="false">IF(COUNT(F24:H24)&gt;0,VLOOKUP(COUNT(F24:H24),$AX$2:$AZ$5,3)*(X24/SQRT(COUNT(F24:H24))),"")</f>
        <v/>
      </c>
      <c r="Z24" s="63" t="str">
        <f aca="false">IF(COUNT(F24:H24)&gt;0,V24-Y24,"")</f>
        <v/>
      </c>
      <c r="AA24" s="63" t="str">
        <f aca="false">IF(COUNT(F24:H24)&gt;0,V24+Y24,"")</f>
        <v/>
      </c>
      <c r="AB24" s="64" t="str">
        <f aca="false">IF(COUNT(F24:H24)&gt;0,X24/V24,"")</f>
        <v/>
      </c>
      <c r="AC24" s="26"/>
      <c r="AD24" s="65" t="str">
        <f aca="false">IF(SUM(I24:K24)&gt;0,AVERAGE(I24:K24),"")</f>
        <v/>
      </c>
      <c r="AE24" s="66" t="str">
        <f aca="false">IF(SUM(I24:K24)&gt;0, ( IF(I24&gt;0,(I24-AD24)^2,0) + IF(J24&gt;0,(J24-AD24)^2,0) + IF(K24&gt;0,(K24-AD24)^2,0) ) / COUNT(I24:K24),"")</f>
        <v/>
      </c>
      <c r="AF24" s="63" t="str">
        <f aca="false">IF(SUM(I24:K24)&gt;0,SQRT(AE24),"")</f>
        <v/>
      </c>
      <c r="AG24" s="63" t="str">
        <f aca="false">IF(COUNT(I24:K24)&gt;0,VLOOKUP(COUNT(I24:K24),$AX$2:$AZ$5,3)*(AF24/SQRT(COUNT(I24:K24))),"")</f>
        <v/>
      </c>
      <c r="AH24" s="63" t="str">
        <f aca="false">IF(COUNT(I24:K24)&gt;0,AD24-AG24,"")</f>
        <v/>
      </c>
      <c r="AI24" s="63" t="str">
        <f aca="false">IF(COUNT(I24:K24)&gt;0,AD24+AG24,"")</f>
        <v/>
      </c>
      <c r="AJ24" s="64" t="str">
        <f aca="false">IF(COUNT(I24:K24)&gt;0,AF24/AD24,"")</f>
        <v/>
      </c>
      <c r="AK24" s="65" t="str">
        <f aca="false">IF(SUM(L24:N24)&gt;0,AVERAGE(L24:N24),"")</f>
        <v/>
      </c>
      <c r="AL24" s="66" t="str">
        <f aca="false">IF(SUM(L24:N24)&gt;0, ( IF(L24&gt;0,(L24-AK24)^2,0) + IF(M24&gt;0,(M24-AK24)^2,0) + IF(N24&gt;0,(N24-AK24)^2,0) ) / COUNT(L24:N24),"")</f>
        <v/>
      </c>
      <c r="AM24" s="63" t="str">
        <f aca="false">IF(SUM(L24:N24)&gt;0,SQRT(AL24),"")</f>
        <v/>
      </c>
      <c r="AN24" s="63" t="str">
        <f aca="false">IF(COUNT(L24:N24)&gt;0,VLOOKUP(COUNT(L24:N24),$AX$2:$AZ$5,3)*(AM24/SQRT(COUNT(L24:N24))),"")</f>
        <v/>
      </c>
      <c r="AO24" s="63" t="str">
        <f aca="false">IF(COUNT(L24:N24)&gt;0,AK24-AN24,"")</f>
        <v/>
      </c>
      <c r="AP24" s="63" t="str">
        <f aca="false">IF(COUNT(L24:N24)&gt;0,AK24+AN24,"")</f>
        <v/>
      </c>
      <c r="AQ24" s="64" t="str">
        <f aca="false">IF(COUNT(L24:N24)&gt;0,AM24/AK24,"")</f>
        <v/>
      </c>
    </row>
    <row r="25" customFormat="false" ht="12.8" hidden="false" customHeight="false" outlineLevel="0" collapsed="false">
      <c r="A25" s="56" t="s">
        <v>33</v>
      </c>
      <c r="B25" s="57" t="n">
        <v>10</v>
      </c>
      <c r="C25" s="56"/>
      <c r="D25" s="25"/>
      <c r="E25" s="57"/>
      <c r="F25" s="58" t="n">
        <v>2580</v>
      </c>
      <c r="H25" s="59"/>
      <c r="I25" s="56" t="n">
        <v>2672</v>
      </c>
      <c r="K25" s="57" t="n">
        <v>2168</v>
      </c>
      <c r="L25" s="56"/>
      <c r="N25" s="57"/>
      <c r="O25" s="65" t="str">
        <f aca="false">IF(SUM(C25:E25)&gt;0,AVERAGE(C25:E25),"")</f>
        <v/>
      </c>
      <c r="P25" s="66" t="str">
        <f aca="false">IF(SUM(C25:E25)&gt;0, ( IF(C25&gt;0,(C25-O25)^2,0) + IF(D25&gt;0,(D25-O25)^2,0) + IF(E25&gt;0,(E25-O25)^2,0) ) / COUNT(C25:E25),"")</f>
        <v/>
      </c>
      <c r="Q25" s="63" t="str">
        <f aca="false">IF(SUM(C25:E25)&gt;0,SQRT(P25),"")</f>
        <v/>
      </c>
      <c r="R25" s="63" t="str">
        <f aca="false">IF(COUNT(C25:E25)&gt;0,VLOOKUP(COUNT(C25:E25),$AX$2:$AZ$5,3)*(Q25/SQRT(COUNT(C25:E25))),"")</f>
        <v/>
      </c>
      <c r="S25" s="63" t="str">
        <f aca="false">IF(COUNT(C25:E25)&gt;0,O25-R25,"")</f>
        <v/>
      </c>
      <c r="T25" s="63" t="str">
        <f aca="false">IF(COUNT(C25:E25)&gt;0,O25+R25,"")</f>
        <v/>
      </c>
      <c r="U25" s="64" t="str">
        <f aca="false">IF(COUNT(C25:E25)&gt;0,Q25/O25,"")</f>
        <v/>
      </c>
      <c r="V25" s="65" t="n">
        <f aca="false">IF(SUM(F25:H25)&gt;0,AVERAGE(F25:H25),"")</f>
        <v>2580</v>
      </c>
      <c r="W25" s="66" t="n">
        <f aca="false">IF(SUM(F25:H25)&gt;0, ( IF(F25&gt;0,(F25-V25)^2,0) + IF(G25&gt;0,(G25-V25)^2,0) + IF(H25&gt;0,(H25-V25)^2,0) ) / COUNT(F25:H25),"")</f>
        <v>0</v>
      </c>
      <c r="X25" s="63" t="n">
        <f aca="false">IF(SUM(F25:H25)&gt;0,SQRT(W25),"")</f>
        <v>0</v>
      </c>
      <c r="Y25" s="63" t="n">
        <f aca="false">IF(COUNT(F25:H25)&gt;0,VLOOKUP(COUNT(F25:H25),$AX$2:$AZ$5,3)*(X25/SQRT(COUNT(F25:H25))),"")</f>
        <v>0</v>
      </c>
      <c r="Z25" s="63" t="n">
        <f aca="false">IF(COUNT(F25:H25)&gt;0,V25-Y25,"")</f>
        <v>2580</v>
      </c>
      <c r="AA25" s="63" t="n">
        <f aca="false">IF(COUNT(F25:H25)&gt;0,V25+Y25,"")</f>
        <v>2580</v>
      </c>
      <c r="AB25" s="64" t="n">
        <f aca="false">IF(COUNT(F25:H25)&gt;0,X25/V25,"")</f>
        <v>0</v>
      </c>
      <c r="AC25" s="26"/>
      <c r="AD25" s="65" t="n">
        <f aca="false">IF(SUM(I25:K25)&gt;0,AVERAGE(I25:K25),"")</f>
        <v>2420</v>
      </c>
      <c r="AE25" s="66" t="n">
        <f aca="false">IF(SUM(I25:K25)&gt;0, ( IF(I25&gt;0,(I25-AD25)^2,0) + IF(J25&gt;0,(J25-AD25)^2,0) + IF(K25&gt;0,(K25-AD25)^2,0) ) / COUNT(I25:K25),"")</f>
        <v>63504</v>
      </c>
      <c r="AF25" s="63" t="n">
        <f aca="false">IF(SUM(I25:K25)&gt;0,SQRT(AE25),"")</f>
        <v>252</v>
      </c>
      <c r="AG25" s="63" t="n">
        <f aca="false">IF(COUNT(I25:K25)&gt;0,VLOOKUP(COUNT(I25:K25),$AX$2:$AZ$5,3)*(AF25/SQRT(COUNT(I25:K25))),"")</f>
        <v>2264.09368796258</v>
      </c>
      <c r="AH25" s="63" t="n">
        <f aca="false">IF(COUNT(I25:K25)&gt;0,AD25-AG25,"")</f>
        <v>155.906312037419</v>
      </c>
      <c r="AI25" s="63" t="n">
        <f aca="false">IF(COUNT(I25:K25)&gt;0,AD25+AG25,"")</f>
        <v>4684.09368796258</v>
      </c>
      <c r="AJ25" s="64" t="n">
        <f aca="false">IF(COUNT(I25:K25)&gt;0,AF25/AD25,"")</f>
        <v>0.104132231404959</v>
      </c>
      <c r="AK25" s="65" t="str">
        <f aca="false">IF(SUM(L25:N25)&gt;0,AVERAGE(L25:N25),"")</f>
        <v/>
      </c>
      <c r="AL25" s="66" t="str">
        <f aca="false">IF(SUM(L25:N25)&gt;0, ( IF(L25&gt;0,(L25-AK25)^2,0) + IF(M25&gt;0,(M25-AK25)^2,0) + IF(N25&gt;0,(N25-AK25)^2,0) ) / COUNT(L25:N25),"")</f>
        <v/>
      </c>
      <c r="AM25" s="63" t="str">
        <f aca="false">IF(SUM(L25:N25)&gt;0,SQRT(AL25),"")</f>
        <v/>
      </c>
      <c r="AN25" s="63" t="str">
        <f aca="false">IF(COUNT(L25:N25)&gt;0,VLOOKUP(COUNT(L25:N25),$AX$2:$AZ$5,3)*(AM25/SQRT(COUNT(L25:N25))),"")</f>
        <v/>
      </c>
      <c r="AO25" s="63" t="str">
        <f aca="false">IF(COUNT(L25:N25)&gt;0,AK25-AN25,"")</f>
        <v/>
      </c>
      <c r="AP25" s="63" t="str">
        <f aca="false">IF(COUNT(L25:N25)&gt;0,AK25+AN25,"")</f>
        <v/>
      </c>
      <c r="AQ25" s="64" t="str">
        <f aca="false">IF(COUNT(L25:N25)&gt;0,AM25/AK25,"")</f>
        <v/>
      </c>
    </row>
    <row r="26" customFormat="false" ht="12.8" hidden="false" customHeight="false" outlineLevel="0" collapsed="false">
      <c r="A26" s="56" t="s">
        <v>33</v>
      </c>
      <c r="B26" s="57" t="n">
        <v>15</v>
      </c>
      <c r="C26" s="56" t="n">
        <v>1602</v>
      </c>
      <c r="D26" s="25" t="n">
        <v>1890</v>
      </c>
      <c r="E26" s="57"/>
      <c r="F26" s="58" t="n">
        <v>1983</v>
      </c>
      <c r="H26" s="59" t="n">
        <v>2439</v>
      </c>
      <c r="I26" s="56" t="n">
        <v>1630</v>
      </c>
      <c r="J26" s="0" t="n">
        <v>1670</v>
      </c>
      <c r="K26" s="57" t="n">
        <v>1396</v>
      </c>
      <c r="L26" s="56"/>
      <c r="M26" s="0" t="n">
        <v>1890</v>
      </c>
      <c r="N26" s="57"/>
      <c r="O26" s="65" t="n">
        <f aca="false">IF(SUM(C26:E26)&gt;0,AVERAGE(C26:E26),"")</f>
        <v>1746</v>
      </c>
      <c r="P26" s="66" t="n">
        <f aca="false">IF(SUM(C26:E26)&gt;0, ( IF(C26&gt;0,(C26-O26)^2,0) + IF(D26&gt;0,(D26-O26)^2,0) + IF(E26&gt;0,(E26-O26)^2,0) ) / COUNT(C26:E26),"")</f>
        <v>20736</v>
      </c>
      <c r="Q26" s="63" t="n">
        <f aca="false">IF(SUM(C26:E26)&gt;0,SQRT(P26),"")</f>
        <v>144</v>
      </c>
      <c r="R26" s="63" t="n">
        <f aca="false">IF(COUNT(C26:E26)&gt;0,VLOOKUP(COUNT(C26:E26),$AX$2:$AZ$5,3)*(Q26/SQRT(COUNT(C26:E26))),"")</f>
        <v>1293.7678216929</v>
      </c>
      <c r="S26" s="63" t="n">
        <f aca="false">IF(COUNT(C26:E26)&gt;0,O26-R26,"")</f>
        <v>452.232178307097</v>
      </c>
      <c r="T26" s="63" t="n">
        <f aca="false">IF(COUNT(C26:E26)&gt;0,O26+R26,"")</f>
        <v>3039.7678216929</v>
      </c>
      <c r="U26" s="64" t="n">
        <f aca="false">IF(COUNT(C26:E26)&gt;0,Q26/O26,"")</f>
        <v>0.0824742268041237</v>
      </c>
      <c r="V26" s="65" t="n">
        <f aca="false">IF(SUM(F26:H26)&gt;0,AVERAGE(F26:H26),"")</f>
        <v>2211</v>
      </c>
      <c r="W26" s="66" t="n">
        <f aca="false">IF(SUM(F26:H26)&gt;0, ( IF(F26&gt;0,(F26-V26)^2,0) + IF(G26&gt;0,(G26-V26)^2,0) + IF(H26&gt;0,(H26-V26)^2,0) ) / COUNT(F26:H26),"")</f>
        <v>51984</v>
      </c>
      <c r="X26" s="63" t="n">
        <f aca="false">IF(SUM(F26:H26)&gt;0,SQRT(W26),"")</f>
        <v>228</v>
      </c>
      <c r="Y26" s="63" t="n">
        <f aca="false">IF(COUNT(F26:H26)&gt;0,VLOOKUP(COUNT(F26:H26),$AX$2:$AZ$5,3)*(X26/SQRT(COUNT(F26:H26))),"")</f>
        <v>2048.46571768043</v>
      </c>
      <c r="Z26" s="63" t="n">
        <f aca="false">IF(COUNT(F26:H26)&gt;0,V26-Y26,"")</f>
        <v>162.53428231957</v>
      </c>
      <c r="AA26" s="63" t="n">
        <f aca="false">IF(COUNT(F26:H26)&gt;0,V26+Y26,"")</f>
        <v>4259.46571768043</v>
      </c>
      <c r="AB26" s="64" t="n">
        <f aca="false">IF(COUNT(F26:H26)&gt;0,X26/V26,"")</f>
        <v>0.103120759837178</v>
      </c>
      <c r="AC26" s="26"/>
      <c r="AD26" s="65" t="n">
        <f aca="false">IF(SUM(I26:K26)&gt;0,AVERAGE(I26:K26),"")</f>
        <v>1565.33333333333</v>
      </c>
      <c r="AE26" s="66" t="n">
        <f aca="false">IF(SUM(I26:K26)&gt;0, ( IF(I26&gt;0,(I26-AD26)^2,0) + IF(J26&gt;0,(J26-AD26)^2,0) + IF(K26&gt;0,(K26-AD26)^2,0) ) / COUNT(I26:K26),"")</f>
        <v>14603.5555555556</v>
      </c>
      <c r="AF26" s="63" t="n">
        <f aca="false">IF(SUM(I26:K26)&gt;0,SQRT(AE26),"")</f>
        <v>120.845171833862</v>
      </c>
      <c r="AG26" s="63" t="n">
        <f aca="false">IF(COUNT(I26:K26)&gt;0,VLOOKUP(COUNT(I26:K26),$AX$2:$AZ$5,3)*(AF26/SQRT(COUNT(I26:K26))),"")</f>
        <v>300.220277678216</v>
      </c>
      <c r="AH26" s="63" t="n">
        <f aca="false">IF(COUNT(I26:K26)&gt;0,AD26-AG26,"")</f>
        <v>1265.11305565512</v>
      </c>
      <c r="AI26" s="63" t="n">
        <f aca="false">IF(COUNT(I26:K26)&gt;0,AD26+AG26,"")</f>
        <v>1865.55361101155</v>
      </c>
      <c r="AJ26" s="64" t="n">
        <f aca="false">IF(COUNT(I26:K26)&gt;0,AF26/AD26,"")</f>
        <v>0.0772009189739321</v>
      </c>
      <c r="AK26" s="65" t="n">
        <f aca="false">IF(SUM(L26:N26)&gt;0,AVERAGE(L26:N26),"")</f>
        <v>1890</v>
      </c>
      <c r="AL26" s="66" t="n">
        <f aca="false">IF(SUM(L26:N26)&gt;0, ( IF(L26&gt;0,(L26-AK26)^2,0) + IF(M26&gt;0,(M26-AK26)^2,0) + IF(N26&gt;0,(N26-AK26)^2,0) ) / COUNT(L26:N26),"")</f>
        <v>0</v>
      </c>
      <c r="AM26" s="63" t="n">
        <f aca="false">IF(SUM(L26:N26)&gt;0,SQRT(AL26),"")</f>
        <v>0</v>
      </c>
      <c r="AN26" s="63" t="n">
        <f aca="false">IF(COUNT(L26:N26)&gt;0,VLOOKUP(COUNT(L26:N26),$AX$2:$AZ$5,3)*(AM26/SQRT(COUNT(L26:N26))),"")</f>
        <v>0</v>
      </c>
      <c r="AO26" s="63" t="n">
        <f aca="false">IF(COUNT(L26:N26)&gt;0,AK26-AN26,"")</f>
        <v>1890</v>
      </c>
      <c r="AP26" s="63" t="n">
        <f aca="false">IF(COUNT(L26:N26)&gt;0,AK26+AN26,"")</f>
        <v>1890</v>
      </c>
      <c r="AQ26" s="64" t="n">
        <f aca="false">IF(COUNT(L26:N26)&gt;0,AM26/AK26,"")</f>
        <v>0</v>
      </c>
    </row>
    <row r="27" customFormat="false" ht="12.8" hidden="false" customHeight="false" outlineLevel="0" collapsed="false">
      <c r="A27" s="56" t="s">
        <v>33</v>
      </c>
      <c r="B27" s="57" t="n">
        <v>20</v>
      </c>
      <c r="C27" s="56" t="n">
        <v>1308</v>
      </c>
      <c r="D27" s="25" t="n">
        <v>1289</v>
      </c>
      <c r="E27" s="57" t="n">
        <v>2140</v>
      </c>
      <c r="F27" s="58" t="n">
        <v>1768</v>
      </c>
      <c r="G27" s="0" t="n">
        <v>1506</v>
      </c>
      <c r="H27" s="59" t="n">
        <v>1939</v>
      </c>
      <c r="I27" s="56" t="n">
        <v>1158</v>
      </c>
      <c r="J27" s="0" t="n">
        <v>1303</v>
      </c>
      <c r="K27" s="57" t="n">
        <v>1474</v>
      </c>
      <c r="L27" s="56"/>
      <c r="M27" s="0" t="n">
        <v>1289</v>
      </c>
      <c r="N27" s="57"/>
      <c r="O27" s="65" t="n">
        <f aca="false">IF(SUM(C27:E27)&gt;0,AVERAGE(C27:E27),"")</f>
        <v>1579</v>
      </c>
      <c r="P27" s="66" t="n">
        <f aca="false">IF(SUM(C27:E27)&gt;0, ( IF(C27&gt;0,(C27-O27)^2,0) + IF(D27&gt;0,(D27-O27)^2,0) + IF(E27&gt;0,(E27-O27)^2,0) ) / COUNT(C27:E27),"")</f>
        <v>157420.666666667</v>
      </c>
      <c r="Q27" s="63" t="n">
        <f aca="false">IF(SUM(C27:E27)&gt;0,SQRT(P27),"")</f>
        <v>396.762733465061</v>
      </c>
      <c r="R27" s="63" t="n">
        <f aca="false">IF(COUNT(C27:E27)&gt;0,VLOOKUP(COUNT(C27:E27),$AX$2:$AZ$5,3)*(Q27/SQRT(COUNT(C27:E27))),"")</f>
        <v>985.692818385909</v>
      </c>
      <c r="S27" s="63" t="n">
        <f aca="false">IF(COUNT(C27:E27)&gt;0,O27-R27,"")</f>
        <v>593.307181614091</v>
      </c>
      <c r="T27" s="63" t="n">
        <f aca="false">IF(COUNT(C27:E27)&gt;0,O27+R27,"")</f>
        <v>2564.69281838591</v>
      </c>
      <c r="U27" s="64" t="n">
        <f aca="false">IF(COUNT(C27:E27)&gt;0,Q27/O27,"")</f>
        <v>0.251274688704915</v>
      </c>
      <c r="V27" s="65" t="n">
        <f aca="false">IF(SUM(F27:H27)&gt;0,AVERAGE(F27:H27),"")</f>
        <v>1737.66666666667</v>
      </c>
      <c r="W27" s="66" t="n">
        <f aca="false">IF(SUM(F27:H27)&gt;0, ( IF(F27&gt;0,(F27-V27)^2,0) + IF(G27&gt;0,(G27-V27)^2,0) + IF(H27&gt;0,(H27-V27)^2,0) ) / COUNT(F27:H27),"")</f>
        <v>31708.2222222222</v>
      </c>
      <c r="X27" s="63" t="n">
        <f aca="false">IF(SUM(F27:H27)&gt;0,SQRT(W27),"")</f>
        <v>178.068026951</v>
      </c>
      <c r="Y27" s="63" t="n">
        <f aca="false">IF(COUNT(F27:H27)&gt;0,VLOOKUP(COUNT(F27:H27),$AX$2:$AZ$5,3)*(X27/SQRT(COUNT(F27:H27))),"")</f>
        <v>442.381203035053</v>
      </c>
      <c r="Z27" s="63" t="n">
        <f aca="false">IF(COUNT(F27:H27)&gt;0,V27-Y27,"")</f>
        <v>1295.28546363161</v>
      </c>
      <c r="AA27" s="63" t="n">
        <f aca="false">IF(COUNT(F27:H27)&gt;0,V27+Y27,"")</f>
        <v>2180.04786970172</v>
      </c>
      <c r="AB27" s="64" t="n">
        <f aca="false">IF(COUNT(F27:H27)&gt;0,X27/V27,"")</f>
        <v>0.102475365596202</v>
      </c>
      <c r="AC27" s="26"/>
      <c r="AD27" s="65" t="n">
        <f aca="false">IF(SUM(I27:K27)&gt;0,AVERAGE(I27:K27),"")</f>
        <v>1311.66666666667</v>
      </c>
      <c r="AE27" s="66" t="n">
        <f aca="false">IF(SUM(I27:K27)&gt;0, ( IF(I27&gt;0,(I27-AD27)^2,0) + IF(J27&gt;0,(J27-AD27)^2,0) + IF(K27&gt;0,(K27-AD27)^2,0) ) / COUNT(I27:K27),"")</f>
        <v>16680.2222222222</v>
      </c>
      <c r="AF27" s="63" t="n">
        <f aca="false">IF(SUM(I27:K27)&gt;0,SQRT(AE27),"")</f>
        <v>129.151934643745</v>
      </c>
      <c r="AG27" s="63" t="n">
        <f aca="false">IF(COUNT(I27:K27)&gt;0,VLOOKUP(COUNT(I27:K27),$AX$2:$AZ$5,3)*(AF27/SQRT(COUNT(I27:K27))),"")</f>
        <v>320.857085914286</v>
      </c>
      <c r="AH27" s="63" t="n">
        <f aca="false">IF(COUNT(I27:K27)&gt;0,AD27-AG27,"")</f>
        <v>990.809580752381</v>
      </c>
      <c r="AI27" s="63" t="n">
        <f aca="false">IF(COUNT(I27:K27)&gt;0,AD27+AG27,"")</f>
        <v>1632.52375258095</v>
      </c>
      <c r="AJ27" s="64" t="n">
        <f aca="false">IF(COUNT(I27:K27)&gt;0,AF27/AD27,"")</f>
        <v>0.0984639908338591</v>
      </c>
      <c r="AK27" s="65" t="n">
        <f aca="false">IF(SUM(L27:N27)&gt;0,AVERAGE(L27:N27),"")</f>
        <v>1289</v>
      </c>
      <c r="AL27" s="66" t="n">
        <f aca="false">IF(SUM(L27:N27)&gt;0, ( IF(L27&gt;0,(L27-AK27)^2,0) + IF(M27&gt;0,(M27-AK27)^2,0) + IF(N27&gt;0,(N27-AK27)^2,0) ) / COUNT(L27:N27),"")</f>
        <v>0</v>
      </c>
      <c r="AM27" s="63" t="n">
        <f aca="false">IF(SUM(L27:N27)&gt;0,SQRT(AL27),"")</f>
        <v>0</v>
      </c>
      <c r="AN27" s="63" t="n">
        <f aca="false">IF(COUNT(L27:N27)&gt;0,VLOOKUP(COUNT(L27:N27),$AX$2:$AZ$5,3)*(AM27/SQRT(COUNT(L27:N27))),"")</f>
        <v>0</v>
      </c>
      <c r="AO27" s="63" t="n">
        <f aca="false">IF(COUNT(L27:N27)&gt;0,AK27-AN27,"")</f>
        <v>1289</v>
      </c>
      <c r="AP27" s="63" t="n">
        <f aca="false">IF(COUNT(L27:N27)&gt;0,AK27+AN27,"")</f>
        <v>1289</v>
      </c>
      <c r="AQ27" s="64" t="n">
        <f aca="false">IF(COUNT(L27:N27)&gt;0,AM27/AK27,"")</f>
        <v>0</v>
      </c>
    </row>
    <row r="28" customFormat="false" ht="12.8" hidden="false" customHeight="false" outlineLevel="0" collapsed="false">
      <c r="A28" s="56" t="s">
        <v>33</v>
      </c>
      <c r="B28" s="57" t="n">
        <v>30</v>
      </c>
      <c r="C28" s="56" t="n">
        <v>1215</v>
      </c>
      <c r="D28" s="25" t="n">
        <v>1283</v>
      </c>
      <c r="E28" s="57" t="n">
        <v>1332</v>
      </c>
      <c r="F28" s="58" t="n">
        <v>1067</v>
      </c>
      <c r="G28" s="0" t="n">
        <v>1004</v>
      </c>
      <c r="H28" s="59" t="n">
        <v>1339</v>
      </c>
      <c r="I28" s="56" t="n">
        <v>905</v>
      </c>
      <c r="J28" s="0" t="n">
        <v>975</v>
      </c>
      <c r="K28" s="57" t="n">
        <v>818</v>
      </c>
      <c r="L28" s="56"/>
      <c r="M28" s="0" t="n">
        <v>929</v>
      </c>
      <c r="N28" s="57" t="n">
        <v>1177</v>
      </c>
      <c r="O28" s="65" t="n">
        <f aca="false">IF(SUM(C28:E28)&gt;0,AVERAGE(C28:E28),"")</f>
        <v>1276.66666666667</v>
      </c>
      <c r="P28" s="66" t="n">
        <f aca="false">IF(SUM(C28:E28)&gt;0, ( IF(C28&gt;0,(C28-O28)^2,0) + IF(D28&gt;0,(D28-O28)^2,0) + IF(E28&gt;0,(E28-O28)^2,0) ) / COUNT(C28:E28),"")</f>
        <v>2301.55555555556</v>
      </c>
      <c r="Q28" s="63" t="n">
        <f aca="false">IF(SUM(C28:E28)&gt;0,SQRT(P28),"")</f>
        <v>47.9745302796761</v>
      </c>
      <c r="R28" s="63" t="n">
        <f aca="false">IF(COUNT(C28:E28)&gt;0,VLOOKUP(COUNT(C28:E28),$AX$2:$AZ$5,3)*(Q28/SQRT(COUNT(C28:E28))),"")</f>
        <v>119.184958600146</v>
      </c>
      <c r="S28" s="63" t="n">
        <f aca="false">IF(COUNT(C28:E28)&gt;0,O28-R28,"")</f>
        <v>1157.48170806652</v>
      </c>
      <c r="T28" s="63" t="n">
        <f aca="false">IF(COUNT(C28:E28)&gt;0,O28+R28,"")</f>
        <v>1395.85162526681</v>
      </c>
      <c r="U28" s="64" t="n">
        <f aca="false">IF(COUNT(C28:E28)&gt;0,Q28/O28,"")</f>
        <v>0.0375779610545765</v>
      </c>
      <c r="V28" s="65" t="n">
        <f aca="false">IF(SUM(F28:H28)&gt;0,AVERAGE(F28:H28),"")</f>
        <v>1136.66666666667</v>
      </c>
      <c r="W28" s="66" t="n">
        <f aca="false">IF(SUM(F28:H28)&gt;0, ( IF(F28&gt;0,(F28-V28)^2,0) + IF(G28&gt;0,(G28-V28)^2,0) + IF(H28&gt;0,(H28-V28)^2,0) ) / COUNT(F28:H28),"")</f>
        <v>21130.8888888889</v>
      </c>
      <c r="X28" s="63" t="n">
        <f aca="false">IF(SUM(F28:H28)&gt;0,SQRT(W28),"")</f>
        <v>145.364675519498</v>
      </c>
      <c r="Y28" s="63" t="n">
        <f aca="false">IF(COUNT(F28:H28)&gt;0,VLOOKUP(COUNT(F28:H28),$AX$2:$AZ$5,3)*(X28/SQRT(COUNT(F28:H28))),"")</f>
        <v>361.135017533558</v>
      </c>
      <c r="Z28" s="63" t="n">
        <f aca="false">IF(COUNT(F28:H28)&gt;0,V28-Y28,"")</f>
        <v>775.531649133109</v>
      </c>
      <c r="AA28" s="63" t="n">
        <f aca="false">IF(COUNT(F28:H28)&gt;0,V28+Y28,"")</f>
        <v>1497.80168420022</v>
      </c>
      <c r="AB28" s="64" t="n">
        <f aca="false">IF(COUNT(F28:H28)&gt;0,X28/V28,"")</f>
        <v>0.127886811307476</v>
      </c>
      <c r="AC28" s="26"/>
      <c r="AD28" s="65" t="n">
        <f aca="false">IF(SUM(I28:K28)&gt;0,AVERAGE(I28:K28),"")</f>
        <v>899.333333333333</v>
      </c>
      <c r="AE28" s="66" t="n">
        <f aca="false">IF(SUM(I28:K28)&gt;0, ( IF(I28&gt;0,(I28-AD28)^2,0) + IF(J28&gt;0,(J28-AD28)^2,0) + IF(K28&gt;0,(K28-AD28)^2,0) ) / COUNT(I28:K28),"")</f>
        <v>4124.22222222222</v>
      </c>
      <c r="AF28" s="63" t="n">
        <f aca="false">IF(SUM(I28:K28)&gt;0,SQRT(AE28),"")</f>
        <v>64.2201076160903</v>
      </c>
      <c r="AG28" s="63" t="n">
        <f aca="false">IF(COUNT(I28:K28)&gt;0,VLOOKUP(COUNT(I28:K28),$AX$2:$AZ$5,3)*(AF28/SQRT(COUNT(I28:K28))),"")</f>
        <v>159.544467093266</v>
      </c>
      <c r="AH28" s="63" t="n">
        <f aca="false">IF(COUNT(I28:K28)&gt;0,AD28-AG28,"")</f>
        <v>739.788866240068</v>
      </c>
      <c r="AI28" s="63" t="n">
        <f aca="false">IF(COUNT(I28:K28)&gt;0,AD28+AG28,"")</f>
        <v>1058.8778004266</v>
      </c>
      <c r="AJ28" s="64" t="n">
        <f aca="false">IF(COUNT(I28:K28)&gt;0,AF28/AD28,"")</f>
        <v>0.0714085703662976</v>
      </c>
      <c r="AK28" s="65" t="n">
        <f aca="false">IF(SUM(L28:N28)&gt;0,AVERAGE(L28:N28),"")</f>
        <v>1053</v>
      </c>
      <c r="AL28" s="66" t="n">
        <f aca="false">IF(SUM(L28:N28)&gt;0, ( IF(L28&gt;0,(L28-AK28)^2,0) + IF(M28&gt;0,(M28-AK28)^2,0) + IF(N28&gt;0,(N28-AK28)^2,0) ) / COUNT(L28:N28),"")</f>
        <v>15376</v>
      </c>
      <c r="AM28" s="63" t="n">
        <f aca="false">IF(SUM(L28:N28)&gt;0,SQRT(AL28),"")</f>
        <v>124</v>
      </c>
      <c r="AN28" s="63" t="n">
        <f aca="false">IF(COUNT(L28:N28)&gt;0,VLOOKUP(COUNT(L28:N28),$AX$2:$AZ$5,3)*(AM28/SQRT(COUNT(L28:N28))),"")</f>
        <v>1114.07784645778</v>
      </c>
      <c r="AO28" s="63" t="n">
        <f aca="false">IF(COUNT(L28:N28)&gt;0,AK28-AN28,"")</f>
        <v>-61.0778464577777</v>
      </c>
      <c r="AP28" s="63" t="n">
        <f aca="false">IF(COUNT(L28:N28)&gt;0,AK28+AN28,"")</f>
        <v>2167.07784645778</v>
      </c>
      <c r="AQ28" s="64" t="n">
        <f aca="false">IF(COUNT(L28:N28)&gt;0,AM28/AK28,"")</f>
        <v>0.117758784425451</v>
      </c>
    </row>
    <row r="29" customFormat="false" ht="12.8" hidden="false" customHeight="false" outlineLevel="0" collapsed="false">
      <c r="A29" s="56" t="s">
        <v>33</v>
      </c>
      <c r="B29" s="57" t="n">
        <v>40</v>
      </c>
      <c r="C29" s="56" t="n">
        <v>1063</v>
      </c>
      <c r="D29" s="25" t="n">
        <v>833</v>
      </c>
      <c r="E29" s="57" t="n">
        <v>1042</v>
      </c>
      <c r="F29" s="58" t="n">
        <v>842</v>
      </c>
      <c r="G29" s="0" t="n">
        <v>809</v>
      </c>
      <c r="H29" s="59" t="n">
        <v>1159</v>
      </c>
      <c r="I29" s="56" t="n">
        <v>604</v>
      </c>
      <c r="K29" s="57" t="n">
        <v>672</v>
      </c>
      <c r="L29" s="56"/>
      <c r="M29" s="0" t="n">
        <v>892</v>
      </c>
      <c r="N29" s="57" t="n">
        <v>1163</v>
      </c>
      <c r="O29" s="65" t="n">
        <f aca="false">IF(SUM(C29:E29)&gt;0,AVERAGE(C29:E29),"")</f>
        <v>979.333333333333</v>
      </c>
      <c r="P29" s="66" t="n">
        <f aca="false">IF(SUM(C29:E29)&gt;0, ( IF(C29&gt;0,(C29-O29)^2,0) + IF(D29&gt;0,(D29-O29)^2,0) + IF(E29&gt;0,(E29-O29)^2,0) ) / COUNT(C29:E29),"")</f>
        <v>10780.2222222222</v>
      </c>
      <c r="Q29" s="63" t="n">
        <f aca="false">IF(SUM(C29:E29)&gt;0,SQRT(P29),"")</f>
        <v>103.827848972336</v>
      </c>
      <c r="R29" s="63" t="n">
        <f aca="false">IF(COUNT(C29:E29)&gt;0,VLOOKUP(COUNT(C29:E29),$AX$2:$AZ$5,3)*(Q29/SQRT(COUNT(C29:E29))),"")</f>
        <v>257.94349228996</v>
      </c>
      <c r="S29" s="63" t="n">
        <f aca="false">IF(COUNT(C29:E29)&gt;0,O29-R29,"")</f>
        <v>721.389841043373</v>
      </c>
      <c r="T29" s="63" t="n">
        <f aca="false">IF(COUNT(C29:E29)&gt;0,O29+R29,"")</f>
        <v>1237.27682562329</v>
      </c>
      <c r="U29" s="64" t="n">
        <f aca="false">IF(COUNT(C29:E29)&gt;0,Q29/O29,"")</f>
        <v>0.106018906370663</v>
      </c>
      <c r="V29" s="65" t="n">
        <f aca="false">IF(SUM(F29:H29)&gt;0,AVERAGE(F29:H29),"")</f>
        <v>936.666666666667</v>
      </c>
      <c r="W29" s="66" t="n">
        <f aca="false">IF(SUM(F29:H29)&gt;0, ( IF(F29&gt;0,(F29-V29)^2,0) + IF(G29&gt;0,(G29-V29)^2,0) + IF(H29&gt;0,(H29-V29)^2,0) ) / COUNT(F29:H29),"")</f>
        <v>24897.5555555556</v>
      </c>
      <c r="X29" s="63" t="n">
        <f aca="false">IF(SUM(F29:H29)&gt;0,SQRT(W29),"")</f>
        <v>157.789592671873</v>
      </c>
      <c r="Y29" s="63" t="n">
        <f aca="false">IF(COUNT(F29:H29)&gt;0,VLOOKUP(COUNT(F29:H29),$AX$2:$AZ$5,3)*(X29/SQRT(COUNT(F29:H29))),"")</f>
        <v>392.00271395045</v>
      </c>
      <c r="Z29" s="63" t="n">
        <f aca="false">IF(COUNT(F29:H29)&gt;0,V29-Y29,"")</f>
        <v>544.663952716216</v>
      </c>
      <c r="AA29" s="63" t="n">
        <f aca="false">IF(COUNT(F29:H29)&gt;0,V29+Y29,"")</f>
        <v>1328.66938061712</v>
      </c>
      <c r="AB29" s="64" t="n">
        <f aca="false">IF(COUNT(F29:H29)&gt;0,X29/V29,"")</f>
        <v>0.168458639863209</v>
      </c>
      <c r="AC29" s="26"/>
      <c r="AD29" s="65" t="n">
        <f aca="false">IF(SUM(I29:K29)&gt;0,AVERAGE(I29:K29),"")</f>
        <v>638</v>
      </c>
      <c r="AE29" s="66" t="n">
        <f aca="false">IF(SUM(I29:K29)&gt;0, ( IF(I29&gt;0,(I29-AD29)^2,0) + IF(J29&gt;0,(J29-AD29)^2,0) + IF(K29&gt;0,(K29-AD29)^2,0) ) / COUNT(I29:K29),"")</f>
        <v>1156</v>
      </c>
      <c r="AF29" s="63" t="n">
        <f aca="false">IF(SUM(I29:K29)&gt;0,SQRT(AE29),"")</f>
        <v>34</v>
      </c>
      <c r="AG29" s="63" t="n">
        <f aca="false">IF(COUNT(I29:K29)&gt;0,VLOOKUP(COUNT(I29:K29),$AX$2:$AZ$5,3)*(AF29/SQRT(COUNT(I29:K29))),"")</f>
        <v>305.472957899713</v>
      </c>
      <c r="AH29" s="63" t="n">
        <f aca="false">IF(COUNT(I29:K29)&gt;0,AD29-AG29,"")</f>
        <v>332.527042100287</v>
      </c>
      <c r="AI29" s="63" t="n">
        <f aca="false">IF(COUNT(I29:K29)&gt;0,AD29+AG29,"")</f>
        <v>943.472957899713</v>
      </c>
      <c r="AJ29" s="64" t="n">
        <f aca="false">IF(COUNT(I29:K29)&gt;0,AF29/AD29,"")</f>
        <v>0.0532915360501567</v>
      </c>
      <c r="AK29" s="65" t="n">
        <f aca="false">IF(SUM(L29:N29)&gt;0,AVERAGE(L29:N29),"")</f>
        <v>1027.5</v>
      </c>
      <c r="AL29" s="66" t="n">
        <f aca="false">IF(SUM(L29:N29)&gt;0, ( IF(L29&gt;0,(L29-AK29)^2,0) + IF(M29&gt;0,(M29-AK29)^2,0) + IF(N29&gt;0,(N29-AK29)^2,0) ) / COUNT(L29:N29),"")</f>
        <v>18360.25</v>
      </c>
      <c r="AM29" s="63" t="n">
        <f aca="false">IF(SUM(L29:N29)&gt;0,SQRT(AL29),"")</f>
        <v>135.5</v>
      </c>
      <c r="AN29" s="63" t="n">
        <f aca="false">IF(COUNT(L29:N29)&gt;0,VLOOKUP(COUNT(L29:N29),$AX$2:$AZ$5,3)*(AM29/SQRT(COUNT(L29:N29))),"")</f>
        <v>1217.39958221797</v>
      </c>
      <c r="AO29" s="63" t="n">
        <f aca="false">IF(COUNT(L29:N29)&gt;0,AK29-AN29,"")</f>
        <v>-189.899582217975</v>
      </c>
      <c r="AP29" s="63" t="n">
        <f aca="false">IF(COUNT(L29:N29)&gt;0,AK29+AN29,"")</f>
        <v>2244.89958221798</v>
      </c>
      <c r="AQ29" s="64" t="n">
        <f aca="false">IF(COUNT(L29:N29)&gt;0,AM29/AK29,"")</f>
        <v>0.131873479318735</v>
      </c>
    </row>
    <row r="30" customFormat="false" ht="12.8" hidden="false" customHeight="false" outlineLevel="0" collapsed="false">
      <c r="A30" s="56" t="s">
        <v>33</v>
      </c>
      <c r="B30" s="57" t="n">
        <v>50</v>
      </c>
      <c r="C30" s="56" t="n">
        <v>644</v>
      </c>
      <c r="D30" s="25" t="n">
        <v>638</v>
      </c>
      <c r="E30" s="57" t="n">
        <v>838</v>
      </c>
      <c r="F30" s="58" t="n">
        <v>701</v>
      </c>
      <c r="G30" s="0" t="n">
        <v>658</v>
      </c>
      <c r="H30" s="59" t="n">
        <v>824</v>
      </c>
      <c r="I30" s="56" t="n">
        <v>535</v>
      </c>
      <c r="J30" s="0" t="n">
        <v>603</v>
      </c>
      <c r="K30" s="57" t="n">
        <v>627</v>
      </c>
      <c r="L30" s="56"/>
      <c r="M30" s="0" t="n">
        <v>564</v>
      </c>
      <c r="N30" s="57" t="n">
        <v>697</v>
      </c>
      <c r="O30" s="65" t="n">
        <f aca="false">IF(SUM(C30:E30)&gt;0,AVERAGE(C30:E30),"")</f>
        <v>706.666666666667</v>
      </c>
      <c r="P30" s="66" t="n">
        <f aca="false">IF(SUM(C30:E30)&gt;0, ( IF(C30&gt;0,(C30-O30)^2,0) + IF(D30&gt;0,(D30-O30)^2,0) + IF(E30&gt;0,(E30-O30)^2,0) ) / COUNT(C30:E30),"")</f>
        <v>8630.22222222222</v>
      </c>
      <c r="Q30" s="63" t="n">
        <f aca="false">IF(SUM(C30:E30)&gt;0,SQRT(P30),"")</f>
        <v>92.8989893498429</v>
      </c>
      <c r="R30" s="63" t="n">
        <f aca="false">IF(COUNT(C30:E30)&gt;0,VLOOKUP(COUNT(C30:E30),$AX$2:$AZ$5,3)*(Q30/SQRT(COUNT(C30:E30))),"")</f>
        <v>230.792508756402</v>
      </c>
      <c r="S30" s="63" t="n">
        <f aca="false">IF(COUNT(C30:E30)&gt;0,O30-R30,"")</f>
        <v>475.874157910264</v>
      </c>
      <c r="T30" s="63" t="n">
        <f aca="false">IF(COUNT(C30:E30)&gt;0,O30+R30,"")</f>
        <v>937.459175423069</v>
      </c>
      <c r="U30" s="64" t="n">
        <f aca="false">IF(COUNT(C30:E30)&gt;0,Q30/O30,"")</f>
        <v>0.131460833985627</v>
      </c>
      <c r="V30" s="65" t="n">
        <f aca="false">IF(SUM(F30:H30)&gt;0,AVERAGE(F30:H30),"")</f>
        <v>727.666666666667</v>
      </c>
      <c r="W30" s="66" t="n">
        <f aca="false">IF(SUM(F30:H30)&gt;0, ( IF(F30&gt;0,(F30-V30)^2,0) + IF(G30&gt;0,(G30-V30)^2,0) + IF(H30&gt;0,(H30-V30)^2,0) ) / COUNT(F30:H30),"")</f>
        <v>4948.22222222222</v>
      </c>
      <c r="X30" s="63" t="n">
        <f aca="false">IF(SUM(F30:H30)&gt;0,SQRT(W30),"")</f>
        <v>70.3436011462466</v>
      </c>
      <c r="Y30" s="63" t="n">
        <f aca="false">IF(COUNT(F30:H30)&gt;0,VLOOKUP(COUNT(F30:H30),$AX$2:$AZ$5,3)*(X30/SQRT(COUNT(F30:H30))),"")</f>
        <v>174.757296038651</v>
      </c>
      <c r="Z30" s="63" t="n">
        <f aca="false">IF(COUNT(F30:H30)&gt;0,V30-Y30,"")</f>
        <v>552.909370628016</v>
      </c>
      <c r="AA30" s="63" t="n">
        <f aca="false">IF(COUNT(F30:H30)&gt;0,V30+Y30,"")</f>
        <v>902.423962705318</v>
      </c>
      <c r="AB30" s="64" t="n">
        <f aca="false">IF(COUNT(F30:H30)&gt;0,X30/V30,"")</f>
        <v>0.0966700886114245</v>
      </c>
      <c r="AC30" s="26"/>
      <c r="AD30" s="65" t="n">
        <f aca="false">IF(SUM(I30:K30)&gt;0,AVERAGE(I30:K30),"")</f>
        <v>588.333333333333</v>
      </c>
      <c r="AE30" s="66" t="n">
        <f aca="false">IF(SUM(I30:K30)&gt;0, ( IF(I30&gt;0,(I30-AD30)^2,0) + IF(J30&gt;0,(J30-AD30)^2,0) + IF(K30&gt;0,(K30-AD30)^2,0) ) / COUNT(I30:K30),"")</f>
        <v>1518.22222222222</v>
      </c>
      <c r="AF30" s="63" t="n">
        <f aca="false">IF(SUM(I30:K30)&gt;0,SQRT(AE30),"")</f>
        <v>38.9643711898732</v>
      </c>
      <c r="AG30" s="63" t="n">
        <f aca="false">IF(COUNT(I30:K30)&gt;0,VLOOKUP(COUNT(I30:K30),$AX$2:$AZ$5,3)*(AF30/SQRT(COUNT(I30:K30))),"")</f>
        <v>96.8006761102804</v>
      </c>
      <c r="AH30" s="63" t="n">
        <f aca="false">IF(COUNT(I30:K30)&gt;0,AD30-AG30,"")</f>
        <v>491.532657223053</v>
      </c>
      <c r="AI30" s="63" t="n">
        <f aca="false">IF(COUNT(I30:K30)&gt;0,AD30+AG30,"")</f>
        <v>685.134009443614</v>
      </c>
      <c r="AJ30" s="64" t="n">
        <f aca="false">IF(COUNT(I30:K30)&gt;0,AF30/AD30,"")</f>
        <v>0.0662283929572916</v>
      </c>
      <c r="AK30" s="65" t="n">
        <f aca="false">IF(SUM(L30:N30)&gt;0,AVERAGE(L30:N30),"")</f>
        <v>630.5</v>
      </c>
      <c r="AL30" s="66" t="n">
        <f aca="false">IF(SUM(L30:N30)&gt;0, ( IF(L30&gt;0,(L30-AK30)^2,0) + IF(M30&gt;0,(M30-AK30)^2,0) + IF(N30&gt;0,(N30-AK30)^2,0) ) / COUNT(L30:N30),"")</f>
        <v>4422.25</v>
      </c>
      <c r="AM30" s="63" t="n">
        <f aca="false">IF(SUM(L30:N30)&gt;0,SQRT(AL30),"")</f>
        <v>66.5</v>
      </c>
      <c r="AN30" s="63" t="n">
        <f aca="false">IF(COUNT(L30:N30)&gt;0,VLOOKUP(COUNT(L30:N30),$AX$2:$AZ$5,3)*(AM30/SQRT(COUNT(L30:N30))),"")</f>
        <v>597.469167656792</v>
      </c>
      <c r="AO30" s="63" t="n">
        <f aca="false">IF(COUNT(L30:N30)&gt;0,AK30-AN30,"")</f>
        <v>33.030832343208</v>
      </c>
      <c r="AP30" s="63" t="n">
        <f aca="false">IF(COUNT(L30:N30)&gt;0,AK30+AN30,"")</f>
        <v>1227.96916765679</v>
      </c>
      <c r="AQ30" s="64" t="n">
        <f aca="false">IF(COUNT(L30:N30)&gt;0,AM30/AK30,"")</f>
        <v>0.105471847739889</v>
      </c>
    </row>
    <row r="31" customFormat="false" ht="12.8" hidden="false" customHeight="false" outlineLevel="0" collapsed="false">
      <c r="A31" s="56" t="s">
        <v>33</v>
      </c>
      <c r="B31" s="57" t="n">
        <v>64</v>
      </c>
      <c r="C31" s="56" t="n">
        <v>483</v>
      </c>
      <c r="D31" s="25" t="n">
        <v>517</v>
      </c>
      <c r="E31" s="57" t="n">
        <v>588</v>
      </c>
      <c r="F31" s="58" t="n">
        <v>554</v>
      </c>
      <c r="G31" s="0" t="n">
        <v>550</v>
      </c>
      <c r="H31" s="59" t="n">
        <v>1011</v>
      </c>
      <c r="I31" s="56" t="n">
        <v>490</v>
      </c>
      <c r="J31" s="0" t="n">
        <v>521</v>
      </c>
      <c r="K31" s="57" t="n">
        <v>523</v>
      </c>
      <c r="L31" s="56"/>
      <c r="M31" s="0" t="n">
        <v>523</v>
      </c>
      <c r="N31" s="57" t="n">
        <v>698</v>
      </c>
      <c r="O31" s="65" t="n">
        <f aca="false">IF(SUM(C31:E31)&gt;0,AVERAGE(C31:E31),"")</f>
        <v>529.333333333333</v>
      </c>
      <c r="P31" s="66" t="n">
        <f aca="false">IF(SUM(C31:E31)&gt;0, ( IF(C31&gt;0,(C31-O31)^2,0) + IF(D31&gt;0,(D31-O31)^2,0) + IF(E31&gt;0,(E31-O31)^2,0) ) / COUNT(C31:E31),"")</f>
        <v>1913.55555555556</v>
      </c>
      <c r="Q31" s="63" t="n">
        <f aca="false">IF(SUM(C31:E31)&gt;0,SQRT(P31),"")</f>
        <v>43.7442059655397</v>
      </c>
      <c r="R31" s="63" t="n">
        <f aca="false">IF(COUNT(C31:E31)&gt;0,VLOOKUP(COUNT(C31:E31),$AX$2:$AZ$5,3)*(Q31/SQRT(COUNT(C31:E31))),"")</f>
        <v>108.675402272939</v>
      </c>
      <c r="S31" s="63" t="n">
        <f aca="false">IF(COUNT(C31:E31)&gt;0,O31-R31,"")</f>
        <v>420.657931060394</v>
      </c>
      <c r="T31" s="63" t="n">
        <f aca="false">IF(COUNT(C31:E31)&gt;0,O31+R31,"")</f>
        <v>638.008735606273</v>
      </c>
      <c r="U31" s="64" t="n">
        <f aca="false">IF(COUNT(C31:E31)&gt;0,Q31/O31,"")</f>
        <v>0.0826401875923293</v>
      </c>
      <c r="V31" s="65" t="n">
        <f aca="false">IF(SUM(F31:H31)&gt;0,AVERAGE(F31:H31),"")</f>
        <v>705</v>
      </c>
      <c r="W31" s="66" t="n">
        <f aca="false">IF(SUM(F31:H31)&gt;0, ( IF(F31&gt;0,(F31-V31)^2,0) + IF(G31&gt;0,(G31-V31)^2,0) + IF(H31&gt;0,(H31-V31)^2,0) ) / COUNT(F31:H31),"")</f>
        <v>46820.6666666667</v>
      </c>
      <c r="X31" s="63" t="n">
        <f aca="false">IF(SUM(F31:H31)&gt;0,SQRT(W31),"")</f>
        <v>216.380837105938</v>
      </c>
      <c r="Y31" s="63" t="n">
        <f aca="false">IF(COUNT(F31:H31)&gt;0,VLOOKUP(COUNT(F31:H31),$AX$2:$AZ$5,3)*(X31/SQRT(COUNT(F31:H31))),"")</f>
        <v>537.563181171189</v>
      </c>
      <c r="Z31" s="63" t="n">
        <f aca="false">IF(COUNT(F31:H31)&gt;0,V31-Y31,"")</f>
        <v>167.436818828811</v>
      </c>
      <c r="AA31" s="63" t="n">
        <f aca="false">IF(COUNT(F31:H31)&gt;0,V31+Y31,"")</f>
        <v>1242.56318117119</v>
      </c>
      <c r="AB31" s="64" t="n">
        <f aca="false">IF(COUNT(F31:H31)&gt;0,X31/V31,"")</f>
        <v>0.306923173199913</v>
      </c>
      <c r="AC31" s="26"/>
      <c r="AD31" s="65" t="n">
        <f aca="false">IF(SUM(I31:K31)&gt;0,AVERAGE(I31:K31),"")</f>
        <v>511.333333333333</v>
      </c>
      <c r="AE31" s="66" t="n">
        <f aca="false">IF(SUM(I31:K31)&gt;0, ( IF(I31&gt;0,(I31-AD31)^2,0) + IF(J31&gt;0,(J31-AD31)^2,0) + IF(K31&gt;0,(K31-AD31)^2,0) ) / COUNT(I31:K31),"")</f>
        <v>228.222222222222</v>
      </c>
      <c r="AF31" s="63" t="n">
        <f aca="false">IF(SUM(I31:K31)&gt;0,SQRT(AE31),"")</f>
        <v>15.1070255914995</v>
      </c>
      <c r="AG31" s="63" t="n">
        <f aca="false">IF(COUNT(I31:K31)&gt;0,VLOOKUP(COUNT(I31:K31),$AX$2:$AZ$5,3)*(AF31/SQRT(COUNT(I31:K31))),"")</f>
        <v>37.5309608910751</v>
      </c>
      <c r="AH31" s="63" t="n">
        <f aca="false">IF(COUNT(I31:K31)&gt;0,AD31-AG31,"")</f>
        <v>473.802372442258</v>
      </c>
      <c r="AI31" s="63" t="n">
        <f aca="false">IF(COUNT(I31:K31)&gt;0,AD31+AG31,"")</f>
        <v>548.864294224408</v>
      </c>
      <c r="AJ31" s="64" t="n">
        <f aca="false">IF(COUNT(I31:K31)&gt;0,AF31/AD31,"")</f>
        <v>0.0295443786013681</v>
      </c>
      <c r="AK31" s="65" t="n">
        <f aca="false">IF(SUM(L31:N31)&gt;0,AVERAGE(L31:N31),"")</f>
        <v>610.5</v>
      </c>
      <c r="AL31" s="66" t="n">
        <f aca="false">IF(SUM(L31:N31)&gt;0, ( IF(L31&gt;0,(L31-AK31)^2,0) + IF(M31&gt;0,(M31-AK31)^2,0) + IF(N31&gt;0,(N31-AK31)^2,0) ) / COUNT(L31:N31),"")</f>
        <v>7656.25</v>
      </c>
      <c r="AM31" s="63" t="n">
        <f aca="false">IF(SUM(L31:N31)&gt;0,SQRT(AL31),"")</f>
        <v>87.5</v>
      </c>
      <c r="AN31" s="63" t="n">
        <f aca="false">IF(COUNT(L31:N31)&gt;0,VLOOKUP(COUNT(L31:N31),$AX$2:$AZ$5,3)*(AM31/SQRT(COUNT(L31:N31))),"")</f>
        <v>786.143641653674</v>
      </c>
      <c r="AO31" s="63" t="n">
        <f aca="false">IF(COUNT(L31:N31)&gt;0,AK31-AN31,"")</f>
        <v>-175.643641653674</v>
      </c>
      <c r="AP31" s="63" t="n">
        <f aca="false">IF(COUNT(L31:N31)&gt;0,AK31+AN31,"")</f>
        <v>1396.64364165367</v>
      </c>
      <c r="AQ31" s="64" t="n">
        <f aca="false">IF(COUNT(L31:N31)&gt;0,AM31/AK31,"")</f>
        <v>0.143325143325143</v>
      </c>
    </row>
    <row r="32" customFormat="false" ht="12.8" hidden="false" customHeight="false" outlineLevel="0" collapsed="false">
      <c r="A32" s="56" t="s">
        <v>33</v>
      </c>
      <c r="B32" s="57" t="n">
        <v>82</v>
      </c>
      <c r="C32" s="56" t="n">
        <v>468</v>
      </c>
      <c r="D32" s="25" t="n">
        <v>423</v>
      </c>
      <c r="E32" s="57" t="n">
        <v>588</v>
      </c>
      <c r="F32" s="58" t="n">
        <v>392</v>
      </c>
      <c r="G32" s="0" t="n">
        <v>415</v>
      </c>
      <c r="H32" s="59" t="n">
        <v>963</v>
      </c>
      <c r="I32" s="56" t="n">
        <v>382</v>
      </c>
      <c r="J32" s="0" t="n">
        <v>456</v>
      </c>
      <c r="K32" s="57" t="n">
        <v>582</v>
      </c>
      <c r="L32" s="56"/>
      <c r="M32" s="0" t="n">
        <v>471</v>
      </c>
      <c r="N32" s="57" t="n">
        <v>596</v>
      </c>
      <c r="O32" s="65" t="n">
        <f aca="false">IF(SUM(C32:E32)&gt;0,AVERAGE(C32:E32),"")</f>
        <v>493</v>
      </c>
      <c r="P32" s="66" t="n">
        <f aca="false">IF(SUM(C32:E32)&gt;0, ( IF(C32&gt;0,(C32-O32)^2,0) + IF(D32&gt;0,(D32-O32)^2,0) + IF(E32&gt;0,(E32-O32)^2,0) ) / COUNT(C32:E32),"")</f>
        <v>4850</v>
      </c>
      <c r="Q32" s="63" t="n">
        <f aca="false">IF(SUM(C32:E32)&gt;0,SQRT(P32),"")</f>
        <v>69.6419413859206</v>
      </c>
      <c r="R32" s="63" t="n">
        <f aca="false">IF(COUNT(C32:E32)&gt;0,VLOOKUP(COUNT(C32:E32),$AX$2:$AZ$5,3)*(Q32/SQRT(COUNT(C32:E32))),"")</f>
        <v>173.014135886831</v>
      </c>
      <c r="S32" s="63" t="n">
        <f aca="false">IF(COUNT(C32:E32)&gt;0,O32-R32,"")</f>
        <v>319.985864113169</v>
      </c>
      <c r="T32" s="63" t="n">
        <f aca="false">IF(COUNT(C32:E32)&gt;0,O32+R32,"")</f>
        <v>666.014135886831</v>
      </c>
      <c r="U32" s="64" t="n">
        <f aca="false">IF(COUNT(C32:E32)&gt;0,Q32/O32,"")</f>
        <v>0.141261544393348</v>
      </c>
      <c r="V32" s="65" t="n">
        <f aca="false">IF(SUM(F32:H32)&gt;0,AVERAGE(F32:H32),"")</f>
        <v>590</v>
      </c>
      <c r="W32" s="66" t="n">
        <f aca="false">IF(SUM(F32:H32)&gt;0, ( IF(F32&gt;0,(F32-V32)^2,0) + IF(G32&gt;0,(G32-V32)^2,0) + IF(H32&gt;0,(H32-V32)^2,0) ) / COUNT(F32:H32),"")</f>
        <v>69652.6666666667</v>
      </c>
      <c r="X32" s="63" t="n">
        <f aca="false">IF(SUM(F32:H32)&gt;0,SQRT(W32),"")</f>
        <v>263.917916532142</v>
      </c>
      <c r="Y32" s="63" t="n">
        <f aca="false">IF(COUNT(F32:H32)&gt;0,VLOOKUP(COUNT(F32:H32),$AX$2:$AZ$5,3)*(X32/SQRT(COUNT(F32:H32))),"")</f>
        <v>655.66136390179</v>
      </c>
      <c r="Z32" s="63" t="n">
        <f aca="false">IF(COUNT(F32:H32)&gt;0,V32-Y32,"")</f>
        <v>-65.6613639017901</v>
      </c>
      <c r="AA32" s="63" t="n">
        <f aca="false">IF(COUNT(F32:H32)&gt;0,V32+Y32,"")</f>
        <v>1245.66136390179</v>
      </c>
      <c r="AB32" s="64" t="n">
        <f aca="false">IF(COUNT(F32:H32)&gt;0,X32/V32,"")</f>
        <v>0.447318502596851</v>
      </c>
      <c r="AC32" s="26"/>
      <c r="AD32" s="65" t="n">
        <f aca="false">IF(SUM(I32:K32)&gt;0,AVERAGE(I32:K32),"")</f>
        <v>473.333333333333</v>
      </c>
      <c r="AE32" s="66" t="n">
        <f aca="false">IF(SUM(I32:K32)&gt;0, ( IF(I32&gt;0,(I32-AD32)^2,0) + IF(J32&gt;0,(J32-AD32)^2,0) + IF(K32&gt;0,(K32-AD32)^2,0) ) / COUNT(I32:K32),"")</f>
        <v>6816.88888888889</v>
      </c>
      <c r="AF32" s="63" t="n">
        <f aca="false">IF(SUM(I32:K32)&gt;0,SQRT(AE32),"")</f>
        <v>82.5644529376226</v>
      </c>
      <c r="AG32" s="63" t="n">
        <f aca="false">IF(COUNT(I32:K32)&gt;0,VLOOKUP(COUNT(I32:K32),$AX$2:$AZ$5,3)*(AF32/SQRT(COUNT(I32:K32))),"")</f>
        <v>205.118025082219</v>
      </c>
      <c r="AH32" s="63" t="n">
        <f aca="false">IF(COUNT(I32:K32)&gt;0,AD32-AG32,"")</f>
        <v>268.215308251115</v>
      </c>
      <c r="AI32" s="63" t="n">
        <f aca="false">IF(COUNT(I32:K32)&gt;0,AD32+AG32,"")</f>
        <v>678.451358415552</v>
      </c>
      <c r="AJ32" s="64" t="n">
        <f aca="false">IF(COUNT(I32:K32)&gt;0,AF32/AD32,"")</f>
        <v>0.174431942825963</v>
      </c>
      <c r="AK32" s="65" t="n">
        <f aca="false">IF(SUM(L32:N32)&gt;0,AVERAGE(L32:N32),"")</f>
        <v>533.5</v>
      </c>
      <c r="AL32" s="66" t="n">
        <f aca="false">IF(SUM(L32:N32)&gt;0, ( IF(L32&gt;0,(L32-AK32)^2,0) + IF(M32&gt;0,(M32-AK32)^2,0) + IF(N32&gt;0,(N32-AK32)^2,0) ) / COUNT(L32:N32),"")</f>
        <v>3906.25</v>
      </c>
      <c r="AM32" s="63" t="n">
        <f aca="false">IF(SUM(L32:N32)&gt;0,SQRT(AL32),"")</f>
        <v>62.5</v>
      </c>
      <c r="AN32" s="63" t="n">
        <f aca="false">IF(COUNT(L32:N32)&gt;0,VLOOKUP(COUNT(L32:N32),$AX$2:$AZ$5,3)*(AM32/SQRT(COUNT(L32:N32))),"")</f>
        <v>561.531172609767</v>
      </c>
      <c r="AO32" s="63" t="n">
        <f aca="false">IF(COUNT(L32:N32)&gt;0,AK32-AN32,"")</f>
        <v>-28.0311726097669</v>
      </c>
      <c r="AP32" s="63" t="n">
        <f aca="false">IF(COUNT(L32:N32)&gt;0,AK32+AN32,"")</f>
        <v>1095.03117260977</v>
      </c>
      <c r="AQ32" s="64" t="n">
        <f aca="false">IF(COUNT(L32:N32)&gt;0,AM32/AK32,"")</f>
        <v>0.117150890346767</v>
      </c>
    </row>
    <row r="33" customFormat="false" ht="12.8" hidden="false" customHeight="false" outlineLevel="0" collapsed="false">
      <c r="A33" s="56" t="s">
        <v>33</v>
      </c>
      <c r="B33" s="57" t="n">
        <v>100</v>
      </c>
      <c r="C33" s="56" t="n">
        <v>336</v>
      </c>
      <c r="D33" s="25" t="n">
        <v>415</v>
      </c>
      <c r="E33" s="57" t="n">
        <v>568</v>
      </c>
      <c r="F33" s="58" t="n">
        <v>550</v>
      </c>
      <c r="G33" s="0" t="n">
        <v>421</v>
      </c>
      <c r="H33" s="59" t="n">
        <v>527</v>
      </c>
      <c r="I33" s="56" t="n">
        <v>353</v>
      </c>
      <c r="J33" s="0" t="n">
        <v>382</v>
      </c>
      <c r="K33" s="57"/>
      <c r="L33" s="56"/>
      <c r="M33" s="0" t="n">
        <v>388</v>
      </c>
      <c r="N33" s="57" t="n">
        <v>437</v>
      </c>
      <c r="O33" s="65" t="n">
        <f aca="false">IF(SUM(C33:E33)&gt;0,AVERAGE(C33:E33),"")</f>
        <v>439.666666666667</v>
      </c>
      <c r="P33" s="66" t="n">
        <f aca="false">IF(SUM(C33:E33)&gt;0, ( IF(C33&gt;0,(C33-O33)^2,0) + IF(D33&gt;0,(D33-O33)^2,0) + IF(E33&gt;0,(E33-O33)^2,0) ) / COUNT(C33:E33),"")</f>
        <v>9274.88888888889</v>
      </c>
      <c r="Q33" s="63" t="n">
        <f aca="false">IF(SUM(C33:E33)&gt;0,SQRT(P33),"")</f>
        <v>96.3062245594172</v>
      </c>
      <c r="R33" s="63" t="n">
        <f aca="false">IF(COUNT(C33:E33)&gt;0,VLOOKUP(COUNT(C33:E33),$AX$2:$AZ$5,3)*(Q33/SQRT(COUNT(C33:E33))),"")</f>
        <v>239.257233372291</v>
      </c>
      <c r="S33" s="63" t="n">
        <f aca="false">IF(COUNT(C33:E33)&gt;0,O33-R33,"")</f>
        <v>200.409433294376</v>
      </c>
      <c r="T33" s="63" t="n">
        <f aca="false">IF(COUNT(C33:E33)&gt;0,O33+R33,"")</f>
        <v>678.923900038958</v>
      </c>
      <c r="U33" s="64" t="n">
        <f aca="false">IF(COUNT(C33:E33)&gt;0,Q33/O33,"")</f>
        <v>0.219043725305725</v>
      </c>
      <c r="V33" s="65" t="n">
        <f aca="false">IF(SUM(F33:H33)&gt;0,AVERAGE(F33:H33),"")</f>
        <v>499.333333333333</v>
      </c>
      <c r="W33" s="66" t="n">
        <f aca="false">IF(SUM(F33:H33)&gt;0, ( IF(F33&gt;0,(F33-V33)^2,0) + IF(G33&gt;0,(G33-V33)^2,0) + IF(H33&gt;0,(H33-V33)^2,0) ) / COUNT(F33:H33),"")</f>
        <v>3156.22222222222</v>
      </c>
      <c r="X33" s="63" t="n">
        <f aca="false">IF(SUM(F33:H33)&gt;0,SQRT(W33),"")</f>
        <v>56.1802654160892</v>
      </c>
      <c r="Y33" s="63" t="n">
        <f aca="false">IF(COUNT(F33:H33)&gt;0,VLOOKUP(COUNT(F33:H33),$AX$2:$AZ$5,3)*(X33/SQRT(COUNT(F33:H33))),"")</f>
        <v>139.570779926915</v>
      </c>
      <c r="Z33" s="63" t="n">
        <f aca="false">IF(COUNT(F33:H33)&gt;0,V33-Y33,"")</f>
        <v>359.762553406418</v>
      </c>
      <c r="AA33" s="63" t="n">
        <f aca="false">IF(COUNT(F33:H33)&gt;0,V33+Y33,"")</f>
        <v>638.904113260249</v>
      </c>
      <c r="AB33" s="64" t="n">
        <f aca="false">IF(COUNT(F33:H33)&gt;0,X33/V33,"")</f>
        <v>0.112510544892034</v>
      </c>
      <c r="AC33" s="26"/>
      <c r="AD33" s="65" t="n">
        <f aca="false">IF(SUM(I33:K33)&gt;0,AVERAGE(I33:K33),"")</f>
        <v>367.5</v>
      </c>
      <c r="AE33" s="66" t="n">
        <f aca="false">IF(SUM(I33:K33)&gt;0, ( IF(I33&gt;0,(I33-AD33)^2,0) + IF(J33&gt;0,(J33-AD33)^2,0) + IF(K33&gt;0,(K33-AD33)^2,0) ) / COUNT(I33:K33),"")</f>
        <v>210.25</v>
      </c>
      <c r="AF33" s="63" t="n">
        <f aca="false">IF(SUM(I33:K33)&gt;0,SQRT(AE33),"")</f>
        <v>14.5</v>
      </c>
      <c r="AG33" s="63" t="n">
        <f aca="false">IF(COUNT(I33:K33)&gt;0,VLOOKUP(COUNT(I33:K33),$AX$2:$AZ$5,3)*(AF33/SQRT(COUNT(I33:K33))),"")</f>
        <v>130.275232045466</v>
      </c>
      <c r="AH33" s="63" t="n">
        <f aca="false">IF(COUNT(I33:K33)&gt;0,AD33-AG33,"")</f>
        <v>237.224767954534</v>
      </c>
      <c r="AI33" s="63" t="n">
        <f aca="false">IF(COUNT(I33:K33)&gt;0,AD33+AG33,"")</f>
        <v>497.775232045466</v>
      </c>
      <c r="AJ33" s="64" t="n">
        <f aca="false">IF(COUNT(I33:K33)&gt;0,AF33/AD33,"")</f>
        <v>0.0394557823129252</v>
      </c>
      <c r="AK33" s="65" t="n">
        <f aca="false">IF(SUM(L33:N33)&gt;0,AVERAGE(L33:N33),"")</f>
        <v>412.5</v>
      </c>
      <c r="AL33" s="66" t="n">
        <f aca="false">IF(SUM(L33:N33)&gt;0, ( IF(L33&gt;0,(L33-AK33)^2,0) + IF(M33&gt;0,(M33-AK33)^2,0) + IF(N33&gt;0,(N33-AK33)^2,0) ) / COUNT(L33:N33),"")</f>
        <v>600.25</v>
      </c>
      <c r="AM33" s="63" t="n">
        <f aca="false">IF(SUM(L33:N33)&gt;0,SQRT(AL33),"")</f>
        <v>24.5</v>
      </c>
      <c r="AN33" s="63" t="n">
        <f aca="false">IF(COUNT(L33:N33)&gt;0,VLOOKUP(COUNT(L33:N33),$AX$2:$AZ$5,3)*(AM33/SQRT(COUNT(L33:N33))),"")</f>
        <v>220.120219663029</v>
      </c>
      <c r="AO33" s="63" t="n">
        <f aca="false">IF(COUNT(L33:N33)&gt;0,AK33-AN33,"")</f>
        <v>192.379780336971</v>
      </c>
      <c r="AP33" s="63" t="n">
        <f aca="false">IF(COUNT(L33:N33)&gt;0,AK33+AN33,"")</f>
        <v>632.620219663029</v>
      </c>
      <c r="AQ33" s="64" t="n">
        <f aca="false">IF(COUNT(L33:N33)&gt;0,AM33/AK33,"")</f>
        <v>0.0593939393939394</v>
      </c>
    </row>
    <row r="34" customFormat="false" ht="12.8" hidden="false" customHeight="false" outlineLevel="0" collapsed="false">
      <c r="A34" s="56" t="s">
        <v>34</v>
      </c>
      <c r="B34" s="57" t="n">
        <v>5</v>
      </c>
      <c r="C34" s="56"/>
      <c r="D34" s="25"/>
      <c r="E34" s="57"/>
      <c r="F34" s="58"/>
      <c r="H34" s="59"/>
      <c r="I34" s="56"/>
      <c r="K34" s="57" t="n">
        <v>958</v>
      </c>
      <c r="L34" s="56"/>
      <c r="N34" s="57"/>
      <c r="O34" s="65" t="str">
        <f aca="false">IF(SUM(C34:E34)&gt;0,AVERAGE(C34:E34),"")</f>
        <v/>
      </c>
      <c r="P34" s="66" t="str">
        <f aca="false">IF(SUM(C34:E34)&gt;0, ( IF(C34&gt;0,(C34-O34)^2,0) + IF(D34&gt;0,(D34-O34)^2,0) + IF(E34&gt;0,(E34-O34)^2,0) ) / COUNT(C34:E34),"")</f>
        <v/>
      </c>
      <c r="Q34" s="63" t="str">
        <f aca="false">IF(SUM(C34:E34)&gt;0,SQRT(P34),"")</f>
        <v/>
      </c>
      <c r="R34" s="63" t="str">
        <f aca="false">IF(COUNT(C34:E34)&gt;0,VLOOKUP(COUNT(C34:E34),$AX$2:$AZ$5,3)*(Q34/SQRT(COUNT(C34:E34))),"")</f>
        <v/>
      </c>
      <c r="S34" s="63" t="str">
        <f aca="false">IF(COUNT(C34:E34)&gt;0,O34-R34,"")</f>
        <v/>
      </c>
      <c r="T34" s="63" t="str">
        <f aca="false">IF(COUNT(C34:E34)&gt;0,O34+R34,"")</f>
        <v/>
      </c>
      <c r="U34" s="64" t="str">
        <f aca="false">IF(COUNT(C34:E34)&gt;0,Q34/O34,"")</f>
        <v/>
      </c>
      <c r="V34" s="65" t="str">
        <f aca="false">IF(SUM(F34:H34)&gt;0,AVERAGE(F34:H34),"")</f>
        <v/>
      </c>
      <c r="W34" s="66" t="str">
        <f aca="false">IF(SUM(F34:H34)&gt;0, ( IF(F34&gt;0,(F34-V34)^2,0) + IF(G34&gt;0,(G34-V34)^2,0) + IF(H34&gt;0,(H34-V34)^2,0) ) / COUNT(F34:H34),"")</f>
        <v/>
      </c>
      <c r="X34" s="63" t="str">
        <f aca="false">IF(SUM(F34:H34)&gt;0,SQRT(W34),"")</f>
        <v/>
      </c>
      <c r="Y34" s="63" t="str">
        <f aca="false">IF(COUNT(F34:H34)&gt;0,VLOOKUP(COUNT(F34:H34),$AX$2:$AZ$5,3)*(X34/SQRT(COUNT(F34:H34))),"")</f>
        <v/>
      </c>
      <c r="Z34" s="63" t="str">
        <f aca="false">IF(COUNT(F34:H34)&gt;0,V34-Y34,"")</f>
        <v/>
      </c>
      <c r="AA34" s="63" t="str">
        <f aca="false">IF(COUNT(F34:H34)&gt;0,V34+Y34,"")</f>
        <v/>
      </c>
      <c r="AB34" s="64" t="str">
        <f aca="false">IF(COUNT(F34:H34)&gt;0,X34/V34,"")</f>
        <v/>
      </c>
      <c r="AC34" s="26"/>
      <c r="AD34" s="65" t="n">
        <f aca="false">IF(SUM(I34:K34)&gt;0,AVERAGE(I34:K34),"")</f>
        <v>958</v>
      </c>
      <c r="AE34" s="66" t="n">
        <f aca="false">IF(SUM(I34:K34)&gt;0, ( IF(I34&gt;0,(I34-AD34)^2,0) + IF(J34&gt;0,(J34-AD34)^2,0) + IF(K34&gt;0,(K34-AD34)^2,0) ) / COUNT(I34:K34),"")</f>
        <v>0</v>
      </c>
      <c r="AF34" s="63" t="n">
        <f aca="false">IF(SUM(I34:K34)&gt;0,SQRT(AE34),"")</f>
        <v>0</v>
      </c>
      <c r="AG34" s="63" t="n">
        <f aca="false">IF(COUNT(I34:K34)&gt;0,VLOOKUP(COUNT(I34:K34),$AX$2:$AZ$5,3)*(AF34/SQRT(COUNT(I34:K34))),"")</f>
        <v>0</v>
      </c>
      <c r="AH34" s="63" t="n">
        <f aca="false">IF(COUNT(I34:K34)&gt;0,AD34-AG34,"")</f>
        <v>958</v>
      </c>
      <c r="AI34" s="63" t="n">
        <f aca="false">IF(COUNT(I34:K34)&gt;0,AD34+AG34,"")</f>
        <v>958</v>
      </c>
      <c r="AJ34" s="64" t="n">
        <f aca="false">IF(COUNT(I34:K34)&gt;0,AF34/AD34,"")</f>
        <v>0</v>
      </c>
      <c r="AK34" s="65" t="str">
        <f aca="false">IF(SUM(L34:N34)&gt;0,AVERAGE(L34:N34),"")</f>
        <v/>
      </c>
      <c r="AL34" s="66" t="str">
        <f aca="false">IF(SUM(L34:N34)&gt;0, ( IF(L34&gt;0,(L34-AK34)^2,0) + IF(M34&gt;0,(M34-AK34)^2,0) + IF(N34&gt;0,(N34-AK34)^2,0) ) / COUNT(L34:N34),"")</f>
        <v/>
      </c>
      <c r="AM34" s="63" t="str">
        <f aca="false">IF(SUM(L34:N34)&gt;0,SQRT(AL34),"")</f>
        <v/>
      </c>
      <c r="AN34" s="63" t="str">
        <f aca="false">IF(COUNT(L34:N34)&gt;0,VLOOKUP(COUNT(L34:N34),$AX$2:$AZ$5,3)*(AM34/SQRT(COUNT(L34:N34))),"")</f>
        <v/>
      </c>
      <c r="AO34" s="63" t="str">
        <f aca="false">IF(COUNT(L34:N34)&gt;0,AK34-AN34,"")</f>
        <v/>
      </c>
      <c r="AP34" s="63" t="str">
        <f aca="false">IF(COUNT(L34:N34)&gt;0,AK34+AN34,"")</f>
        <v/>
      </c>
      <c r="AQ34" s="64" t="str">
        <f aca="false">IF(COUNT(L34:N34)&gt;0,AM34/AK34,"")</f>
        <v/>
      </c>
    </row>
    <row r="35" customFormat="false" ht="12.8" hidden="false" customHeight="false" outlineLevel="0" collapsed="false">
      <c r="A35" s="56" t="s">
        <v>34</v>
      </c>
      <c r="B35" s="57" t="n">
        <v>10</v>
      </c>
      <c r="C35" s="56" t="n">
        <v>1150</v>
      </c>
      <c r="D35" s="25"/>
      <c r="E35" s="57" t="n">
        <v>1163</v>
      </c>
      <c r="F35" s="58" t="n">
        <v>1003</v>
      </c>
      <c r="H35" s="59" t="n">
        <v>1387</v>
      </c>
      <c r="I35" s="56"/>
      <c r="J35" s="0" t="n">
        <v>1218</v>
      </c>
      <c r="K35" s="57" t="n">
        <v>761</v>
      </c>
      <c r="L35" s="56"/>
      <c r="M35" s="0" t="n">
        <v>1056</v>
      </c>
      <c r="N35" s="57" t="n">
        <v>1048</v>
      </c>
      <c r="O35" s="65" t="n">
        <f aca="false">IF(SUM(C35:E35)&gt;0,AVERAGE(C35:E35),"")</f>
        <v>1156.5</v>
      </c>
      <c r="P35" s="66" t="n">
        <f aca="false">IF(SUM(C35:E35)&gt;0, ( IF(C35&gt;0,(C35-O35)^2,0) + IF(D35&gt;0,(D35-O35)^2,0) + IF(E35&gt;0,(E35-O35)^2,0) ) / COUNT(C35:E35),"")</f>
        <v>42.25</v>
      </c>
      <c r="Q35" s="63" t="n">
        <f aca="false">IF(SUM(C35:E35)&gt;0,SQRT(P35),"")</f>
        <v>6.5</v>
      </c>
      <c r="R35" s="63" t="n">
        <f aca="false">IF(COUNT(C35:E35)&gt;0,VLOOKUP(COUNT(C35:E35),$AX$2:$AZ$5,3)*(Q35/SQRT(COUNT(C35:E35))),"")</f>
        <v>58.3992419514158</v>
      </c>
      <c r="S35" s="63" t="n">
        <f aca="false">IF(COUNT(C35:E35)&gt;0,O35-R35,"")</f>
        <v>1098.10075804858</v>
      </c>
      <c r="T35" s="63" t="n">
        <f aca="false">IF(COUNT(C35:E35)&gt;0,O35+R35,"")</f>
        <v>1214.89924195142</v>
      </c>
      <c r="U35" s="64" t="n">
        <f aca="false">IF(COUNT(C35:E35)&gt;0,Q35/O35,"")</f>
        <v>0.00562040639861652</v>
      </c>
      <c r="V35" s="65" t="n">
        <f aca="false">IF(SUM(F35:H35)&gt;0,AVERAGE(F35:H35),"")</f>
        <v>1195</v>
      </c>
      <c r="W35" s="66" t="n">
        <f aca="false">IF(SUM(F35:H35)&gt;0, ( IF(F35&gt;0,(F35-V35)^2,0) + IF(G35&gt;0,(G35-V35)^2,0) + IF(H35&gt;0,(H35-V35)^2,0) ) / COUNT(F35:H35),"")</f>
        <v>36864</v>
      </c>
      <c r="X35" s="63" t="n">
        <f aca="false">IF(SUM(F35:H35)&gt;0,SQRT(W35),"")</f>
        <v>192</v>
      </c>
      <c r="Y35" s="63" t="n">
        <f aca="false">IF(COUNT(F35:H35)&gt;0,VLOOKUP(COUNT(F35:H35),$AX$2:$AZ$5,3)*(X35/SQRT(COUNT(F35:H35))),"")</f>
        <v>1725.0237622572</v>
      </c>
      <c r="Z35" s="63" t="n">
        <f aca="false">IF(COUNT(F35:H35)&gt;0,V35-Y35,"")</f>
        <v>-530.023762257204</v>
      </c>
      <c r="AA35" s="63" t="n">
        <f aca="false">IF(COUNT(F35:H35)&gt;0,V35+Y35,"")</f>
        <v>2920.0237622572</v>
      </c>
      <c r="AB35" s="64" t="n">
        <f aca="false">IF(COUNT(F35:H35)&gt;0,X35/V35,"")</f>
        <v>0.160669456066946</v>
      </c>
      <c r="AC35" s="26"/>
      <c r="AD35" s="65" t="n">
        <f aca="false">IF(SUM(I35:K35)&gt;0,AVERAGE(I35:K35),"")</f>
        <v>989.5</v>
      </c>
      <c r="AE35" s="66" t="n">
        <f aca="false">IF(SUM(I35:K35)&gt;0, ( IF(I35&gt;0,(I35-AD35)^2,0) + IF(J35&gt;0,(J35-AD35)^2,0) + IF(K35&gt;0,(K35-AD35)^2,0) ) / COUNT(I35:K35),"")</f>
        <v>52212.25</v>
      </c>
      <c r="AF35" s="63" t="n">
        <f aca="false">IF(SUM(I35:K35)&gt;0,SQRT(AE35),"")</f>
        <v>228.5</v>
      </c>
      <c r="AG35" s="63" t="n">
        <f aca="false">IF(COUNT(I35:K35)&gt;0,VLOOKUP(COUNT(I35:K35),$AX$2:$AZ$5,3)*(AF35/SQRT(COUNT(I35:K35))),"")</f>
        <v>2052.95796706131</v>
      </c>
      <c r="AH35" s="63" t="n">
        <f aca="false">IF(COUNT(I35:K35)&gt;0,AD35-AG35,"")</f>
        <v>-1063.45796706131</v>
      </c>
      <c r="AI35" s="63" t="n">
        <f aca="false">IF(COUNT(I35:K35)&gt;0,AD35+AG35,"")</f>
        <v>3042.45796706131</v>
      </c>
      <c r="AJ35" s="64" t="n">
        <f aca="false">IF(COUNT(I35:K35)&gt;0,AF35/AD35,"")</f>
        <v>0.230924709449217</v>
      </c>
      <c r="AK35" s="65" t="n">
        <f aca="false">IF(SUM(L35:N35)&gt;0,AVERAGE(L35:N35),"")</f>
        <v>1052</v>
      </c>
      <c r="AL35" s="66" t="n">
        <f aca="false">IF(SUM(L35:N35)&gt;0, ( IF(L35&gt;0,(L35-AK35)^2,0) + IF(M35&gt;0,(M35-AK35)^2,0) + IF(N35&gt;0,(N35-AK35)^2,0) ) / COUNT(L35:N35),"")</f>
        <v>16</v>
      </c>
      <c r="AM35" s="63" t="n">
        <f aca="false">IF(SUM(L35:N35)&gt;0,SQRT(AL35),"")</f>
        <v>4</v>
      </c>
      <c r="AN35" s="63" t="n">
        <f aca="false">IF(COUNT(L35:N35)&gt;0,VLOOKUP(COUNT(L35:N35),$AX$2:$AZ$5,3)*(AM35/SQRT(COUNT(L35:N35))),"")</f>
        <v>35.9379950470251</v>
      </c>
      <c r="AO35" s="63" t="n">
        <f aca="false">IF(COUNT(L35:N35)&gt;0,AK35-AN35,"")</f>
        <v>1016.06200495297</v>
      </c>
      <c r="AP35" s="63" t="n">
        <f aca="false">IF(COUNT(L35:N35)&gt;0,AK35+AN35,"")</f>
        <v>1087.93799504703</v>
      </c>
      <c r="AQ35" s="64" t="n">
        <f aca="false">IF(COUNT(L35:N35)&gt;0,AM35/AK35,"")</f>
        <v>0.00380228136882129</v>
      </c>
    </row>
    <row r="36" customFormat="false" ht="12.8" hidden="false" customHeight="false" outlineLevel="0" collapsed="false">
      <c r="A36" s="56" t="s">
        <v>34</v>
      </c>
      <c r="B36" s="57" t="n">
        <v>15</v>
      </c>
      <c r="C36" s="56"/>
      <c r="D36" s="25" t="n">
        <v>842</v>
      </c>
      <c r="E36" s="57" t="n">
        <v>823</v>
      </c>
      <c r="F36" s="58" t="n">
        <v>930</v>
      </c>
      <c r="G36" s="0" t="n">
        <v>845</v>
      </c>
      <c r="H36" s="59" t="n">
        <v>1007</v>
      </c>
      <c r="I36" s="56" t="n">
        <v>778</v>
      </c>
      <c r="J36" s="0" t="n">
        <v>982</v>
      </c>
      <c r="K36" s="57" t="n">
        <v>615</v>
      </c>
      <c r="L36" s="56"/>
      <c r="M36" s="0" t="n">
        <v>889</v>
      </c>
      <c r="N36" s="57" t="n">
        <v>806</v>
      </c>
      <c r="O36" s="65" t="n">
        <f aca="false">IF(SUM(C36:E36)&gt;0,AVERAGE(C36:E36),"")</f>
        <v>832.5</v>
      </c>
      <c r="P36" s="66" t="n">
        <f aca="false">IF(SUM(C36:E36)&gt;0, ( IF(C36&gt;0,(C36-O36)^2,0) + IF(D36&gt;0,(D36-O36)^2,0) + IF(E36&gt;0,(E36-O36)^2,0) ) / COUNT(C36:E36),"")</f>
        <v>90.25</v>
      </c>
      <c r="Q36" s="63" t="n">
        <f aca="false">IF(SUM(C36:E36)&gt;0,SQRT(P36),"")</f>
        <v>9.5</v>
      </c>
      <c r="R36" s="63" t="n">
        <f aca="false">IF(COUNT(C36:E36)&gt;0,VLOOKUP(COUNT(C36:E36),$AX$2:$AZ$5,3)*(Q36/SQRT(COUNT(C36:E36))),"")</f>
        <v>85.3527382366846</v>
      </c>
      <c r="S36" s="63" t="n">
        <f aca="false">IF(COUNT(C36:E36)&gt;0,O36-R36,"")</f>
        <v>747.147261763315</v>
      </c>
      <c r="T36" s="63" t="n">
        <f aca="false">IF(COUNT(C36:E36)&gt;0,O36+R36,"")</f>
        <v>917.852738236685</v>
      </c>
      <c r="U36" s="64" t="n">
        <f aca="false">IF(COUNT(C36:E36)&gt;0,Q36/O36,"")</f>
        <v>0.0114114114114114</v>
      </c>
      <c r="V36" s="65" t="n">
        <f aca="false">IF(SUM(F36:H36)&gt;0,AVERAGE(F36:H36),"")</f>
        <v>927.333333333333</v>
      </c>
      <c r="W36" s="66" t="n">
        <f aca="false">IF(SUM(F36:H36)&gt;0, ( IF(F36&gt;0,(F36-V36)^2,0) + IF(G36&gt;0,(G36-V36)^2,0) + IF(H36&gt;0,(H36-V36)^2,0) ) / COUNT(F36:H36),"")</f>
        <v>4377.55555555556</v>
      </c>
      <c r="X36" s="63" t="n">
        <f aca="false">IF(SUM(F36:H36)&gt;0,SQRT(W36),"")</f>
        <v>66.1630981405463</v>
      </c>
      <c r="Y36" s="63" t="n">
        <f aca="false">IF(COUNT(F36:H36)&gt;0,VLOOKUP(COUNT(F36:H36),$AX$2:$AZ$5,3)*(X36/SQRT(COUNT(F36:H36))),"")</f>
        <v>164.371512691581</v>
      </c>
      <c r="Z36" s="63" t="n">
        <f aca="false">IF(COUNT(F36:H36)&gt;0,V36-Y36,"")</f>
        <v>762.961820641753</v>
      </c>
      <c r="AA36" s="63" t="n">
        <f aca="false">IF(COUNT(F36:H36)&gt;0,V36+Y36,"")</f>
        <v>1091.70484602491</v>
      </c>
      <c r="AB36" s="64" t="n">
        <f aca="false">IF(COUNT(F36:H36)&gt;0,X36/V36,"")</f>
        <v>0.0713476974916027</v>
      </c>
      <c r="AC36" s="26"/>
      <c r="AD36" s="65" t="n">
        <f aca="false">IF(SUM(I36:K36)&gt;0,AVERAGE(I36:K36),"")</f>
        <v>791.666666666667</v>
      </c>
      <c r="AE36" s="66" t="n">
        <f aca="false">IF(SUM(I36:K36)&gt;0, ( IF(I36&gt;0,(I36-AD36)^2,0) + IF(J36&gt;0,(J36-AD36)^2,0) + IF(K36&gt;0,(K36-AD36)^2,0) ) / COUNT(I36:K36),"")</f>
        <v>22541.5555555556</v>
      </c>
      <c r="AF36" s="63" t="n">
        <f aca="false">IF(SUM(I36:K36)&gt;0,SQRT(AE36),"")</f>
        <v>150.13845461958</v>
      </c>
      <c r="AG36" s="63" t="n">
        <f aca="false">IF(COUNT(I36:K36)&gt;0,VLOOKUP(COUNT(I36:K36),$AX$2:$AZ$5,3)*(AF36/SQRT(COUNT(I36:K36))),"")</f>
        <v>372.994699349984</v>
      </c>
      <c r="AH36" s="63" t="n">
        <f aca="false">IF(COUNT(I36:K36)&gt;0,AD36-AG36,"")</f>
        <v>418.671967316682</v>
      </c>
      <c r="AI36" s="63" t="n">
        <f aca="false">IF(COUNT(I36:K36)&gt;0,AD36+AG36,"")</f>
        <v>1164.66136601665</v>
      </c>
      <c r="AJ36" s="64" t="n">
        <f aca="false">IF(COUNT(I36:K36)&gt;0,AF36/AD36,"")</f>
        <v>0.189648574256311</v>
      </c>
      <c r="AK36" s="65" t="n">
        <f aca="false">IF(SUM(L36:N36)&gt;0,AVERAGE(L36:N36),"")</f>
        <v>847.5</v>
      </c>
      <c r="AL36" s="66" t="n">
        <f aca="false">IF(SUM(L36:N36)&gt;0, ( IF(L36&gt;0,(L36-AK36)^2,0) + IF(M36&gt;0,(M36-AK36)^2,0) + IF(N36&gt;0,(N36-AK36)^2,0) ) / COUNT(L36:N36),"")</f>
        <v>1722.25</v>
      </c>
      <c r="AM36" s="63" t="n">
        <f aca="false">IF(SUM(L36:N36)&gt;0,SQRT(AL36),"")</f>
        <v>41.5</v>
      </c>
      <c r="AN36" s="63" t="n">
        <f aca="false">IF(COUNT(L36:N36)&gt;0,VLOOKUP(COUNT(L36:N36),$AX$2:$AZ$5,3)*(AM36/SQRT(COUNT(L36:N36))),"")</f>
        <v>372.856698612885</v>
      </c>
      <c r="AO36" s="63" t="n">
        <f aca="false">IF(COUNT(L36:N36)&gt;0,AK36-AN36,"")</f>
        <v>474.643301387115</v>
      </c>
      <c r="AP36" s="63" t="n">
        <f aca="false">IF(COUNT(L36:N36)&gt;0,AK36+AN36,"")</f>
        <v>1220.35669861289</v>
      </c>
      <c r="AQ36" s="64" t="n">
        <f aca="false">IF(COUNT(L36:N36)&gt;0,AM36/AK36,"")</f>
        <v>0.0489675516224189</v>
      </c>
    </row>
    <row r="37" customFormat="false" ht="12.8" hidden="false" customHeight="false" outlineLevel="0" collapsed="false">
      <c r="A37" s="56" t="s">
        <v>34</v>
      </c>
      <c r="B37" s="57" t="n">
        <v>20</v>
      </c>
      <c r="C37" s="56" t="n">
        <v>686</v>
      </c>
      <c r="D37" s="25" t="n">
        <v>681</v>
      </c>
      <c r="E37" s="57" t="n">
        <v>643</v>
      </c>
      <c r="F37" s="58" t="n">
        <v>680</v>
      </c>
      <c r="G37" s="0" t="n">
        <v>742</v>
      </c>
      <c r="H37" s="59" t="n">
        <v>757</v>
      </c>
      <c r="I37" s="56" t="n">
        <v>694</v>
      </c>
      <c r="J37" s="0" t="n">
        <v>589</v>
      </c>
      <c r="K37" s="57" t="n">
        <v>441</v>
      </c>
      <c r="L37" s="56"/>
      <c r="M37" s="0" t="n">
        <v>666</v>
      </c>
      <c r="N37" s="57" t="n">
        <v>621</v>
      </c>
      <c r="O37" s="65" t="n">
        <f aca="false">IF(SUM(C37:E37)&gt;0,AVERAGE(C37:E37),"")</f>
        <v>670</v>
      </c>
      <c r="P37" s="66" t="n">
        <f aca="false">IF(SUM(C37:E37)&gt;0, ( IF(C37&gt;0,(C37-O37)^2,0) + IF(D37&gt;0,(D37-O37)^2,0) + IF(E37&gt;0,(E37-O37)^2,0) ) / COUNT(C37:E37),"")</f>
        <v>368.666666666667</v>
      </c>
      <c r="Q37" s="63" t="n">
        <f aca="false">IF(SUM(C37:E37)&gt;0,SQRT(P37),"")</f>
        <v>19.2006944318862</v>
      </c>
      <c r="R37" s="63" t="n">
        <f aca="false">IF(COUNT(C37:E37)&gt;0,VLOOKUP(COUNT(C37:E37),$AX$2:$AZ$5,3)*(Q37/SQRT(COUNT(C37:E37))),"")</f>
        <v>47.7010188034689</v>
      </c>
      <c r="S37" s="63" t="n">
        <f aca="false">IF(COUNT(C37:E37)&gt;0,O37-R37,"")</f>
        <v>622.298981196531</v>
      </c>
      <c r="T37" s="63" t="n">
        <f aca="false">IF(COUNT(C37:E37)&gt;0,O37+R37,"")</f>
        <v>717.701018803469</v>
      </c>
      <c r="U37" s="64" t="n">
        <f aca="false">IF(COUNT(C37:E37)&gt;0,Q37/O37,"")</f>
        <v>0.0286577528834123</v>
      </c>
      <c r="V37" s="65" t="n">
        <f aca="false">IF(SUM(F37:H37)&gt;0,AVERAGE(F37:H37),"")</f>
        <v>726.333333333333</v>
      </c>
      <c r="W37" s="66" t="n">
        <f aca="false">IF(SUM(F37:H37)&gt;0, ( IF(F37&gt;0,(F37-V37)^2,0) + IF(G37&gt;0,(G37-V37)^2,0) + IF(H37&gt;0,(H37-V37)^2,0) ) / COUNT(F37:H37),"")</f>
        <v>1110.88888888889</v>
      </c>
      <c r="X37" s="63" t="n">
        <f aca="false">IF(SUM(F37:H37)&gt;0,SQRT(W37),"")</f>
        <v>33.3299998333167</v>
      </c>
      <c r="Y37" s="63" t="n">
        <f aca="false">IF(COUNT(F37:H37)&gt;0,VLOOKUP(COUNT(F37:H37),$AX$2:$AZ$5,3)*(X37/SQRT(COUNT(F37:H37))),"")</f>
        <v>82.8029920693065</v>
      </c>
      <c r="Z37" s="63" t="n">
        <f aca="false">IF(COUNT(F37:H37)&gt;0,V37-Y37,"")</f>
        <v>643.530341264027</v>
      </c>
      <c r="AA37" s="63" t="n">
        <f aca="false">IF(COUNT(F37:H37)&gt;0,V37+Y37,"")</f>
        <v>809.13632540264</v>
      </c>
      <c r="AB37" s="64" t="n">
        <f aca="false">IF(COUNT(F37:H37)&gt;0,X37/V37,"")</f>
        <v>0.0458880217989674</v>
      </c>
      <c r="AC37" s="26"/>
      <c r="AD37" s="65" t="n">
        <f aca="false">IF(SUM(I37:K37)&gt;0,AVERAGE(I37:K37),"")</f>
        <v>574.666666666667</v>
      </c>
      <c r="AE37" s="66" t="n">
        <f aca="false">IF(SUM(I37:K37)&gt;0, ( IF(I37&gt;0,(I37-AD37)^2,0) + IF(J37&gt;0,(J37-AD37)^2,0) + IF(K37&gt;0,(K37-AD37)^2,0) ) / COUNT(I37:K37),"")</f>
        <v>10770.8888888889</v>
      </c>
      <c r="AF37" s="63" t="n">
        <f aca="false">IF(SUM(I37:K37)&gt;0,SQRT(AE37),"")</f>
        <v>103.782893045477</v>
      </c>
      <c r="AG37" s="63" t="n">
        <f aca="false">IF(COUNT(I37:K37)&gt;0,VLOOKUP(COUNT(I37:K37),$AX$2:$AZ$5,3)*(AF37/SQRT(COUNT(I37:K37))),"")</f>
        <v>257.831806563173</v>
      </c>
      <c r="AH37" s="63" t="n">
        <f aca="false">IF(COUNT(I37:K37)&gt;0,AD37-AG37,"")</f>
        <v>316.834860103493</v>
      </c>
      <c r="AI37" s="63" t="n">
        <f aca="false">IF(COUNT(I37:K37)&gt;0,AD37+AG37,"")</f>
        <v>832.49847322984</v>
      </c>
      <c r="AJ37" s="64" t="n">
        <f aca="false">IF(COUNT(I37:K37)&gt;0,AF37/AD37,"")</f>
        <v>0.18059668163366</v>
      </c>
      <c r="AK37" s="65" t="n">
        <f aca="false">IF(SUM(L37:N37)&gt;0,AVERAGE(L37:N37),"")</f>
        <v>643.5</v>
      </c>
      <c r="AL37" s="66" t="n">
        <f aca="false">IF(SUM(L37:N37)&gt;0, ( IF(L37&gt;0,(L37-AK37)^2,0) + IF(M37&gt;0,(M37-AK37)^2,0) + IF(N37&gt;0,(N37-AK37)^2,0) ) / COUNT(L37:N37),"")</f>
        <v>506.25</v>
      </c>
      <c r="AM37" s="63" t="n">
        <f aca="false">IF(SUM(L37:N37)&gt;0,SQRT(AL37),"")</f>
        <v>22.5</v>
      </c>
      <c r="AN37" s="63" t="n">
        <f aca="false">IF(COUNT(L37:N37)&gt;0,VLOOKUP(COUNT(L37:N37),$AX$2:$AZ$5,3)*(AM37/SQRT(COUNT(L37:N37))),"")</f>
        <v>202.151222139516</v>
      </c>
      <c r="AO37" s="63" t="n">
        <f aca="false">IF(COUNT(L37:N37)&gt;0,AK37-AN37,"")</f>
        <v>441.348777860484</v>
      </c>
      <c r="AP37" s="63" t="n">
        <f aca="false">IF(COUNT(L37:N37)&gt;0,AK37+AN37,"")</f>
        <v>845.651222139516</v>
      </c>
      <c r="AQ37" s="64" t="n">
        <f aca="false">IF(COUNT(L37:N37)&gt;0,AM37/AK37,"")</f>
        <v>0.034965034965035</v>
      </c>
    </row>
    <row r="38" customFormat="false" ht="12.8" hidden="false" customHeight="false" outlineLevel="0" collapsed="false">
      <c r="A38" s="56" t="s">
        <v>34</v>
      </c>
      <c r="B38" s="57" t="n">
        <v>30</v>
      </c>
      <c r="C38" s="56" t="n">
        <v>553</v>
      </c>
      <c r="D38" s="25" t="n">
        <v>518</v>
      </c>
      <c r="E38" s="57" t="n">
        <v>447</v>
      </c>
      <c r="F38" s="58" t="n">
        <v>513</v>
      </c>
      <c r="G38" s="0" t="n">
        <v>451</v>
      </c>
      <c r="H38" s="59" t="n">
        <v>734</v>
      </c>
      <c r="I38" s="56" t="n">
        <v>570</v>
      </c>
      <c r="J38" s="0" t="n">
        <v>435</v>
      </c>
      <c r="K38" s="57" t="n">
        <v>352</v>
      </c>
      <c r="L38" s="56"/>
      <c r="M38" s="0" t="n">
        <v>524</v>
      </c>
      <c r="N38" s="57" t="n">
        <v>466</v>
      </c>
      <c r="O38" s="65" t="n">
        <f aca="false">IF(SUM(C38:E38)&gt;0,AVERAGE(C38:E38),"")</f>
        <v>506</v>
      </c>
      <c r="P38" s="66" t="n">
        <f aca="false">IF(SUM(C38:E38)&gt;0, ( IF(C38&gt;0,(C38-O38)^2,0) + IF(D38&gt;0,(D38-O38)^2,0) + IF(E38&gt;0,(E38-O38)^2,0) ) / COUNT(C38:E38),"")</f>
        <v>1944.66666666667</v>
      </c>
      <c r="Q38" s="63" t="n">
        <f aca="false">IF(SUM(C38:E38)&gt;0,SQRT(P38),"")</f>
        <v>44.0983748755741</v>
      </c>
      <c r="R38" s="63" t="n">
        <f aca="false">IF(COUNT(C38:E38)&gt;0,VLOOKUP(COUNT(C38:E38),$AX$2:$AZ$5,3)*(Q38/SQRT(COUNT(C38:E38))),"")</f>
        <v>109.555277628338</v>
      </c>
      <c r="S38" s="63" t="n">
        <f aca="false">IF(COUNT(C38:E38)&gt;0,O38-R38,"")</f>
        <v>396.444722371662</v>
      </c>
      <c r="T38" s="63" t="n">
        <f aca="false">IF(COUNT(C38:E38)&gt;0,O38+R38,"")</f>
        <v>615.555277628338</v>
      </c>
      <c r="U38" s="64" t="n">
        <f aca="false">IF(COUNT(C38:E38)&gt;0,Q38/O38,"")</f>
        <v>0.0871509384892769</v>
      </c>
      <c r="V38" s="65" t="n">
        <f aca="false">IF(SUM(F38:H38)&gt;0,AVERAGE(F38:H38),"")</f>
        <v>566</v>
      </c>
      <c r="W38" s="66" t="n">
        <f aca="false">IF(SUM(F38:H38)&gt;0, ( IF(F38&gt;0,(F38-V38)^2,0) + IF(G38&gt;0,(G38-V38)^2,0) + IF(H38&gt;0,(H38-V38)^2,0) ) / COUNT(F38:H38),"")</f>
        <v>14752.6666666667</v>
      </c>
      <c r="X38" s="63" t="n">
        <f aca="false">IF(SUM(F38:H38)&gt;0,SQRT(W38),"")</f>
        <v>121.460556011681</v>
      </c>
      <c r="Y38" s="63" t="n">
        <f aca="false">IF(COUNT(F38:H38)&gt;0,VLOOKUP(COUNT(F38:H38),$AX$2:$AZ$5,3)*(X38/SQRT(COUNT(F38:H38))),"")</f>
        <v>301.74910010397</v>
      </c>
      <c r="Z38" s="63" t="n">
        <f aca="false">IF(COUNT(F38:H38)&gt;0,V38-Y38,"")</f>
        <v>264.25089989603</v>
      </c>
      <c r="AA38" s="63" t="n">
        <f aca="false">IF(COUNT(F38:H38)&gt;0,V38+Y38,"")</f>
        <v>867.74910010397</v>
      </c>
      <c r="AB38" s="64" t="n">
        <f aca="false">IF(COUNT(F38:H38)&gt;0,X38/V38,"")</f>
        <v>0.214594621928765</v>
      </c>
      <c r="AC38" s="26"/>
      <c r="AD38" s="65" t="n">
        <f aca="false">IF(SUM(I38:K38)&gt;0,AVERAGE(I38:K38),"")</f>
        <v>452.333333333333</v>
      </c>
      <c r="AE38" s="66" t="n">
        <f aca="false">IF(SUM(I38:K38)&gt;0, ( IF(I38&gt;0,(I38-AD38)^2,0) + IF(J38&gt;0,(J38-AD38)^2,0) + IF(K38&gt;0,(K38-AD38)^2,0) ) / COUNT(I38:K38),"")</f>
        <v>8070.88888888889</v>
      </c>
      <c r="AF38" s="63" t="n">
        <f aca="false">IF(SUM(I38:K38)&gt;0,SQRT(AE38),"")</f>
        <v>89.8381260317071</v>
      </c>
      <c r="AG38" s="63" t="n">
        <f aca="false">IF(COUNT(I38:K38)&gt;0,VLOOKUP(COUNT(I38:K38),$AX$2:$AZ$5,3)*(AF38/SQRT(COUNT(I38:K38))),"")</f>
        <v>223.188289064703</v>
      </c>
      <c r="AH38" s="63" t="n">
        <f aca="false">IF(COUNT(I38:K38)&gt;0,AD38-AG38,"")</f>
        <v>229.14504426863</v>
      </c>
      <c r="AI38" s="63" t="n">
        <f aca="false">IF(COUNT(I38:K38)&gt;0,AD38+AG38,"")</f>
        <v>675.521622398037</v>
      </c>
      <c r="AJ38" s="64" t="n">
        <f aca="false">IF(COUNT(I38:K38)&gt;0,AF38/AD38,"")</f>
        <v>0.19861044811726</v>
      </c>
      <c r="AK38" s="65" t="n">
        <f aca="false">IF(SUM(L38:N38)&gt;0,AVERAGE(L38:N38),"")</f>
        <v>495</v>
      </c>
      <c r="AL38" s="66" t="n">
        <f aca="false">IF(SUM(L38:N38)&gt;0, ( IF(L38&gt;0,(L38-AK38)^2,0) + IF(M38&gt;0,(M38-AK38)^2,0) + IF(N38&gt;0,(N38-AK38)^2,0) ) / COUNT(L38:N38),"")</f>
        <v>841</v>
      </c>
      <c r="AM38" s="63" t="n">
        <f aca="false">IF(SUM(L38:N38)&gt;0,SQRT(AL38),"")</f>
        <v>29</v>
      </c>
      <c r="AN38" s="63" t="n">
        <f aca="false">IF(COUNT(L38:N38)&gt;0,VLOOKUP(COUNT(L38:N38),$AX$2:$AZ$5,3)*(AM38/SQRT(COUNT(L38:N38))),"")</f>
        <v>260.550464090932</v>
      </c>
      <c r="AO38" s="63" t="n">
        <f aca="false">IF(COUNT(L38:N38)&gt;0,AK38-AN38,"")</f>
        <v>234.449535909068</v>
      </c>
      <c r="AP38" s="63" t="n">
        <f aca="false">IF(COUNT(L38:N38)&gt;0,AK38+AN38,"")</f>
        <v>755.550464090932</v>
      </c>
      <c r="AQ38" s="64" t="n">
        <f aca="false">IF(COUNT(L38:N38)&gt;0,AM38/AK38,"")</f>
        <v>0.0585858585858586</v>
      </c>
    </row>
    <row r="39" customFormat="false" ht="12.8" hidden="false" customHeight="false" outlineLevel="0" collapsed="false">
      <c r="A39" s="56" t="s">
        <v>34</v>
      </c>
      <c r="B39" s="57" t="n">
        <v>40</v>
      </c>
      <c r="C39" s="56" t="n">
        <v>437</v>
      </c>
      <c r="D39" s="25" t="n">
        <v>366</v>
      </c>
      <c r="E39" s="57" t="n">
        <v>412</v>
      </c>
      <c r="F39" s="58" t="n">
        <v>396</v>
      </c>
      <c r="G39" s="0" t="n">
        <v>401</v>
      </c>
      <c r="H39" s="59" t="n">
        <v>423</v>
      </c>
      <c r="I39" s="56" t="n">
        <v>378</v>
      </c>
      <c r="J39" s="0" t="n">
        <v>347</v>
      </c>
      <c r="K39" s="57" t="n">
        <v>313</v>
      </c>
      <c r="L39" s="56"/>
      <c r="M39" s="0" t="n">
        <v>377</v>
      </c>
      <c r="N39" s="57" t="n">
        <v>356</v>
      </c>
      <c r="O39" s="65" t="n">
        <f aca="false">IF(SUM(C39:E39)&gt;0,AVERAGE(C39:E39),"")</f>
        <v>405</v>
      </c>
      <c r="P39" s="66" t="n">
        <f aca="false">IF(SUM(C39:E39)&gt;0, ( IF(C39&gt;0,(C39-O39)^2,0) + IF(D39&gt;0,(D39-O39)^2,0) + IF(E39&gt;0,(E39-O39)^2,0) ) / COUNT(C39:E39),"")</f>
        <v>864.666666666667</v>
      </c>
      <c r="Q39" s="63" t="n">
        <f aca="false">IF(SUM(C39:E39)&gt;0,SQRT(P39),"")</f>
        <v>29.4052149569879</v>
      </c>
      <c r="R39" s="63" t="n">
        <f aca="false">IF(COUNT(C39:E39)&gt;0,VLOOKUP(COUNT(C39:E39),$AX$2:$AZ$5,3)*(Q39/SQRT(COUNT(C39:E39))),"")</f>
        <v>73.0524990415949</v>
      </c>
      <c r="S39" s="63" t="n">
        <f aca="false">IF(COUNT(C39:E39)&gt;0,O39-R39,"")</f>
        <v>331.947500958405</v>
      </c>
      <c r="T39" s="63" t="n">
        <f aca="false">IF(COUNT(C39:E39)&gt;0,O39+R39,"")</f>
        <v>478.052499041595</v>
      </c>
      <c r="U39" s="64" t="n">
        <f aca="false">IF(COUNT(C39:E39)&gt;0,Q39/O39,"")</f>
        <v>0.0726054690295998</v>
      </c>
      <c r="V39" s="65" t="n">
        <f aca="false">IF(SUM(F39:H39)&gt;0,AVERAGE(F39:H39),"")</f>
        <v>406.666666666667</v>
      </c>
      <c r="W39" s="66" t="n">
        <f aca="false">IF(SUM(F39:H39)&gt;0, ( IF(F39&gt;0,(F39-V39)^2,0) + IF(G39&gt;0,(G39-V39)^2,0) + IF(H39&gt;0,(H39-V39)^2,0) ) / COUNT(F39:H39),"")</f>
        <v>137.555555555556</v>
      </c>
      <c r="X39" s="63" t="n">
        <f aca="false">IF(SUM(F39:H39)&gt;0,SQRT(W39),"")</f>
        <v>11.7284080571728</v>
      </c>
      <c r="Y39" s="63" t="n">
        <f aca="false">IF(COUNT(F39:H39)&gt;0,VLOOKUP(COUNT(F39:H39),$AX$2:$AZ$5,3)*(X39/SQRT(COUNT(F39:H39))),"")</f>
        <v>29.1373322592372</v>
      </c>
      <c r="Z39" s="63" t="n">
        <f aca="false">IF(COUNT(F39:H39)&gt;0,V39-Y39,"")</f>
        <v>377.52933440743</v>
      </c>
      <c r="AA39" s="63" t="n">
        <f aca="false">IF(COUNT(F39:H39)&gt;0,V39+Y39,"")</f>
        <v>435.803998925904</v>
      </c>
      <c r="AB39" s="64" t="n">
        <f aca="false">IF(COUNT(F39:H39)&gt;0,X39/V39,"")</f>
        <v>0.0288403476815724</v>
      </c>
      <c r="AC39" s="26"/>
      <c r="AD39" s="65" t="n">
        <f aca="false">IF(SUM(I39:K39)&gt;0,AVERAGE(I39:K39),"")</f>
        <v>346</v>
      </c>
      <c r="AE39" s="66" t="n">
        <f aca="false">IF(SUM(I39:K39)&gt;0, ( IF(I39&gt;0,(I39-AD39)^2,0) + IF(J39&gt;0,(J39-AD39)^2,0) + IF(K39&gt;0,(K39-AD39)^2,0) ) / COUNT(I39:K39),"")</f>
        <v>704.666666666667</v>
      </c>
      <c r="AF39" s="63" t="n">
        <f aca="false">IF(SUM(I39:K39)&gt;0,SQRT(AE39),"")</f>
        <v>26.5455583227527</v>
      </c>
      <c r="AG39" s="63" t="n">
        <f aca="false">IF(COUNT(I39:K39)&gt;0,VLOOKUP(COUNT(I39:K39),$AX$2:$AZ$5,3)*(AF39/SQRT(COUNT(I39:K39))),"")</f>
        <v>65.9481448024801</v>
      </c>
      <c r="AH39" s="63" t="n">
        <f aca="false">IF(COUNT(I39:K39)&gt;0,AD39-AG39,"")</f>
        <v>280.05185519752</v>
      </c>
      <c r="AI39" s="63" t="n">
        <f aca="false">IF(COUNT(I39:K39)&gt;0,AD39+AG39,"")</f>
        <v>411.94814480248</v>
      </c>
      <c r="AJ39" s="64" t="n">
        <f aca="false">IF(COUNT(I39:K39)&gt;0,AF39/AD39,"")</f>
        <v>0.0767212668287651</v>
      </c>
      <c r="AK39" s="65" t="n">
        <f aca="false">IF(SUM(L39:N39)&gt;0,AVERAGE(L39:N39),"")</f>
        <v>366.5</v>
      </c>
      <c r="AL39" s="66" t="n">
        <f aca="false">IF(SUM(L39:N39)&gt;0, ( IF(L39&gt;0,(L39-AK39)^2,0) + IF(M39&gt;0,(M39-AK39)^2,0) + IF(N39&gt;0,(N39-AK39)^2,0) ) / COUNT(L39:N39),"")</f>
        <v>110.25</v>
      </c>
      <c r="AM39" s="63" t="n">
        <f aca="false">IF(SUM(L39:N39)&gt;0,SQRT(AL39),"")</f>
        <v>10.5</v>
      </c>
      <c r="AN39" s="63" t="n">
        <f aca="false">IF(COUNT(L39:N39)&gt;0,VLOOKUP(COUNT(L39:N39),$AX$2:$AZ$5,3)*(AM39/SQRT(COUNT(L39:N39))),"")</f>
        <v>94.3372369984409</v>
      </c>
      <c r="AO39" s="63" t="n">
        <f aca="false">IF(COUNT(L39:N39)&gt;0,AK39-AN39,"")</f>
        <v>272.162763001559</v>
      </c>
      <c r="AP39" s="63" t="n">
        <f aca="false">IF(COUNT(L39:N39)&gt;0,AK39+AN39,"")</f>
        <v>460.837236998441</v>
      </c>
      <c r="AQ39" s="64" t="n">
        <f aca="false">IF(COUNT(L39:N39)&gt;0,AM39/AK39,"")</f>
        <v>0.0286493860845839</v>
      </c>
    </row>
    <row r="40" customFormat="false" ht="12.8" hidden="false" customHeight="false" outlineLevel="0" collapsed="false">
      <c r="A40" s="56" t="s">
        <v>34</v>
      </c>
      <c r="B40" s="57" t="n">
        <v>50</v>
      </c>
      <c r="C40" s="56" t="n">
        <v>327</v>
      </c>
      <c r="D40" s="25" t="n">
        <v>353</v>
      </c>
      <c r="E40" s="57" t="n">
        <v>328</v>
      </c>
      <c r="F40" s="58" t="n">
        <v>326</v>
      </c>
      <c r="G40" s="0" t="n">
        <v>368</v>
      </c>
      <c r="H40" s="59" t="n">
        <v>310</v>
      </c>
      <c r="I40" s="56" t="n">
        <v>326</v>
      </c>
      <c r="J40" s="0" t="n">
        <v>408</v>
      </c>
      <c r="K40" s="57" t="n">
        <v>248</v>
      </c>
      <c r="L40" s="56"/>
      <c r="M40" s="0" t="n">
        <v>344</v>
      </c>
      <c r="N40" s="57" t="n">
        <v>318</v>
      </c>
      <c r="O40" s="65" t="n">
        <f aca="false">IF(SUM(C40:E40)&gt;0,AVERAGE(C40:E40),"")</f>
        <v>336</v>
      </c>
      <c r="P40" s="66" t="n">
        <f aca="false">IF(SUM(C40:E40)&gt;0, ( IF(C40&gt;0,(C40-O40)^2,0) + IF(D40&gt;0,(D40-O40)^2,0) + IF(E40&gt;0,(E40-O40)^2,0) ) / COUNT(C40:E40),"")</f>
        <v>144.666666666667</v>
      </c>
      <c r="Q40" s="63" t="n">
        <f aca="false">IF(SUM(C40:E40)&gt;0,SQRT(P40),"")</f>
        <v>12.0277457017791</v>
      </c>
      <c r="R40" s="63" t="n">
        <f aca="false">IF(COUNT(C40:E40)&gt;0,VLOOKUP(COUNT(C40:E40),$AX$2:$AZ$5,3)*(Q40/SQRT(COUNT(C40:E40))),"")</f>
        <v>29.8809882069222</v>
      </c>
      <c r="S40" s="63" t="n">
        <f aca="false">IF(COUNT(C40:E40)&gt;0,O40-R40,"")</f>
        <v>306.119011793078</v>
      </c>
      <c r="T40" s="63" t="n">
        <f aca="false">IF(COUNT(C40:E40)&gt;0,O40+R40,"")</f>
        <v>365.880988206922</v>
      </c>
      <c r="U40" s="64" t="n">
        <f aca="false">IF(COUNT(C40:E40)&gt;0,Q40/O40,"")</f>
        <v>0.035796862207676</v>
      </c>
      <c r="V40" s="65" t="n">
        <f aca="false">IF(SUM(F40:H40)&gt;0,AVERAGE(F40:H40),"")</f>
        <v>334.666666666667</v>
      </c>
      <c r="W40" s="66" t="n">
        <f aca="false">IF(SUM(F40:H40)&gt;0, ( IF(F40&gt;0,(F40-V40)^2,0) + IF(G40&gt;0,(G40-V40)^2,0) + IF(H40&gt;0,(H40-V40)^2,0) ) / COUNT(F40:H40),"")</f>
        <v>598.222222222222</v>
      </c>
      <c r="X40" s="63" t="n">
        <f aca="false">IF(SUM(F40:H40)&gt;0,SQRT(W40),"")</f>
        <v>24.4585817704589</v>
      </c>
      <c r="Y40" s="63" t="n">
        <f aca="false">IF(COUNT(F40:H40)&gt;0,VLOOKUP(COUNT(F40:H40),$AX$2:$AZ$5,3)*(X40/SQRT(COUNT(F40:H40))),"")</f>
        <v>60.7633892137424</v>
      </c>
      <c r="Z40" s="63" t="n">
        <f aca="false">IF(COUNT(F40:H40)&gt;0,V40-Y40,"")</f>
        <v>273.903277452924</v>
      </c>
      <c r="AA40" s="63" t="n">
        <f aca="false">IF(COUNT(F40:H40)&gt;0,V40+Y40,"")</f>
        <v>395.430055880409</v>
      </c>
      <c r="AB40" s="64" t="n">
        <f aca="false">IF(COUNT(F40:H40)&gt;0,X40/V40,"")</f>
        <v>0.0730834116647177</v>
      </c>
      <c r="AC40" s="26"/>
      <c r="AD40" s="65" t="n">
        <f aca="false">IF(SUM(I40:K40)&gt;0,AVERAGE(I40:K40),"")</f>
        <v>327.333333333333</v>
      </c>
      <c r="AE40" s="66" t="n">
        <f aca="false">IF(SUM(I40:K40)&gt;0, ( IF(I40&gt;0,(I40-AD40)^2,0) + IF(J40&gt;0,(J40-AD40)^2,0) + IF(K40&gt;0,(K40-AD40)^2,0) ) / COUNT(I40:K40),"")</f>
        <v>4267.55555555556</v>
      </c>
      <c r="AF40" s="63" t="n">
        <f aca="false">IF(SUM(I40:K40)&gt;0,SQRT(AE40),"")</f>
        <v>65.3265302580472</v>
      </c>
      <c r="AG40" s="63" t="n">
        <f aca="false">IF(COUNT(I40:K40)&gt;0,VLOOKUP(COUNT(I40:K40),$AX$2:$AZ$5,3)*(AF40/SQRT(COUNT(I40:K40))),"")</f>
        <v>162.293195137233</v>
      </c>
      <c r="AH40" s="63" t="n">
        <f aca="false">IF(COUNT(I40:K40)&gt;0,AD40-AG40,"")</f>
        <v>165.040138196101</v>
      </c>
      <c r="AI40" s="63" t="n">
        <f aca="false">IF(COUNT(I40:K40)&gt;0,AD40+AG40,"")</f>
        <v>489.626528470566</v>
      </c>
      <c r="AJ40" s="64" t="n">
        <f aca="false">IF(COUNT(I40:K40)&gt;0,AF40/AD40,"")</f>
        <v>0.199571884698719</v>
      </c>
      <c r="AK40" s="65" t="n">
        <f aca="false">IF(SUM(L40:N40)&gt;0,AVERAGE(L40:N40),"")</f>
        <v>331</v>
      </c>
      <c r="AL40" s="66" t="n">
        <f aca="false">IF(SUM(L40:N40)&gt;0, ( IF(L40&gt;0,(L40-AK40)^2,0) + IF(M40&gt;0,(M40-AK40)^2,0) + IF(N40&gt;0,(N40-AK40)^2,0) ) / COUNT(L40:N40),"")</f>
        <v>169</v>
      </c>
      <c r="AM40" s="63" t="n">
        <f aca="false">IF(SUM(L40:N40)&gt;0,SQRT(AL40),"")</f>
        <v>13</v>
      </c>
      <c r="AN40" s="63" t="n">
        <f aca="false">IF(COUNT(L40:N40)&gt;0,VLOOKUP(COUNT(L40:N40),$AX$2:$AZ$5,3)*(AM40/SQRT(COUNT(L40:N40))),"")</f>
        <v>116.798483902832</v>
      </c>
      <c r="AO40" s="63" t="n">
        <f aca="false">IF(COUNT(L40:N40)&gt;0,AK40-AN40,"")</f>
        <v>214.201516097168</v>
      </c>
      <c r="AP40" s="63" t="n">
        <f aca="false">IF(COUNT(L40:N40)&gt;0,AK40+AN40,"")</f>
        <v>447.798483902832</v>
      </c>
      <c r="AQ40" s="64" t="n">
        <f aca="false">IF(COUNT(L40:N40)&gt;0,AM40/AK40,"")</f>
        <v>0.0392749244712991</v>
      </c>
    </row>
    <row r="41" customFormat="false" ht="12.8" hidden="false" customHeight="false" outlineLevel="0" collapsed="false">
      <c r="A41" s="56" t="s">
        <v>34</v>
      </c>
      <c r="B41" s="57" t="n">
        <v>64</v>
      </c>
      <c r="C41" s="56" t="n">
        <v>276</v>
      </c>
      <c r="D41" s="25" t="n">
        <v>270</v>
      </c>
      <c r="E41" s="57" t="n">
        <v>267</v>
      </c>
      <c r="F41" s="58" t="n">
        <v>286</v>
      </c>
      <c r="G41" s="0" t="n">
        <v>294</v>
      </c>
      <c r="H41" s="59" t="n">
        <v>266</v>
      </c>
      <c r="I41" s="56" t="n">
        <v>289</v>
      </c>
      <c r="J41" s="0" t="n">
        <v>266</v>
      </c>
      <c r="K41" s="57" t="n">
        <v>254</v>
      </c>
      <c r="L41" s="56"/>
      <c r="M41" s="0" t="n">
        <v>272</v>
      </c>
      <c r="N41" s="57" t="n">
        <v>271</v>
      </c>
      <c r="O41" s="65" t="n">
        <f aca="false">IF(SUM(C41:E41)&gt;0,AVERAGE(C41:E41),"")</f>
        <v>271</v>
      </c>
      <c r="P41" s="66" t="n">
        <f aca="false">IF(SUM(C41:E41)&gt;0, ( IF(C41&gt;0,(C41-O41)^2,0) + IF(D41&gt;0,(D41-O41)^2,0) + IF(E41&gt;0,(E41-O41)^2,0) ) / COUNT(C41:E41),"")</f>
        <v>14</v>
      </c>
      <c r="Q41" s="63" t="n">
        <f aca="false">IF(SUM(C41:E41)&gt;0,SQRT(P41),"")</f>
        <v>3.74165738677394</v>
      </c>
      <c r="R41" s="63" t="n">
        <f aca="false">IF(COUNT(C41:E41)&gt;0,VLOOKUP(COUNT(C41:E41),$AX$2:$AZ$5,3)*(Q41/SQRT(COUNT(C41:E41))),"")</f>
        <v>9.29554240841634</v>
      </c>
      <c r="S41" s="63" t="n">
        <f aca="false">IF(COUNT(C41:E41)&gt;0,O41-R41,"")</f>
        <v>261.704457591584</v>
      </c>
      <c r="T41" s="63" t="n">
        <f aca="false">IF(COUNT(C41:E41)&gt;0,O41+R41,"")</f>
        <v>280.295542408416</v>
      </c>
      <c r="U41" s="64" t="n">
        <f aca="false">IF(COUNT(C41:E41)&gt;0,Q41/O41,"")</f>
        <v>0.0138068538257341</v>
      </c>
      <c r="V41" s="65" t="n">
        <f aca="false">IF(SUM(F41:H41)&gt;0,AVERAGE(F41:H41),"")</f>
        <v>282</v>
      </c>
      <c r="W41" s="66" t="n">
        <f aca="false">IF(SUM(F41:H41)&gt;0, ( IF(F41&gt;0,(F41-V41)^2,0) + IF(G41&gt;0,(G41-V41)^2,0) + IF(H41&gt;0,(H41-V41)^2,0) ) / COUNT(F41:H41),"")</f>
        <v>138.666666666667</v>
      </c>
      <c r="X41" s="63" t="n">
        <f aca="false">IF(SUM(F41:H41)&gt;0,SQRT(W41),"")</f>
        <v>11.7756811551038</v>
      </c>
      <c r="Y41" s="63" t="n">
        <f aca="false">IF(COUNT(F41:H41)&gt;0,VLOOKUP(COUNT(F41:H41),$AX$2:$AZ$5,3)*(X41/SQRT(COUNT(F41:H41))),"")</f>
        <v>29.254774622653</v>
      </c>
      <c r="Z41" s="63" t="n">
        <f aca="false">IF(COUNT(F41:H41)&gt;0,V41-Y41,"")</f>
        <v>252.745225377347</v>
      </c>
      <c r="AA41" s="63" t="n">
        <f aca="false">IF(COUNT(F41:H41)&gt;0,V41+Y41,"")</f>
        <v>311.254774622653</v>
      </c>
      <c r="AB41" s="64" t="n">
        <f aca="false">IF(COUNT(F41:H41)&gt;0,X41/V41,"")</f>
        <v>0.0417577345925666</v>
      </c>
      <c r="AC41" s="26"/>
      <c r="AD41" s="65" t="n">
        <f aca="false">IF(SUM(I41:K41)&gt;0,AVERAGE(I41:K41),"")</f>
        <v>269.666666666667</v>
      </c>
      <c r="AE41" s="66" t="n">
        <f aca="false">IF(SUM(I41:K41)&gt;0, ( IF(I41&gt;0,(I41-AD41)^2,0) + IF(J41&gt;0,(J41-AD41)^2,0) + IF(K41&gt;0,(K41-AD41)^2,0) ) / COUNT(I41:K41),"")</f>
        <v>210.888888888889</v>
      </c>
      <c r="AF41" s="63" t="n">
        <f aca="false">IF(SUM(I41:K41)&gt;0,SQRT(AE41),"")</f>
        <v>14.522013940528</v>
      </c>
      <c r="AG41" s="63" t="n">
        <f aca="false">IF(COUNT(I41:K41)&gt;0,VLOOKUP(COUNT(I41:K41),$AX$2:$AZ$5,3)*(AF41/SQRT(COUNT(I41:K41))),"")</f>
        <v>36.0775940942523</v>
      </c>
      <c r="AH41" s="63" t="n">
        <f aca="false">IF(COUNT(I41:K41)&gt;0,AD41-AG41,"")</f>
        <v>233.589072572414</v>
      </c>
      <c r="AI41" s="63" t="n">
        <f aca="false">IF(COUNT(I41:K41)&gt;0,AD41+AG41,"")</f>
        <v>305.744260760919</v>
      </c>
      <c r="AJ41" s="64" t="n">
        <f aca="false">IF(COUNT(I41:K41)&gt;0,AF41/AD41,"")</f>
        <v>0.0538517204222298</v>
      </c>
      <c r="AK41" s="65" t="n">
        <f aca="false">IF(SUM(L41:N41)&gt;0,AVERAGE(L41:N41),"")</f>
        <v>271.5</v>
      </c>
      <c r="AL41" s="66" t="n">
        <f aca="false">IF(SUM(L41:N41)&gt;0, ( IF(L41&gt;0,(L41-AK41)^2,0) + IF(M41&gt;0,(M41-AK41)^2,0) + IF(N41&gt;0,(N41-AK41)^2,0) ) / COUNT(L41:N41),"")</f>
        <v>0.25</v>
      </c>
      <c r="AM41" s="63" t="n">
        <f aca="false">IF(SUM(L41:N41)&gt;0,SQRT(AL41),"")</f>
        <v>0.5</v>
      </c>
      <c r="AN41" s="63" t="n">
        <f aca="false">IF(COUNT(L41:N41)&gt;0,VLOOKUP(COUNT(L41:N41),$AX$2:$AZ$5,3)*(AM41/SQRT(COUNT(L41:N41))),"")</f>
        <v>4.49224938087814</v>
      </c>
      <c r="AO41" s="63" t="n">
        <f aca="false">IF(COUNT(L41:N41)&gt;0,AK41-AN41,"")</f>
        <v>267.007750619122</v>
      </c>
      <c r="AP41" s="63" t="n">
        <f aca="false">IF(COUNT(L41:N41)&gt;0,AK41+AN41,"")</f>
        <v>275.992249380878</v>
      </c>
      <c r="AQ41" s="64" t="n">
        <f aca="false">IF(COUNT(L41:N41)&gt;0,AM41/AK41,"")</f>
        <v>0.00184162062615101</v>
      </c>
    </row>
    <row r="42" customFormat="false" ht="12.8" hidden="false" customHeight="false" outlineLevel="0" collapsed="false">
      <c r="A42" s="56" t="s">
        <v>34</v>
      </c>
      <c r="B42" s="57" t="n">
        <v>82</v>
      </c>
      <c r="C42" s="56" t="n">
        <v>224</v>
      </c>
      <c r="D42" s="25" t="n">
        <v>249</v>
      </c>
      <c r="E42" s="57" t="n">
        <v>232</v>
      </c>
      <c r="F42" s="58" t="n">
        <v>242</v>
      </c>
      <c r="G42" s="0" t="n">
        <v>247</v>
      </c>
      <c r="H42" s="59" t="n">
        <v>253</v>
      </c>
      <c r="I42" s="56" t="n">
        <v>251</v>
      </c>
      <c r="J42" s="0" t="n">
        <v>225</v>
      </c>
      <c r="K42" s="57" t="n">
        <v>232</v>
      </c>
      <c r="L42" s="56"/>
      <c r="M42" s="0" t="n">
        <v>227</v>
      </c>
      <c r="N42" s="57" t="n">
        <v>289</v>
      </c>
      <c r="O42" s="65" t="n">
        <f aca="false">IF(SUM(C42:E42)&gt;0,AVERAGE(C42:E42),"")</f>
        <v>235</v>
      </c>
      <c r="P42" s="66" t="n">
        <f aca="false">IF(SUM(C42:E42)&gt;0, ( IF(C42&gt;0,(C42-O42)^2,0) + IF(D42&gt;0,(D42-O42)^2,0) + IF(E42&gt;0,(E42-O42)^2,0) ) / COUNT(C42:E42),"")</f>
        <v>108.666666666667</v>
      </c>
      <c r="Q42" s="63" t="n">
        <f aca="false">IF(SUM(C42:E42)&gt;0,SQRT(P42),"")</f>
        <v>10.4243305140746</v>
      </c>
      <c r="R42" s="63" t="n">
        <f aca="false">IF(COUNT(C42:E42)&gt;0,VLOOKUP(COUNT(C42:E42),$AX$2:$AZ$5,3)*(Q42/SQRT(COUNT(C42:E42))),"")</f>
        <v>25.8975625923024</v>
      </c>
      <c r="S42" s="63" t="n">
        <f aca="false">IF(COUNT(C42:E42)&gt;0,O42-R42,"")</f>
        <v>209.102437407698</v>
      </c>
      <c r="T42" s="63" t="n">
        <f aca="false">IF(COUNT(C42:E42)&gt;0,O42+R42,"")</f>
        <v>260.897562592302</v>
      </c>
      <c r="U42" s="64" t="n">
        <f aca="false">IF(COUNT(C42:E42)&gt;0,Q42/O42,"")</f>
        <v>0.0443588532513813</v>
      </c>
      <c r="V42" s="65" t="n">
        <f aca="false">IF(SUM(F42:H42)&gt;0,AVERAGE(F42:H42),"")</f>
        <v>247.333333333333</v>
      </c>
      <c r="W42" s="66" t="n">
        <f aca="false">IF(SUM(F42:H42)&gt;0, ( IF(F42&gt;0,(F42-V42)^2,0) + IF(G42&gt;0,(G42-V42)^2,0) + IF(H42&gt;0,(H42-V42)^2,0) ) / COUNT(F42:H42),"")</f>
        <v>20.2222222222222</v>
      </c>
      <c r="X42" s="63" t="n">
        <f aca="false">IF(SUM(F42:H42)&gt;0,SQRT(W42),"")</f>
        <v>4.49691252107735</v>
      </c>
      <c r="Y42" s="63" t="n">
        <f aca="false">IF(COUNT(F42:H42)&gt;0,VLOOKUP(COUNT(F42:H42),$AX$2:$AZ$5,3)*(X42/SQRT(COUNT(F42:H42))),"")</f>
        <v>11.1718515955984</v>
      </c>
      <c r="Z42" s="63" t="n">
        <f aca="false">IF(COUNT(F42:H42)&gt;0,V42-Y42,"")</f>
        <v>236.161481737735</v>
      </c>
      <c r="AA42" s="63" t="n">
        <f aca="false">IF(COUNT(F42:H42)&gt;0,V42+Y42,"")</f>
        <v>258.505184928932</v>
      </c>
      <c r="AB42" s="64" t="n">
        <f aca="false">IF(COUNT(F42:H42)&gt;0,X42/V42,"")</f>
        <v>0.0181815870124421</v>
      </c>
      <c r="AC42" s="26"/>
      <c r="AD42" s="65" t="n">
        <f aca="false">IF(SUM(I42:K42)&gt;0,AVERAGE(I42:K42),"")</f>
        <v>236</v>
      </c>
      <c r="AE42" s="66" t="n">
        <f aca="false">IF(SUM(I42:K42)&gt;0, ( IF(I42&gt;0,(I42-AD42)^2,0) + IF(J42&gt;0,(J42-AD42)^2,0) + IF(K42&gt;0,(K42-AD42)^2,0) ) / COUNT(I42:K42),"")</f>
        <v>120.666666666667</v>
      </c>
      <c r="AF42" s="63" t="n">
        <f aca="false">IF(SUM(I42:K42)&gt;0,SQRT(AE42),"")</f>
        <v>10.9848380355227</v>
      </c>
      <c r="AG42" s="63" t="n">
        <f aca="false">IF(COUNT(I42:K42)&gt;0,VLOOKUP(COUNT(I42:K42),$AX$2:$AZ$5,3)*(AF42/SQRT(COUNT(I42:K42))),"")</f>
        <v>27.2900528438884</v>
      </c>
      <c r="AH42" s="63" t="n">
        <f aca="false">IF(COUNT(I42:K42)&gt;0,AD42-AG42,"")</f>
        <v>208.709947156112</v>
      </c>
      <c r="AI42" s="63" t="n">
        <f aca="false">IF(COUNT(I42:K42)&gt;0,AD42+AG42,"")</f>
        <v>263.290052843888</v>
      </c>
      <c r="AJ42" s="64" t="n">
        <f aca="false">IF(COUNT(I42:K42)&gt;0,AF42/AD42,"")</f>
        <v>0.0465459238793336</v>
      </c>
      <c r="AK42" s="65" t="n">
        <f aca="false">IF(SUM(L42:N42)&gt;0,AVERAGE(L42:N42),"")</f>
        <v>258</v>
      </c>
      <c r="AL42" s="66" t="n">
        <f aca="false">IF(SUM(L42:N42)&gt;0, ( IF(L42&gt;0,(L42-AK42)^2,0) + IF(M42&gt;0,(M42-AK42)^2,0) + IF(N42&gt;0,(N42-AK42)^2,0) ) / COUNT(L42:N42),"")</f>
        <v>961</v>
      </c>
      <c r="AM42" s="63" t="n">
        <f aca="false">IF(SUM(L42:N42)&gt;0,SQRT(AL42),"")</f>
        <v>31</v>
      </c>
      <c r="AN42" s="63" t="n">
        <f aca="false">IF(COUNT(L42:N42)&gt;0,VLOOKUP(COUNT(L42:N42),$AX$2:$AZ$5,3)*(AM42/SQRT(COUNT(L42:N42))),"")</f>
        <v>278.519461614444</v>
      </c>
      <c r="AO42" s="63" t="n">
        <f aca="false">IF(COUNT(L42:N42)&gt;0,AK42-AN42,"")</f>
        <v>-20.5194616144444</v>
      </c>
      <c r="AP42" s="63" t="n">
        <f aca="false">IF(COUNT(L42:N42)&gt;0,AK42+AN42,"")</f>
        <v>536.519461614445</v>
      </c>
      <c r="AQ42" s="64" t="n">
        <f aca="false">IF(COUNT(L42:N42)&gt;0,AM42/AK42,"")</f>
        <v>0.12015503875969</v>
      </c>
    </row>
    <row r="43" customFormat="false" ht="12.8" hidden="false" customHeight="false" outlineLevel="0" collapsed="false">
      <c r="A43" s="56" t="s">
        <v>34</v>
      </c>
      <c r="B43" s="57" t="n">
        <v>100</v>
      </c>
      <c r="C43" s="56" t="n">
        <v>207</v>
      </c>
      <c r="D43" s="25" t="n">
        <v>306</v>
      </c>
      <c r="E43" s="57" t="n">
        <v>197</v>
      </c>
      <c r="F43" s="58" t="n">
        <v>210</v>
      </c>
      <c r="G43" s="0" t="n">
        <v>225</v>
      </c>
      <c r="H43" s="59" t="n">
        <v>257</v>
      </c>
      <c r="I43" s="56" t="n">
        <v>209</v>
      </c>
      <c r="J43" s="0" t="n">
        <v>193</v>
      </c>
      <c r="K43" s="57"/>
      <c r="L43" s="56"/>
      <c r="M43" s="0" t="n">
        <v>229</v>
      </c>
      <c r="N43" s="57" t="n">
        <v>350</v>
      </c>
      <c r="O43" s="65" t="n">
        <f aca="false">IF(SUM(C43:E43)&gt;0,AVERAGE(C43:E43),"")</f>
        <v>236.666666666667</v>
      </c>
      <c r="P43" s="66" t="n">
        <f aca="false">IF(SUM(C43:E43)&gt;0, ( IF(C43&gt;0,(C43-O43)^2,0) + IF(D43&gt;0,(D43-O43)^2,0) + IF(E43&gt;0,(E43-O43)^2,0) ) / COUNT(C43:E43),"")</f>
        <v>2420.22222222222</v>
      </c>
      <c r="Q43" s="63" t="n">
        <f aca="false">IF(SUM(C43:E43)&gt;0,SQRT(P43),"")</f>
        <v>49.1957541076689</v>
      </c>
      <c r="R43" s="63" t="n">
        <f aca="false">IF(COUNT(C43:E43)&gt;0,VLOOKUP(COUNT(C43:E43),$AX$2:$AZ$5,3)*(Q43/SQRT(COUNT(C43:E43))),"")</f>
        <v>122.218891616943</v>
      </c>
      <c r="S43" s="63" t="n">
        <f aca="false">IF(COUNT(C43:E43)&gt;0,O43-R43,"")</f>
        <v>114.447775049724</v>
      </c>
      <c r="T43" s="63" t="n">
        <f aca="false">IF(COUNT(C43:E43)&gt;0,O43+R43,"")</f>
        <v>358.88555828361</v>
      </c>
      <c r="U43" s="64" t="n">
        <f aca="false">IF(COUNT(C43:E43)&gt;0,Q43/O43,"")</f>
        <v>0.207869383553531</v>
      </c>
      <c r="V43" s="65" t="n">
        <f aca="false">IF(SUM(F43:H43)&gt;0,AVERAGE(F43:H43),"")</f>
        <v>230.666666666667</v>
      </c>
      <c r="W43" s="66" t="n">
        <f aca="false">IF(SUM(F43:H43)&gt;0, ( IF(F43&gt;0,(F43-V43)^2,0) + IF(G43&gt;0,(G43-V43)^2,0) + IF(H43&gt;0,(H43-V43)^2,0) ) / COUNT(F43:H43),"")</f>
        <v>384.222222222222</v>
      </c>
      <c r="X43" s="63" t="n">
        <f aca="false">IF(SUM(F43:H43)&gt;0,SQRT(W43),"")</f>
        <v>19.6015872373189</v>
      </c>
      <c r="Y43" s="63" t="n">
        <f aca="false">IF(COUNT(F43:H43)&gt;0,VLOOKUP(COUNT(F43:H43),$AX$2:$AZ$5,3)*(X43/SQRT(COUNT(F43:H43))),"")</f>
        <v>48.696972117447</v>
      </c>
      <c r="Z43" s="63" t="n">
        <f aca="false">IF(COUNT(F43:H43)&gt;0,V43-Y43,"")</f>
        <v>181.96969454922</v>
      </c>
      <c r="AA43" s="63" t="n">
        <f aca="false">IF(COUNT(F43:H43)&gt;0,V43+Y43,"")</f>
        <v>279.363638784114</v>
      </c>
      <c r="AB43" s="64" t="n">
        <f aca="false">IF(COUNT(F43:H43)&gt;0,X43/V43,"")</f>
        <v>0.0849779793525385</v>
      </c>
      <c r="AC43" s="26"/>
      <c r="AD43" s="65" t="n">
        <f aca="false">IF(SUM(I43:K43)&gt;0,AVERAGE(I43:K43),"")</f>
        <v>201</v>
      </c>
      <c r="AE43" s="66" t="n">
        <f aca="false">IF(SUM(I43:K43)&gt;0, ( IF(I43&gt;0,(I43-AD43)^2,0) + IF(J43&gt;0,(J43-AD43)^2,0) + IF(K43&gt;0,(K43-AD43)^2,0) ) / COUNT(I43:K43),"")</f>
        <v>64</v>
      </c>
      <c r="AF43" s="63" t="n">
        <f aca="false">IF(SUM(I43:K43)&gt;0,SQRT(AE43),"")</f>
        <v>8</v>
      </c>
      <c r="AG43" s="63" t="n">
        <f aca="false">IF(COUNT(I43:K43)&gt;0,VLOOKUP(COUNT(I43:K43),$AX$2:$AZ$5,3)*(AF43/SQRT(COUNT(I43:K43))),"")</f>
        <v>71.8759900940502</v>
      </c>
      <c r="AH43" s="63" t="n">
        <f aca="false">IF(COUNT(I43:K43)&gt;0,AD43-AG43,"")</f>
        <v>129.12400990595</v>
      </c>
      <c r="AI43" s="63" t="n">
        <f aca="false">IF(COUNT(I43:K43)&gt;0,AD43+AG43,"")</f>
        <v>272.87599009405</v>
      </c>
      <c r="AJ43" s="64" t="n">
        <f aca="false">IF(COUNT(I43:K43)&gt;0,AF43/AD43,"")</f>
        <v>0.0398009950248756</v>
      </c>
      <c r="AK43" s="65" t="n">
        <f aca="false">IF(SUM(L43:N43)&gt;0,AVERAGE(L43:N43),"")</f>
        <v>289.5</v>
      </c>
      <c r="AL43" s="66" t="n">
        <f aca="false">IF(SUM(L43:N43)&gt;0, ( IF(L43&gt;0,(L43-AK43)^2,0) + IF(M43&gt;0,(M43-AK43)^2,0) + IF(N43&gt;0,(N43-AK43)^2,0) ) / COUNT(L43:N43),"")</f>
        <v>3660.25</v>
      </c>
      <c r="AM43" s="63" t="n">
        <f aca="false">IF(SUM(L43:N43)&gt;0,SQRT(AL43),"")</f>
        <v>60.5</v>
      </c>
      <c r="AN43" s="63" t="n">
        <f aca="false">IF(COUNT(L43:N43)&gt;0,VLOOKUP(COUNT(L43:N43),$AX$2:$AZ$5,3)*(AM43/SQRT(COUNT(L43:N43))),"")</f>
        <v>543.562175086255</v>
      </c>
      <c r="AO43" s="63" t="n">
        <f aca="false">IF(COUNT(L43:N43)&gt;0,AK43-AN43,"")</f>
        <v>-254.062175086254</v>
      </c>
      <c r="AP43" s="63" t="n">
        <f aca="false">IF(COUNT(L43:N43)&gt;0,AK43+AN43,"")</f>
        <v>833.062175086255</v>
      </c>
      <c r="AQ43" s="64" t="n">
        <f aca="false">IF(COUNT(L43:N43)&gt;0,AM43/AK43,"")</f>
        <v>0.208981001727116</v>
      </c>
    </row>
    <row r="44" customFormat="false" ht="12.8" hidden="false" customHeight="false" outlineLevel="0" collapsed="false">
      <c r="A44" s="56" t="s">
        <v>36</v>
      </c>
      <c r="B44" s="57" t="n">
        <v>5</v>
      </c>
      <c r="C44" s="56"/>
      <c r="D44" s="25"/>
      <c r="E44" s="57"/>
      <c r="F44" s="58"/>
      <c r="H44" s="59"/>
      <c r="I44" s="56"/>
      <c r="K44" s="57"/>
      <c r="L44" s="56"/>
      <c r="N44" s="57"/>
      <c r="O44" s="65" t="str">
        <f aca="false">IF(SUM(C44:E44)&gt;0,AVERAGE(C44:E44),"")</f>
        <v/>
      </c>
      <c r="P44" s="66" t="str">
        <f aca="false">IF(SUM(C44:E44)&gt;0, ( IF(C44&gt;0,(C44-O44)^2,0) + IF(D44&gt;0,(D44-O44)^2,0) + IF(E44&gt;0,(E44-O44)^2,0) ) / COUNT(C44:E44),"")</f>
        <v/>
      </c>
      <c r="Q44" s="63" t="str">
        <f aca="false">IF(SUM(C44:E44)&gt;0,SQRT(P44),"")</f>
        <v/>
      </c>
      <c r="R44" s="63" t="str">
        <f aca="false">IF(COUNT(C44:E44)&gt;0,VLOOKUP(COUNT(C44:E44),$AX$2:$AZ$5,3)*(Q44/SQRT(COUNT(C44:E44))),"")</f>
        <v/>
      </c>
      <c r="S44" s="63" t="str">
        <f aca="false">IF(COUNT(C44:E44)&gt;0,O44-R44,"")</f>
        <v/>
      </c>
      <c r="T44" s="63" t="str">
        <f aca="false">IF(COUNT(C44:E44)&gt;0,O44+R44,"")</f>
        <v/>
      </c>
      <c r="U44" s="64" t="str">
        <f aca="false">IF(COUNT(C44:E44)&gt;0,Q44/O44,"")</f>
        <v/>
      </c>
      <c r="V44" s="65" t="str">
        <f aca="false">IF(SUM(F44:H44)&gt;0,AVERAGE(F44:H44),"")</f>
        <v/>
      </c>
      <c r="W44" s="66" t="str">
        <f aca="false">IF(SUM(F44:H44)&gt;0, ( IF(F44&gt;0,(F44-V44)^2,0) + IF(G44&gt;0,(G44-V44)^2,0) + IF(H44&gt;0,(H44-V44)^2,0) ) / COUNT(F44:H44),"")</f>
        <v/>
      </c>
      <c r="X44" s="63" t="str">
        <f aca="false">IF(SUM(F44:H44)&gt;0,SQRT(W44),"")</f>
        <v/>
      </c>
      <c r="Y44" s="63" t="str">
        <f aca="false">IF(COUNT(F44:H44)&gt;0,VLOOKUP(COUNT(F44:H44),$AX$2:$AZ$5,3)*(X44/SQRT(COUNT(F44:H44))),"")</f>
        <v/>
      </c>
      <c r="Z44" s="63" t="str">
        <f aca="false">IF(COUNT(F44:H44)&gt;0,V44-Y44,"")</f>
        <v/>
      </c>
      <c r="AA44" s="63" t="str">
        <f aca="false">IF(COUNT(F44:H44)&gt;0,V44+Y44,"")</f>
        <v/>
      </c>
      <c r="AB44" s="64" t="str">
        <f aca="false">IF(COUNT(F44:H44)&gt;0,X44/V44,"")</f>
        <v/>
      </c>
      <c r="AC44" s="26"/>
      <c r="AD44" s="65" t="str">
        <f aca="false">IF(SUM(I44:K44)&gt;0,AVERAGE(I44:K44),"")</f>
        <v/>
      </c>
      <c r="AE44" s="66" t="str">
        <f aca="false">IF(SUM(I44:K44)&gt;0, ( IF(I44&gt;0,(I44-AD44)^2,0) + IF(J44&gt;0,(J44-AD44)^2,0) + IF(K44&gt;0,(K44-AD44)^2,0) ) / COUNT(I44:K44),"")</f>
        <v/>
      </c>
      <c r="AF44" s="63" t="str">
        <f aca="false">IF(SUM(I44:K44)&gt;0,SQRT(AE44),"")</f>
        <v/>
      </c>
      <c r="AG44" s="63" t="str">
        <f aca="false">IF(COUNT(I44:K44)&gt;0,VLOOKUP(COUNT(I44:K44),$AX$2:$AZ$5,3)*(AF44/SQRT(COUNT(I44:K44))),"")</f>
        <v/>
      </c>
      <c r="AH44" s="63" t="str">
        <f aca="false">IF(COUNT(I44:K44)&gt;0,AD44-AG44,"")</f>
        <v/>
      </c>
      <c r="AI44" s="63" t="str">
        <f aca="false">IF(COUNT(I44:K44)&gt;0,AD44+AG44,"")</f>
        <v/>
      </c>
      <c r="AJ44" s="64" t="str">
        <f aca="false">IF(COUNT(I44:K44)&gt;0,AF44/AD44,"")</f>
        <v/>
      </c>
      <c r="AK44" s="65" t="str">
        <f aca="false">IF(SUM(L44:N44)&gt;0,AVERAGE(L44:N44),"")</f>
        <v/>
      </c>
      <c r="AL44" s="66" t="str">
        <f aca="false">IF(SUM(L44:N44)&gt;0, ( IF(L44&gt;0,(L44-AK44)^2,0) + IF(M44&gt;0,(M44-AK44)^2,0) + IF(N44&gt;0,(N44-AK44)^2,0) ) / COUNT(L44:N44),"")</f>
        <v/>
      </c>
      <c r="AM44" s="63" t="str">
        <f aca="false">IF(SUM(L44:N44)&gt;0,SQRT(AL44),"")</f>
        <v/>
      </c>
      <c r="AN44" s="63" t="str">
        <f aca="false">IF(COUNT(L44:N44)&gt;0,VLOOKUP(COUNT(L44:N44),$AX$2:$AZ$5,3)*(AM44/SQRT(COUNT(L44:N44))),"")</f>
        <v/>
      </c>
      <c r="AO44" s="63" t="str">
        <f aca="false">IF(COUNT(L44:N44)&gt;0,AK44-AN44,"")</f>
        <v/>
      </c>
      <c r="AP44" s="63" t="str">
        <f aca="false">IF(COUNT(L44:N44)&gt;0,AK44+AN44,"")</f>
        <v/>
      </c>
      <c r="AQ44" s="64" t="str">
        <f aca="false">IF(COUNT(L44:N44)&gt;0,AM44/AK44,"")</f>
        <v/>
      </c>
    </row>
    <row r="45" customFormat="false" ht="12.8" hidden="false" customHeight="false" outlineLevel="0" collapsed="false">
      <c r="A45" s="56" t="s">
        <v>36</v>
      </c>
      <c r="B45" s="57" t="n">
        <v>10</v>
      </c>
      <c r="C45" s="56"/>
      <c r="D45" s="25"/>
      <c r="E45" s="57"/>
      <c r="F45" s="58"/>
      <c r="H45" s="59"/>
      <c r="I45" s="56"/>
      <c r="K45" s="57"/>
      <c r="L45" s="56"/>
      <c r="N45" s="57"/>
      <c r="O45" s="65" t="str">
        <f aca="false">IF(SUM(C45:E45)&gt;0,AVERAGE(C45:E45),"")</f>
        <v/>
      </c>
      <c r="P45" s="66" t="str">
        <f aca="false">IF(SUM(C45:E45)&gt;0, ( IF(C45&gt;0,(C45-O45)^2,0) + IF(D45&gt;0,(D45-O45)^2,0) + IF(E45&gt;0,(E45-O45)^2,0) ) / COUNT(C45:E45),"")</f>
        <v/>
      </c>
      <c r="Q45" s="63" t="str">
        <f aca="false">IF(SUM(C45:E45)&gt;0,SQRT(P45),"")</f>
        <v/>
      </c>
      <c r="R45" s="63" t="str">
        <f aca="false">IF(COUNT(C45:E45)&gt;0,VLOOKUP(COUNT(C45:E45),$AX$2:$AZ$5,3)*(Q45/SQRT(COUNT(C45:E45))),"")</f>
        <v/>
      </c>
      <c r="S45" s="63" t="str">
        <f aca="false">IF(COUNT(C45:E45)&gt;0,O45-R45,"")</f>
        <v/>
      </c>
      <c r="T45" s="63" t="str">
        <f aca="false">IF(COUNT(C45:E45)&gt;0,O45+R45,"")</f>
        <v/>
      </c>
      <c r="U45" s="64" t="str">
        <f aca="false">IF(COUNT(C45:E45)&gt;0,Q45/O45,"")</f>
        <v/>
      </c>
      <c r="V45" s="65" t="str">
        <f aca="false">IF(SUM(F45:H45)&gt;0,AVERAGE(F45:H45),"")</f>
        <v/>
      </c>
      <c r="W45" s="66" t="str">
        <f aca="false">IF(SUM(F45:H45)&gt;0, ( IF(F45&gt;0,(F45-V45)^2,0) + IF(G45&gt;0,(G45-V45)^2,0) + IF(H45&gt;0,(H45-V45)^2,0) ) / COUNT(F45:H45),"")</f>
        <v/>
      </c>
      <c r="X45" s="63" t="str">
        <f aca="false">IF(SUM(F45:H45)&gt;0,SQRT(W45),"")</f>
        <v/>
      </c>
      <c r="Y45" s="63" t="str">
        <f aca="false">IF(COUNT(F45:H45)&gt;0,VLOOKUP(COUNT(F45:H45),$AX$2:$AZ$5,3)*(X45/SQRT(COUNT(F45:H45))),"")</f>
        <v/>
      </c>
      <c r="Z45" s="63" t="str">
        <f aca="false">IF(COUNT(F45:H45)&gt;0,V45-Y45,"")</f>
        <v/>
      </c>
      <c r="AA45" s="63" t="str">
        <f aca="false">IF(COUNT(F45:H45)&gt;0,V45+Y45,"")</f>
        <v/>
      </c>
      <c r="AB45" s="64" t="str">
        <f aca="false">IF(COUNT(F45:H45)&gt;0,X45/V45,"")</f>
        <v/>
      </c>
      <c r="AC45" s="26"/>
      <c r="AD45" s="65" t="str">
        <f aca="false">IF(SUM(I45:K45)&gt;0,AVERAGE(I45:K45),"")</f>
        <v/>
      </c>
      <c r="AE45" s="66" t="str">
        <f aca="false">IF(SUM(I45:K45)&gt;0, ( IF(I45&gt;0,(I45-AD45)^2,0) + IF(J45&gt;0,(J45-AD45)^2,0) + IF(K45&gt;0,(K45-AD45)^2,0) ) / COUNT(I45:K45),"")</f>
        <v/>
      </c>
      <c r="AF45" s="63" t="str">
        <f aca="false">IF(SUM(I45:K45)&gt;0,SQRT(AE45),"")</f>
        <v/>
      </c>
      <c r="AG45" s="63" t="str">
        <f aca="false">IF(COUNT(I45:K45)&gt;0,VLOOKUP(COUNT(I45:K45),$AX$2:$AZ$5,3)*(AF45/SQRT(COUNT(I45:K45))),"")</f>
        <v/>
      </c>
      <c r="AH45" s="63" t="str">
        <f aca="false">IF(COUNT(I45:K45)&gt;0,AD45-AG45,"")</f>
        <v/>
      </c>
      <c r="AI45" s="63" t="str">
        <f aca="false">IF(COUNT(I45:K45)&gt;0,AD45+AG45,"")</f>
        <v/>
      </c>
      <c r="AJ45" s="64" t="str">
        <f aca="false">IF(COUNT(I45:K45)&gt;0,AF45/AD45,"")</f>
        <v/>
      </c>
      <c r="AK45" s="65" t="str">
        <f aca="false">IF(SUM(L45:N45)&gt;0,AVERAGE(L45:N45),"")</f>
        <v/>
      </c>
      <c r="AL45" s="66" t="str">
        <f aca="false">IF(SUM(L45:N45)&gt;0, ( IF(L45&gt;0,(L45-AK45)^2,0) + IF(M45&gt;0,(M45-AK45)^2,0) + IF(N45&gt;0,(N45-AK45)^2,0) ) / COUNT(L45:N45),"")</f>
        <v/>
      </c>
      <c r="AM45" s="63" t="str">
        <f aca="false">IF(SUM(L45:N45)&gt;0,SQRT(AL45),"")</f>
        <v/>
      </c>
      <c r="AN45" s="63" t="str">
        <f aca="false">IF(COUNT(L45:N45)&gt;0,VLOOKUP(COUNT(L45:N45),$AX$2:$AZ$5,3)*(AM45/SQRT(COUNT(L45:N45))),"")</f>
        <v/>
      </c>
      <c r="AO45" s="63" t="str">
        <f aca="false">IF(COUNT(L45:N45)&gt;0,AK45-AN45,"")</f>
        <v/>
      </c>
      <c r="AP45" s="63" t="str">
        <f aca="false">IF(COUNT(L45:N45)&gt;0,AK45+AN45,"")</f>
        <v/>
      </c>
      <c r="AQ45" s="64" t="str">
        <f aca="false">IF(COUNT(L45:N45)&gt;0,AM45/AK45,"")</f>
        <v/>
      </c>
    </row>
    <row r="46" customFormat="false" ht="12.8" hidden="false" customHeight="false" outlineLevel="0" collapsed="false">
      <c r="A46" s="56" t="s">
        <v>36</v>
      </c>
      <c r="B46" s="57" t="n">
        <v>15</v>
      </c>
      <c r="C46" s="56"/>
      <c r="D46" s="25"/>
      <c r="E46" s="57"/>
      <c r="F46" s="58"/>
      <c r="H46" s="59"/>
      <c r="I46" s="56"/>
      <c r="K46" s="57"/>
      <c r="L46" s="56"/>
      <c r="N46" s="57"/>
      <c r="O46" s="65" t="str">
        <f aca="false">IF(SUM(C46:E46)&gt;0,AVERAGE(C46:E46),"")</f>
        <v/>
      </c>
      <c r="P46" s="66" t="str">
        <f aca="false">IF(SUM(C46:E46)&gt;0, ( IF(C46&gt;0,(C46-O46)^2,0) + IF(D46&gt;0,(D46-O46)^2,0) + IF(E46&gt;0,(E46-O46)^2,0) ) / COUNT(C46:E46),"")</f>
        <v/>
      </c>
      <c r="Q46" s="63" t="str">
        <f aca="false">IF(SUM(C46:E46)&gt;0,SQRT(P46),"")</f>
        <v/>
      </c>
      <c r="R46" s="63" t="str">
        <f aca="false">IF(COUNT(C46:E46)&gt;0,VLOOKUP(COUNT(C46:E46),$AX$2:$AZ$5,3)*(Q46/SQRT(COUNT(C46:E46))),"")</f>
        <v/>
      </c>
      <c r="S46" s="63" t="str">
        <f aca="false">IF(COUNT(C46:E46)&gt;0,O46-R46,"")</f>
        <v/>
      </c>
      <c r="T46" s="63" t="str">
        <f aca="false">IF(COUNT(C46:E46)&gt;0,O46+R46,"")</f>
        <v/>
      </c>
      <c r="U46" s="64" t="str">
        <f aca="false">IF(COUNT(C46:E46)&gt;0,Q46/O46,"")</f>
        <v/>
      </c>
      <c r="V46" s="65" t="str">
        <f aca="false">IF(SUM(F46:H46)&gt;0,AVERAGE(F46:H46),"")</f>
        <v/>
      </c>
      <c r="W46" s="66" t="str">
        <f aca="false">IF(SUM(F46:H46)&gt;0, ( IF(F46&gt;0,(F46-V46)^2,0) + IF(G46&gt;0,(G46-V46)^2,0) + IF(H46&gt;0,(H46-V46)^2,0) ) / COUNT(F46:H46),"")</f>
        <v/>
      </c>
      <c r="X46" s="63" t="str">
        <f aca="false">IF(SUM(F46:H46)&gt;0,SQRT(W46),"")</f>
        <v/>
      </c>
      <c r="Y46" s="63" t="str">
        <f aca="false">IF(COUNT(F46:H46)&gt;0,VLOOKUP(COUNT(F46:H46),$AX$2:$AZ$5,3)*(X46/SQRT(COUNT(F46:H46))),"")</f>
        <v/>
      </c>
      <c r="Z46" s="63" t="str">
        <f aca="false">IF(COUNT(F46:H46)&gt;0,V46-Y46,"")</f>
        <v/>
      </c>
      <c r="AA46" s="63" t="str">
        <f aca="false">IF(COUNT(F46:H46)&gt;0,V46+Y46,"")</f>
        <v/>
      </c>
      <c r="AB46" s="64" t="str">
        <f aca="false">IF(COUNT(F46:H46)&gt;0,X46/V46,"")</f>
        <v/>
      </c>
      <c r="AC46" s="26"/>
      <c r="AD46" s="65" t="str">
        <f aca="false">IF(SUM(I46:K46)&gt;0,AVERAGE(I46:K46),"")</f>
        <v/>
      </c>
      <c r="AE46" s="66" t="str">
        <f aca="false">IF(SUM(I46:K46)&gt;0, ( IF(I46&gt;0,(I46-AD46)^2,0) + IF(J46&gt;0,(J46-AD46)^2,0) + IF(K46&gt;0,(K46-AD46)^2,0) ) / COUNT(I46:K46),"")</f>
        <v/>
      </c>
      <c r="AF46" s="63" t="str">
        <f aca="false">IF(SUM(I46:K46)&gt;0,SQRT(AE46),"")</f>
        <v/>
      </c>
      <c r="AG46" s="63" t="str">
        <f aca="false">IF(COUNT(I46:K46)&gt;0,VLOOKUP(COUNT(I46:K46),$AX$2:$AZ$5,3)*(AF46/SQRT(COUNT(I46:K46))),"")</f>
        <v/>
      </c>
      <c r="AH46" s="63" t="str">
        <f aca="false">IF(COUNT(I46:K46)&gt;0,AD46-AG46,"")</f>
        <v/>
      </c>
      <c r="AI46" s="63" t="str">
        <f aca="false">IF(COUNT(I46:K46)&gt;0,AD46+AG46,"")</f>
        <v/>
      </c>
      <c r="AJ46" s="64" t="str">
        <f aca="false">IF(COUNT(I46:K46)&gt;0,AF46/AD46,"")</f>
        <v/>
      </c>
      <c r="AK46" s="65" t="str">
        <f aca="false">IF(SUM(L46:N46)&gt;0,AVERAGE(L46:N46),"")</f>
        <v/>
      </c>
      <c r="AL46" s="66" t="str">
        <f aca="false">IF(SUM(L46:N46)&gt;0, ( IF(L46&gt;0,(L46-AK46)^2,0) + IF(M46&gt;0,(M46-AK46)^2,0) + IF(N46&gt;0,(N46-AK46)^2,0) ) / COUNT(L46:N46),"")</f>
        <v/>
      </c>
      <c r="AM46" s="63" t="str">
        <f aca="false">IF(SUM(L46:N46)&gt;0,SQRT(AL46),"")</f>
        <v/>
      </c>
      <c r="AN46" s="63" t="str">
        <f aca="false">IF(COUNT(L46:N46)&gt;0,VLOOKUP(COUNT(L46:N46),$AX$2:$AZ$5,3)*(AM46/SQRT(COUNT(L46:N46))),"")</f>
        <v/>
      </c>
      <c r="AO46" s="63" t="str">
        <f aca="false">IF(COUNT(L46:N46)&gt;0,AK46-AN46,"")</f>
        <v/>
      </c>
      <c r="AP46" s="63" t="str">
        <f aca="false">IF(COUNT(L46:N46)&gt;0,AK46+AN46,"")</f>
        <v/>
      </c>
      <c r="AQ46" s="64" t="str">
        <f aca="false">IF(COUNT(L46:N46)&gt;0,AM46/AK46,"")</f>
        <v/>
      </c>
    </row>
    <row r="47" customFormat="false" ht="12.8" hidden="false" customHeight="false" outlineLevel="0" collapsed="false">
      <c r="A47" s="56" t="s">
        <v>36</v>
      </c>
      <c r="B47" s="57" t="n">
        <v>20</v>
      </c>
      <c r="C47" s="56"/>
      <c r="D47" s="25"/>
      <c r="E47" s="57"/>
      <c r="F47" s="58"/>
      <c r="H47" s="59"/>
      <c r="I47" s="56"/>
      <c r="K47" s="57" t="n">
        <v>2130</v>
      </c>
      <c r="L47" s="56"/>
      <c r="N47" s="57"/>
      <c r="O47" s="65" t="str">
        <f aca="false">IF(SUM(C47:E47)&gt;0,AVERAGE(C47:E47),"")</f>
        <v/>
      </c>
      <c r="P47" s="66" t="str">
        <f aca="false">IF(SUM(C47:E47)&gt;0, ( IF(C47&gt;0,(C47-O47)^2,0) + IF(D47&gt;0,(D47-O47)^2,0) + IF(E47&gt;0,(E47-O47)^2,0) ) / COUNT(C47:E47),"")</f>
        <v/>
      </c>
      <c r="Q47" s="63" t="str">
        <f aca="false">IF(SUM(C47:E47)&gt;0,SQRT(P47),"")</f>
        <v/>
      </c>
      <c r="R47" s="63" t="str">
        <f aca="false">IF(COUNT(C47:E47)&gt;0,VLOOKUP(COUNT(C47:E47),$AX$2:$AZ$5,3)*(Q47/SQRT(COUNT(C47:E47))),"")</f>
        <v/>
      </c>
      <c r="S47" s="63" t="str">
        <f aca="false">IF(COUNT(C47:E47)&gt;0,O47-R47,"")</f>
        <v/>
      </c>
      <c r="T47" s="63" t="str">
        <f aca="false">IF(COUNT(C47:E47)&gt;0,O47+R47,"")</f>
        <v/>
      </c>
      <c r="U47" s="64" t="str">
        <f aca="false">IF(COUNT(C47:E47)&gt;0,Q47/O47,"")</f>
        <v/>
      </c>
      <c r="V47" s="65" t="str">
        <f aca="false">IF(SUM(F47:H47)&gt;0,AVERAGE(F47:H47),"")</f>
        <v/>
      </c>
      <c r="W47" s="66" t="str">
        <f aca="false">IF(SUM(F47:H47)&gt;0, ( IF(F47&gt;0,(F47-V47)^2,0) + IF(G47&gt;0,(G47-V47)^2,0) + IF(H47&gt;0,(H47-V47)^2,0) ) / COUNT(F47:H47),"")</f>
        <v/>
      </c>
      <c r="X47" s="63" t="str">
        <f aca="false">IF(SUM(F47:H47)&gt;0,SQRT(W47),"")</f>
        <v/>
      </c>
      <c r="Y47" s="63" t="str">
        <f aca="false">IF(COUNT(F47:H47)&gt;0,VLOOKUP(COUNT(F47:H47),$AX$2:$AZ$5,3)*(X47/SQRT(COUNT(F47:H47))),"")</f>
        <v/>
      </c>
      <c r="Z47" s="63" t="str">
        <f aca="false">IF(COUNT(F47:H47)&gt;0,V47-Y47,"")</f>
        <v/>
      </c>
      <c r="AA47" s="63" t="str">
        <f aca="false">IF(COUNT(F47:H47)&gt;0,V47+Y47,"")</f>
        <v/>
      </c>
      <c r="AB47" s="64" t="str">
        <f aca="false">IF(COUNT(F47:H47)&gt;0,X47/V47,"")</f>
        <v/>
      </c>
      <c r="AC47" s="26"/>
      <c r="AD47" s="65" t="n">
        <f aca="false">IF(SUM(I47:K47)&gt;0,AVERAGE(I47:K47),"")</f>
        <v>2130</v>
      </c>
      <c r="AE47" s="66" t="n">
        <f aca="false">IF(SUM(I47:K47)&gt;0, ( IF(I47&gt;0,(I47-AD47)^2,0) + IF(J47&gt;0,(J47-AD47)^2,0) + IF(K47&gt;0,(K47-AD47)^2,0) ) / COUNT(I47:K47),"")</f>
        <v>0</v>
      </c>
      <c r="AF47" s="63" t="n">
        <f aca="false">IF(SUM(I47:K47)&gt;0,SQRT(AE47),"")</f>
        <v>0</v>
      </c>
      <c r="AG47" s="63" t="n">
        <f aca="false">IF(COUNT(I47:K47)&gt;0,VLOOKUP(COUNT(I47:K47),$AX$2:$AZ$5,3)*(AF47/SQRT(COUNT(I47:K47))),"")</f>
        <v>0</v>
      </c>
      <c r="AH47" s="63" t="n">
        <f aca="false">IF(COUNT(I47:K47)&gt;0,AD47-AG47,"")</f>
        <v>2130</v>
      </c>
      <c r="AI47" s="63" t="n">
        <f aca="false">IF(COUNT(I47:K47)&gt;0,AD47+AG47,"")</f>
        <v>2130</v>
      </c>
      <c r="AJ47" s="64" t="n">
        <f aca="false">IF(COUNT(I47:K47)&gt;0,AF47/AD47,"")</f>
        <v>0</v>
      </c>
      <c r="AK47" s="65" t="str">
        <f aca="false">IF(SUM(L47:N47)&gt;0,AVERAGE(L47:N47),"")</f>
        <v/>
      </c>
      <c r="AL47" s="66" t="str">
        <f aca="false">IF(SUM(L47:N47)&gt;0, ( IF(L47&gt;0,(L47-AK47)^2,0) + IF(M47&gt;0,(M47-AK47)^2,0) + IF(N47&gt;0,(N47-AK47)^2,0) ) / COUNT(L47:N47),"")</f>
        <v/>
      </c>
      <c r="AM47" s="63" t="str">
        <f aca="false">IF(SUM(L47:N47)&gt;0,SQRT(AL47),"")</f>
        <v/>
      </c>
      <c r="AN47" s="63" t="str">
        <f aca="false">IF(COUNT(L47:N47)&gt;0,VLOOKUP(COUNT(L47:N47),$AX$2:$AZ$5,3)*(AM47/SQRT(COUNT(L47:N47))),"")</f>
        <v/>
      </c>
      <c r="AO47" s="63" t="str">
        <f aca="false">IF(COUNT(L47:N47)&gt;0,AK47-AN47,"")</f>
        <v/>
      </c>
      <c r="AP47" s="63" t="str">
        <f aca="false">IF(COUNT(L47:N47)&gt;0,AK47+AN47,"")</f>
        <v/>
      </c>
      <c r="AQ47" s="64" t="str">
        <f aca="false">IF(COUNT(L47:N47)&gt;0,AM47/AK47,"")</f>
        <v/>
      </c>
    </row>
    <row r="48" customFormat="false" ht="12.8" hidden="false" customHeight="false" outlineLevel="0" collapsed="false">
      <c r="A48" s="56" t="s">
        <v>36</v>
      </c>
      <c r="B48" s="57" t="n">
        <v>30</v>
      </c>
      <c r="C48" s="56"/>
      <c r="D48" s="25" t="n">
        <v>2195</v>
      </c>
      <c r="E48" s="57"/>
      <c r="F48" s="58"/>
      <c r="H48" s="59"/>
      <c r="I48" s="56"/>
      <c r="J48" s="0" t="n">
        <v>2294</v>
      </c>
      <c r="K48" s="57" t="n">
        <v>1346</v>
      </c>
      <c r="L48" s="56"/>
      <c r="M48" s="0" t="n">
        <v>2407</v>
      </c>
      <c r="N48" s="57" t="n">
        <v>2050</v>
      </c>
      <c r="O48" s="65" t="n">
        <f aca="false">IF(SUM(C48:E48)&gt;0,AVERAGE(C48:E48),"")</f>
        <v>2195</v>
      </c>
      <c r="P48" s="66" t="n">
        <f aca="false">IF(SUM(C48:E48)&gt;0, ( IF(C48&gt;0,(C48-O48)^2,0) + IF(D48&gt;0,(D48-O48)^2,0) + IF(E48&gt;0,(E48-O48)^2,0) ) / COUNT(C48:E48),"")</f>
        <v>0</v>
      </c>
      <c r="Q48" s="63" t="n">
        <f aca="false">IF(SUM(C48:E48)&gt;0,SQRT(P48),"")</f>
        <v>0</v>
      </c>
      <c r="R48" s="63" t="n">
        <f aca="false">IF(COUNT(C48:E48)&gt;0,VLOOKUP(COUNT(C48:E48),$AX$2:$AZ$5,3)*(Q48/SQRT(COUNT(C48:E48))),"")</f>
        <v>0</v>
      </c>
      <c r="S48" s="63" t="n">
        <f aca="false">IF(COUNT(C48:E48)&gt;0,O48-R48,"")</f>
        <v>2195</v>
      </c>
      <c r="T48" s="63" t="n">
        <f aca="false">IF(COUNT(C48:E48)&gt;0,O48+R48,"")</f>
        <v>2195</v>
      </c>
      <c r="U48" s="64" t="n">
        <f aca="false">IF(COUNT(C48:E48)&gt;0,Q48/O48,"")</f>
        <v>0</v>
      </c>
      <c r="V48" s="65" t="str">
        <f aca="false">IF(SUM(F48:H48)&gt;0,AVERAGE(F48:H48),"")</f>
        <v/>
      </c>
      <c r="W48" s="66" t="str">
        <f aca="false">IF(SUM(F48:H48)&gt;0, ( IF(F48&gt;0,(F48-V48)^2,0) + IF(G48&gt;0,(G48-V48)^2,0) + IF(H48&gt;0,(H48-V48)^2,0) ) / COUNT(F48:H48),"")</f>
        <v/>
      </c>
      <c r="X48" s="63" t="str">
        <f aca="false">IF(SUM(F48:H48)&gt;0,SQRT(W48),"")</f>
        <v/>
      </c>
      <c r="Y48" s="63" t="str">
        <f aca="false">IF(COUNT(F48:H48)&gt;0,VLOOKUP(COUNT(F48:H48),$AX$2:$AZ$5,3)*(X48/SQRT(COUNT(F48:H48))),"")</f>
        <v/>
      </c>
      <c r="Z48" s="63" t="str">
        <f aca="false">IF(COUNT(F48:H48)&gt;0,V48-Y48,"")</f>
        <v/>
      </c>
      <c r="AA48" s="63" t="str">
        <f aca="false">IF(COUNT(F48:H48)&gt;0,V48+Y48,"")</f>
        <v/>
      </c>
      <c r="AB48" s="64" t="str">
        <f aca="false">IF(COUNT(F48:H48)&gt;0,X48/V48,"")</f>
        <v/>
      </c>
      <c r="AC48" s="26"/>
      <c r="AD48" s="65" t="n">
        <f aca="false">IF(SUM(I48:K48)&gt;0,AVERAGE(I48:K48),"")</f>
        <v>1820</v>
      </c>
      <c r="AE48" s="66" t="n">
        <f aca="false">IF(SUM(I48:K48)&gt;0, ( IF(I48&gt;0,(I48-AD48)^2,0) + IF(J48&gt;0,(J48-AD48)^2,0) + IF(K48&gt;0,(K48-AD48)^2,0) ) / COUNT(I48:K48),"")</f>
        <v>224676</v>
      </c>
      <c r="AF48" s="63" t="n">
        <f aca="false">IF(SUM(I48:K48)&gt;0,SQRT(AE48),"")</f>
        <v>474</v>
      </c>
      <c r="AG48" s="63" t="n">
        <f aca="false">IF(COUNT(I48:K48)&gt;0,VLOOKUP(COUNT(I48:K48),$AX$2:$AZ$5,3)*(AF48/SQRT(COUNT(I48:K48))),"")</f>
        <v>4258.65241307247</v>
      </c>
      <c r="AH48" s="63" t="n">
        <f aca="false">IF(COUNT(I48:K48)&gt;0,AD48-AG48,"")</f>
        <v>-2438.65241307247</v>
      </c>
      <c r="AI48" s="63" t="n">
        <f aca="false">IF(COUNT(I48:K48)&gt;0,AD48+AG48,"")</f>
        <v>6078.65241307247</v>
      </c>
      <c r="AJ48" s="64" t="n">
        <f aca="false">IF(COUNT(I48:K48)&gt;0,AF48/AD48,"")</f>
        <v>0.26043956043956</v>
      </c>
      <c r="AK48" s="65" t="n">
        <f aca="false">IF(SUM(L48:N48)&gt;0,AVERAGE(L48:N48),"")</f>
        <v>2228.5</v>
      </c>
      <c r="AL48" s="66" t="n">
        <f aca="false">IF(SUM(L48:N48)&gt;0, ( IF(L48&gt;0,(L48-AK48)^2,0) + IF(M48&gt;0,(M48-AK48)^2,0) + IF(N48&gt;0,(N48-AK48)^2,0) ) / COUNT(L48:N48),"")</f>
        <v>31862.25</v>
      </c>
      <c r="AM48" s="63" t="n">
        <f aca="false">IF(SUM(L48:N48)&gt;0,SQRT(AL48),"")</f>
        <v>178.5</v>
      </c>
      <c r="AN48" s="63" t="n">
        <f aca="false">IF(COUNT(L48:N48)&gt;0,VLOOKUP(COUNT(L48:N48),$AX$2:$AZ$5,3)*(AM48/SQRT(COUNT(L48:N48))),"")</f>
        <v>1603.73302897349</v>
      </c>
      <c r="AO48" s="63" t="n">
        <f aca="false">IF(COUNT(L48:N48)&gt;0,AK48-AN48,"")</f>
        <v>624.766971026505</v>
      </c>
      <c r="AP48" s="63" t="n">
        <f aca="false">IF(COUNT(L48:N48)&gt;0,AK48+AN48,"")</f>
        <v>3832.23302897349</v>
      </c>
      <c r="AQ48" s="64" t="n">
        <f aca="false">IF(COUNT(L48:N48)&gt;0,AM48/AK48,"")</f>
        <v>0.0800987211128562</v>
      </c>
    </row>
    <row r="49" customFormat="false" ht="12.8" hidden="false" customHeight="false" outlineLevel="0" collapsed="false">
      <c r="A49" s="56" t="s">
        <v>36</v>
      </c>
      <c r="B49" s="57" t="n">
        <v>40</v>
      </c>
      <c r="C49" s="56"/>
      <c r="D49" s="25"/>
      <c r="E49" s="57" t="n">
        <v>1610</v>
      </c>
      <c r="F49" s="58" t="n">
        <v>1604</v>
      </c>
      <c r="G49" s="0" t="n">
        <v>1511</v>
      </c>
      <c r="H49" s="59" t="n">
        <v>1593</v>
      </c>
      <c r="I49" s="56" t="n">
        <v>1544</v>
      </c>
      <c r="J49" s="0" t="n">
        <v>1596</v>
      </c>
      <c r="K49" s="57" t="n">
        <v>1056</v>
      </c>
      <c r="L49" s="56"/>
      <c r="N49" s="57"/>
      <c r="O49" s="65" t="n">
        <f aca="false">IF(SUM(C49:E49)&gt;0,AVERAGE(C49:E49),"")</f>
        <v>1610</v>
      </c>
      <c r="P49" s="66" t="n">
        <f aca="false">IF(SUM(C49:E49)&gt;0, ( IF(C49&gt;0,(C49-O49)^2,0) + IF(D49&gt;0,(D49-O49)^2,0) + IF(E49&gt;0,(E49-O49)^2,0) ) / COUNT(C49:E49),"")</f>
        <v>0</v>
      </c>
      <c r="Q49" s="63" t="n">
        <f aca="false">IF(SUM(C49:E49)&gt;0,SQRT(P49),"")</f>
        <v>0</v>
      </c>
      <c r="R49" s="63" t="n">
        <f aca="false">IF(COUNT(C49:E49)&gt;0,VLOOKUP(COUNT(C49:E49),$AX$2:$AZ$5,3)*(Q49/SQRT(COUNT(C49:E49))),"")</f>
        <v>0</v>
      </c>
      <c r="S49" s="63" t="n">
        <f aca="false">IF(COUNT(C49:E49)&gt;0,O49-R49,"")</f>
        <v>1610</v>
      </c>
      <c r="T49" s="63" t="n">
        <f aca="false">IF(COUNT(C49:E49)&gt;0,O49+R49,"")</f>
        <v>1610</v>
      </c>
      <c r="U49" s="64" t="n">
        <f aca="false">IF(COUNT(C49:E49)&gt;0,Q49/O49,"")</f>
        <v>0</v>
      </c>
      <c r="V49" s="65" t="n">
        <f aca="false">IF(SUM(F49:H49)&gt;0,AVERAGE(F49:H49),"")</f>
        <v>1569.33333333333</v>
      </c>
      <c r="W49" s="66" t="n">
        <f aca="false">IF(SUM(F49:H49)&gt;0, ( IF(F49&gt;0,(F49-V49)^2,0) + IF(G49&gt;0,(G49-V49)^2,0) + IF(H49&gt;0,(H49-V49)^2,0) ) / COUNT(F49:H49),"")</f>
        <v>1721.55555555556</v>
      </c>
      <c r="X49" s="63" t="n">
        <f aca="false">IF(SUM(F49:H49)&gt;0,SQRT(W49),"")</f>
        <v>41.4916323558806</v>
      </c>
      <c r="Y49" s="63" t="n">
        <f aca="false">IF(COUNT(F49:H49)&gt;0,VLOOKUP(COUNT(F49:H49),$AX$2:$AZ$5,3)*(X49/SQRT(COUNT(F49:H49))),"")</f>
        <v>103.079247587403</v>
      </c>
      <c r="Z49" s="63" t="n">
        <f aca="false">IF(COUNT(F49:H49)&gt;0,V49-Y49,"")</f>
        <v>1466.25408574593</v>
      </c>
      <c r="AA49" s="63" t="n">
        <f aca="false">IF(COUNT(F49:H49)&gt;0,V49+Y49,"")</f>
        <v>1672.41258092074</v>
      </c>
      <c r="AB49" s="64" t="n">
        <f aca="false">IF(COUNT(F49:H49)&gt;0,X49/V49,"")</f>
        <v>0.0264390180687429</v>
      </c>
      <c r="AC49" s="26"/>
      <c r="AD49" s="65" t="n">
        <f aca="false">IF(SUM(I49:K49)&gt;0,AVERAGE(I49:K49),"")</f>
        <v>1398.66666666667</v>
      </c>
      <c r="AE49" s="66" t="n">
        <f aca="false">IF(SUM(I49:K49)&gt;0, ( IF(I49&gt;0,(I49-AD49)^2,0) + IF(J49&gt;0,(J49-AD49)^2,0) + IF(K49&gt;0,(K49-AD49)^2,0) ) / COUNT(I49:K49),"")</f>
        <v>59160.8888888889</v>
      </c>
      <c r="AF49" s="63" t="n">
        <f aca="false">IF(SUM(I49:K49)&gt;0,SQRT(AE49),"")</f>
        <v>243.230115094511</v>
      </c>
      <c r="AG49" s="63" t="n">
        <f aca="false">IF(COUNT(I49:K49)&gt;0,VLOOKUP(COUNT(I49:K49),$AX$2:$AZ$5,3)*(AF49/SQRT(COUNT(I49:K49))),"")</f>
        <v>604.265868344084</v>
      </c>
      <c r="AH49" s="63" t="n">
        <f aca="false">IF(COUNT(I49:K49)&gt;0,AD49-AG49,"")</f>
        <v>794.400798322583</v>
      </c>
      <c r="AI49" s="63" t="n">
        <f aca="false">IF(COUNT(I49:K49)&gt;0,AD49+AG49,"")</f>
        <v>2002.93253501075</v>
      </c>
      <c r="AJ49" s="64" t="n">
        <f aca="false">IF(COUNT(I49:K49)&gt;0,AF49/AD49,"")</f>
        <v>0.17390141689312</v>
      </c>
      <c r="AK49" s="65" t="str">
        <f aca="false">IF(SUM(L49:N49)&gt;0,AVERAGE(L49:N49),"")</f>
        <v/>
      </c>
      <c r="AL49" s="66" t="str">
        <f aca="false">IF(SUM(L49:N49)&gt;0, ( IF(L49&gt;0,(L49-AK49)^2,0) + IF(M49&gt;0,(M49-AK49)^2,0) + IF(N49&gt;0,(N49-AK49)^2,0) ) / COUNT(L49:N49),"")</f>
        <v/>
      </c>
      <c r="AM49" s="63" t="str">
        <f aca="false">IF(SUM(L49:N49)&gt;0,SQRT(AL49),"")</f>
        <v/>
      </c>
      <c r="AN49" s="63" t="str">
        <f aca="false">IF(COUNT(L49:N49)&gt;0,VLOOKUP(COUNT(L49:N49),$AX$2:$AZ$5,3)*(AM49/SQRT(COUNT(L49:N49))),"")</f>
        <v/>
      </c>
      <c r="AO49" s="63" t="str">
        <f aca="false">IF(COUNT(L49:N49)&gt;0,AK49-AN49,"")</f>
        <v/>
      </c>
      <c r="AP49" s="63" t="str">
        <f aca="false">IF(COUNT(L49:N49)&gt;0,AK49+AN49,"")</f>
        <v/>
      </c>
      <c r="AQ49" s="64" t="str">
        <f aca="false">IF(COUNT(L49:N49)&gt;0,AM49/AK49,"")</f>
        <v/>
      </c>
    </row>
    <row r="50" customFormat="false" ht="12.8" hidden="false" customHeight="false" outlineLevel="0" collapsed="false">
      <c r="A50" s="56" t="s">
        <v>36</v>
      </c>
      <c r="B50" s="57" t="n">
        <v>50</v>
      </c>
      <c r="C50" s="56" t="n">
        <v>1507</v>
      </c>
      <c r="D50" s="25" t="n">
        <v>1198</v>
      </c>
      <c r="E50" s="57" t="n">
        <v>1239</v>
      </c>
      <c r="F50" s="58" t="n">
        <v>1097</v>
      </c>
      <c r="G50" s="0" t="n">
        <v>1207</v>
      </c>
      <c r="H50" s="59" t="n">
        <v>1266</v>
      </c>
      <c r="I50" s="56" t="n">
        <v>1427</v>
      </c>
      <c r="J50" s="0" t="n">
        <v>1076</v>
      </c>
      <c r="K50" s="57" t="n">
        <v>949</v>
      </c>
      <c r="L50" s="56"/>
      <c r="M50" s="0" t="n">
        <v>1448</v>
      </c>
      <c r="N50" s="57" t="n">
        <v>1192</v>
      </c>
      <c r="O50" s="65" t="n">
        <f aca="false">IF(SUM(C50:E50)&gt;0,AVERAGE(C50:E50),"")</f>
        <v>1314.66666666667</v>
      </c>
      <c r="P50" s="66" t="n">
        <f aca="false">IF(SUM(C50:E50)&gt;0, ( IF(C50&gt;0,(C50-O50)^2,0) + IF(D50&gt;0,(D50-O50)^2,0) + IF(E50&gt;0,(E50-O50)^2,0) ) / COUNT(C50:E50),"")</f>
        <v>18776.2222222222</v>
      </c>
      <c r="Q50" s="63" t="n">
        <f aca="false">IF(SUM(C50:E50)&gt;0,SQRT(P50),"")</f>
        <v>137.026355940097</v>
      </c>
      <c r="R50" s="63" t="n">
        <f aca="false">IF(COUNT(C50:E50)&gt;0,VLOOKUP(COUNT(C50:E50),$AX$2:$AZ$5,3)*(Q50/SQRT(COUNT(C50:E50))),"")</f>
        <v>340.419811609245</v>
      </c>
      <c r="S50" s="63" t="n">
        <f aca="false">IF(COUNT(C50:E50)&gt;0,O50-R50,"")</f>
        <v>974.246855057422</v>
      </c>
      <c r="T50" s="63" t="n">
        <f aca="false">IF(COUNT(C50:E50)&gt;0,O50+R50,"")</f>
        <v>1655.08647827591</v>
      </c>
      <c r="U50" s="64" t="n">
        <f aca="false">IF(COUNT(C50:E50)&gt;0,Q50/O50,"")</f>
        <v>0.104228972571068</v>
      </c>
      <c r="V50" s="65" t="n">
        <f aca="false">IF(SUM(F50:H50)&gt;0,AVERAGE(F50:H50),"")</f>
        <v>1190</v>
      </c>
      <c r="W50" s="66" t="n">
        <f aca="false">IF(SUM(F50:H50)&gt;0, ( IF(F50&gt;0,(F50-V50)^2,0) + IF(G50&gt;0,(G50-V50)^2,0) + IF(H50&gt;0,(H50-V50)^2,0) ) / COUNT(F50:H50),"")</f>
        <v>4904.66666666667</v>
      </c>
      <c r="X50" s="63" t="n">
        <f aca="false">IF(SUM(F50:H50)&gt;0,SQRT(W50),"")</f>
        <v>70.0333254006024</v>
      </c>
      <c r="Y50" s="63" t="n">
        <f aca="false">IF(COUNT(F50:H50)&gt;0,VLOOKUP(COUNT(F50:H50),$AX$2:$AZ$5,3)*(X50/SQRT(COUNT(F50:H50))),"")</f>
        <v>173.986466148631</v>
      </c>
      <c r="Z50" s="63" t="n">
        <f aca="false">IF(COUNT(F50:H50)&gt;0,V50-Y50,"")</f>
        <v>1016.01353385137</v>
      </c>
      <c r="AA50" s="63" t="n">
        <f aca="false">IF(COUNT(F50:H50)&gt;0,V50+Y50,"")</f>
        <v>1363.98646614863</v>
      </c>
      <c r="AB50" s="64" t="n">
        <f aca="false">IF(COUNT(F50:H50)&gt;0,X50/V50,"")</f>
        <v>0.0588515339500861</v>
      </c>
      <c r="AC50" s="26"/>
      <c r="AD50" s="65" t="n">
        <f aca="false">IF(SUM(I50:K50)&gt;0,AVERAGE(I50:K50),"")</f>
        <v>1150.66666666667</v>
      </c>
      <c r="AE50" s="66" t="n">
        <f aca="false">IF(SUM(I50:K50)&gt;0, ( IF(I50&gt;0,(I50-AD50)^2,0) + IF(J50&gt;0,(J50-AD50)^2,0) + IF(K50&gt;0,(K50-AD50)^2,0) ) / COUNT(I50:K50),"")</f>
        <v>40868.2222222222</v>
      </c>
      <c r="AF50" s="63" t="n">
        <f aca="false">IF(SUM(I50:K50)&gt;0,SQRT(AE50),"")</f>
        <v>202.158903395874</v>
      </c>
      <c r="AG50" s="63" t="n">
        <f aca="false">IF(COUNT(I50:K50)&gt;0,VLOOKUP(COUNT(I50:K50),$AX$2:$AZ$5,3)*(AF50/SQRT(COUNT(I50:K50))),"")</f>
        <v>502.231087859039</v>
      </c>
      <c r="AH50" s="63" t="n">
        <f aca="false">IF(COUNT(I50:K50)&gt;0,AD50-AG50,"")</f>
        <v>648.435578807627</v>
      </c>
      <c r="AI50" s="63" t="n">
        <f aca="false">IF(COUNT(I50:K50)&gt;0,AD50+AG50,"")</f>
        <v>1652.89775452571</v>
      </c>
      <c r="AJ50" s="64" t="n">
        <f aca="false">IF(COUNT(I50:K50)&gt;0,AF50/AD50,"")</f>
        <v>0.175688502371849</v>
      </c>
      <c r="AK50" s="65" t="n">
        <f aca="false">IF(SUM(L50:N50)&gt;0,AVERAGE(L50:N50),"")</f>
        <v>1320</v>
      </c>
      <c r="AL50" s="66" t="n">
        <f aca="false">IF(SUM(L50:N50)&gt;0, ( IF(L50&gt;0,(L50-AK50)^2,0) + IF(M50&gt;0,(M50-AK50)^2,0) + IF(N50&gt;0,(N50-AK50)^2,0) ) / COUNT(L50:N50),"")</f>
        <v>16384</v>
      </c>
      <c r="AM50" s="63" t="n">
        <f aca="false">IF(SUM(L50:N50)&gt;0,SQRT(AL50),"")</f>
        <v>128</v>
      </c>
      <c r="AN50" s="63" t="n">
        <f aca="false">IF(COUNT(L50:N50)&gt;0,VLOOKUP(COUNT(L50:N50),$AX$2:$AZ$5,3)*(AM50/SQRT(COUNT(L50:N50))),"")</f>
        <v>1150.0158415048</v>
      </c>
      <c r="AO50" s="63" t="n">
        <f aca="false">IF(COUNT(L50:N50)&gt;0,AK50-AN50,"")</f>
        <v>169.984158495197</v>
      </c>
      <c r="AP50" s="63" t="n">
        <f aca="false">IF(COUNT(L50:N50)&gt;0,AK50+AN50,"")</f>
        <v>2470.0158415048</v>
      </c>
      <c r="AQ50" s="64" t="n">
        <f aca="false">IF(COUNT(L50:N50)&gt;0,AM50/AK50,"")</f>
        <v>0.096969696969697</v>
      </c>
    </row>
    <row r="51" customFormat="false" ht="12.8" hidden="false" customHeight="false" outlineLevel="0" collapsed="false">
      <c r="A51" s="56" t="s">
        <v>36</v>
      </c>
      <c r="B51" s="57" t="n">
        <v>64</v>
      </c>
      <c r="C51" s="56" t="n">
        <v>1026</v>
      </c>
      <c r="D51" s="25" t="n">
        <v>970</v>
      </c>
      <c r="E51" s="57" t="n">
        <v>893</v>
      </c>
      <c r="F51" s="58" t="n">
        <v>958</v>
      </c>
      <c r="G51" s="0" t="n">
        <v>965</v>
      </c>
      <c r="H51" s="59" t="n">
        <v>953</v>
      </c>
      <c r="I51" s="56" t="n">
        <v>1053</v>
      </c>
      <c r="J51" s="0" t="n">
        <v>978</v>
      </c>
      <c r="K51" s="57" t="n">
        <v>782</v>
      </c>
      <c r="L51" s="56"/>
      <c r="M51" s="0" t="n">
        <v>931</v>
      </c>
      <c r="N51" s="57" t="n">
        <v>912</v>
      </c>
      <c r="O51" s="65" t="n">
        <f aca="false">IF(SUM(C51:E51)&gt;0,AVERAGE(C51:E51),"")</f>
        <v>963</v>
      </c>
      <c r="P51" s="66" t="n">
        <f aca="false">IF(SUM(C51:E51)&gt;0, ( IF(C51&gt;0,(C51-O51)^2,0) + IF(D51&gt;0,(D51-O51)^2,0) + IF(E51&gt;0,(E51-O51)^2,0) ) / COUNT(C51:E51),"")</f>
        <v>2972.66666666667</v>
      </c>
      <c r="Q51" s="63" t="n">
        <f aca="false">IF(SUM(C51:E51)&gt;0,SQRT(P51),"")</f>
        <v>54.5221667458903</v>
      </c>
      <c r="R51" s="63" t="n">
        <f aca="false">IF(COUNT(C51:E51)&gt;0,VLOOKUP(COUNT(C51:E51),$AX$2:$AZ$5,3)*(Q51/SQRT(COUNT(C51:E51))),"")</f>
        <v>135.451502047371</v>
      </c>
      <c r="S51" s="63" t="n">
        <f aca="false">IF(COUNT(C51:E51)&gt;0,O51-R51,"")</f>
        <v>827.548497952629</v>
      </c>
      <c r="T51" s="63" t="n">
        <f aca="false">IF(COUNT(C51:E51)&gt;0,O51+R51,"")</f>
        <v>1098.45150204737</v>
      </c>
      <c r="U51" s="64" t="n">
        <f aca="false">IF(COUNT(C51:E51)&gt;0,Q51/O51,"")</f>
        <v>0.0566169955824406</v>
      </c>
      <c r="V51" s="65" t="n">
        <f aca="false">IF(SUM(F51:H51)&gt;0,AVERAGE(F51:H51),"")</f>
        <v>958.666666666667</v>
      </c>
      <c r="W51" s="66" t="n">
        <f aca="false">IF(SUM(F51:H51)&gt;0, ( IF(F51&gt;0,(F51-V51)^2,0) + IF(G51&gt;0,(G51-V51)^2,0) + IF(H51&gt;0,(H51-V51)^2,0) ) / COUNT(F51:H51),"")</f>
        <v>24.2222222222222</v>
      </c>
      <c r="X51" s="63" t="n">
        <f aca="false">IF(SUM(F51:H51)&gt;0,SQRT(W51),"")</f>
        <v>4.92160768674447</v>
      </c>
      <c r="Y51" s="63" t="n">
        <f aca="false">IF(COUNT(F51:H51)&gt;0,VLOOKUP(COUNT(F51:H51),$AX$2:$AZ$5,3)*(X51/SQRT(COUNT(F51:H51))),"")</f>
        <v>12.2269380225553</v>
      </c>
      <c r="Z51" s="63" t="n">
        <f aca="false">IF(COUNT(F51:H51)&gt;0,V51-Y51,"")</f>
        <v>946.439728644111</v>
      </c>
      <c r="AA51" s="63" t="n">
        <f aca="false">IF(COUNT(F51:H51)&gt;0,V51+Y51,"")</f>
        <v>970.893604689222</v>
      </c>
      <c r="AB51" s="64" t="n">
        <f aca="false">IF(COUNT(F51:H51)&gt;0,X51/V51,"")</f>
        <v>0.00513380495835654</v>
      </c>
      <c r="AC51" s="26"/>
      <c r="AD51" s="65" t="n">
        <f aca="false">IF(SUM(I51:K51)&gt;0,AVERAGE(I51:K51),"")</f>
        <v>937.666666666667</v>
      </c>
      <c r="AE51" s="66" t="n">
        <f aca="false">IF(SUM(I51:K51)&gt;0, ( IF(I51&gt;0,(I51-AD51)^2,0) + IF(J51&gt;0,(J51-AD51)^2,0) + IF(K51&gt;0,(K51-AD51)^2,0) ) / COUNT(I51:K51),"")</f>
        <v>13053.5555555556</v>
      </c>
      <c r="AF51" s="63" t="n">
        <f aca="false">IF(SUM(I51:K51)&gt;0,SQRT(AE51),"")</f>
        <v>114.252157771989</v>
      </c>
      <c r="AG51" s="63" t="n">
        <f aca="false">IF(COUNT(I51:K51)&gt;0,VLOOKUP(COUNT(I51:K51),$AX$2:$AZ$5,3)*(AF51/SQRT(COUNT(I51:K51))),"")</f>
        <v>283.841000936296</v>
      </c>
      <c r="AH51" s="63" t="n">
        <f aca="false">IF(COUNT(I51:K51)&gt;0,AD51-AG51,"")</f>
        <v>653.82566573037</v>
      </c>
      <c r="AI51" s="63" t="n">
        <f aca="false">IF(COUNT(I51:K51)&gt;0,AD51+AG51,"")</f>
        <v>1221.50766760296</v>
      </c>
      <c r="AJ51" s="64" t="n">
        <f aca="false">IF(COUNT(I51:K51)&gt;0,AF51/AD51,"")</f>
        <v>0.121847306546736</v>
      </c>
      <c r="AK51" s="65" t="n">
        <f aca="false">IF(SUM(L51:N51)&gt;0,AVERAGE(L51:N51),"")</f>
        <v>921.5</v>
      </c>
      <c r="AL51" s="66" t="n">
        <f aca="false">IF(SUM(L51:N51)&gt;0, ( IF(L51&gt;0,(L51-AK51)^2,0) + IF(M51&gt;0,(M51-AK51)^2,0) + IF(N51&gt;0,(N51-AK51)^2,0) ) / COUNT(L51:N51),"")</f>
        <v>90.25</v>
      </c>
      <c r="AM51" s="63" t="n">
        <f aca="false">IF(SUM(L51:N51)&gt;0,SQRT(AL51),"")</f>
        <v>9.5</v>
      </c>
      <c r="AN51" s="63" t="n">
        <f aca="false">IF(COUNT(L51:N51)&gt;0,VLOOKUP(COUNT(L51:N51),$AX$2:$AZ$5,3)*(AM51/SQRT(COUNT(L51:N51))),"")</f>
        <v>85.3527382366846</v>
      </c>
      <c r="AO51" s="63" t="n">
        <f aca="false">IF(COUNT(L51:N51)&gt;0,AK51-AN51,"")</f>
        <v>836.147261763315</v>
      </c>
      <c r="AP51" s="63" t="n">
        <f aca="false">IF(COUNT(L51:N51)&gt;0,AK51+AN51,"")</f>
        <v>1006.85273823668</v>
      </c>
      <c r="AQ51" s="64" t="n">
        <f aca="false">IF(COUNT(L51:N51)&gt;0,AM51/AK51,"")</f>
        <v>0.0103092783505155</v>
      </c>
    </row>
    <row r="52" customFormat="false" ht="12.8" hidden="false" customHeight="false" outlineLevel="0" collapsed="false">
      <c r="A52" s="56" t="s">
        <v>36</v>
      </c>
      <c r="B52" s="57" t="n">
        <v>82</v>
      </c>
      <c r="C52" s="56" t="n">
        <v>1128</v>
      </c>
      <c r="D52" s="25" t="n">
        <v>810</v>
      </c>
      <c r="E52" s="57" t="n">
        <v>770</v>
      </c>
      <c r="F52" s="58" t="n">
        <v>783</v>
      </c>
      <c r="G52" s="0" t="n">
        <v>1262</v>
      </c>
      <c r="H52" s="59" t="n">
        <v>819</v>
      </c>
      <c r="I52" s="56" t="n">
        <v>793</v>
      </c>
      <c r="J52" s="0" t="n">
        <v>838</v>
      </c>
      <c r="K52" s="57" t="n">
        <v>736</v>
      </c>
      <c r="L52" s="56"/>
      <c r="M52" s="0" t="n">
        <v>789</v>
      </c>
      <c r="N52" s="57" t="n">
        <v>856</v>
      </c>
      <c r="O52" s="65" t="n">
        <f aca="false">IF(SUM(C52:E52)&gt;0,AVERAGE(C52:E52),"")</f>
        <v>902.666666666667</v>
      </c>
      <c r="P52" s="66" t="n">
        <f aca="false">IF(SUM(C52:E52)&gt;0, ( IF(C52&gt;0,(C52-O52)^2,0) + IF(D52&gt;0,(D52-O52)^2,0) + IF(E52&gt;0,(E52-O52)^2,0) ) / COUNT(C52:E52),"")</f>
        <v>25654.2222222222</v>
      </c>
      <c r="Q52" s="63" t="n">
        <f aca="false">IF(SUM(C52:E52)&gt;0,SQRT(P52),"")</f>
        <v>160.169354816151</v>
      </c>
      <c r="R52" s="63" t="n">
        <f aca="false">IF(COUNT(C52:E52)&gt;0,VLOOKUP(COUNT(C52:E52),$AX$2:$AZ$5,3)*(Q52/SQRT(COUNT(C52:E52))),"")</f>
        <v>397.914847972202</v>
      </c>
      <c r="S52" s="63" t="n">
        <f aca="false">IF(COUNT(C52:E52)&gt;0,O52-R52,"")</f>
        <v>504.751818694465</v>
      </c>
      <c r="T52" s="63" t="n">
        <f aca="false">IF(COUNT(C52:E52)&gt;0,O52+R52,"")</f>
        <v>1300.58151463887</v>
      </c>
      <c r="U52" s="64" t="n">
        <f aca="false">IF(COUNT(C52:E52)&gt;0,Q52/O52,"")</f>
        <v>0.177440201051866</v>
      </c>
      <c r="V52" s="65" t="n">
        <f aca="false">IF(SUM(F52:H52)&gt;0,AVERAGE(F52:H52),"")</f>
        <v>954.666666666667</v>
      </c>
      <c r="W52" s="66" t="n">
        <f aca="false">IF(SUM(F52:H52)&gt;0, ( IF(F52&gt;0,(F52-V52)^2,0) + IF(G52&gt;0,(G52-V52)^2,0) + IF(H52&gt;0,(H52-V52)^2,0) ) / COUNT(F52:H52),"")</f>
        <v>47442.8888888889</v>
      </c>
      <c r="X52" s="63" t="n">
        <f aca="false">IF(SUM(F52:H52)&gt;0,SQRT(W52),"")</f>
        <v>217.813885895479</v>
      </c>
      <c r="Y52" s="63" t="n">
        <f aca="false">IF(COUNT(F52:H52)&gt;0,VLOOKUP(COUNT(F52:H52),$AX$2:$AZ$5,3)*(X52/SQRT(COUNT(F52:H52))),"")</f>
        <v>541.123359033437</v>
      </c>
      <c r="Z52" s="63" t="n">
        <f aca="false">IF(COUNT(F52:H52)&gt;0,V52-Y52,"")</f>
        <v>413.54330763323</v>
      </c>
      <c r="AA52" s="63" t="n">
        <f aca="false">IF(COUNT(F52:H52)&gt;0,V52+Y52,"")</f>
        <v>1495.7900257001</v>
      </c>
      <c r="AB52" s="64" t="n">
        <f aca="false">IF(COUNT(F52:H52)&gt;0,X52/V52,"")</f>
        <v>0.228157003382136</v>
      </c>
      <c r="AC52" s="26"/>
      <c r="AD52" s="65" t="n">
        <f aca="false">IF(SUM(I52:K52)&gt;0,AVERAGE(I52:K52),"")</f>
        <v>789</v>
      </c>
      <c r="AE52" s="66" t="n">
        <f aca="false">IF(SUM(I52:K52)&gt;0, ( IF(I52&gt;0,(I52-AD52)^2,0) + IF(J52&gt;0,(J52-AD52)^2,0) + IF(K52&gt;0,(K52-AD52)^2,0) ) / COUNT(I52:K52),"")</f>
        <v>1742</v>
      </c>
      <c r="AF52" s="63" t="n">
        <f aca="false">IF(SUM(I52:K52)&gt;0,SQRT(AE52),"")</f>
        <v>41.7372735094184</v>
      </c>
      <c r="AG52" s="63" t="n">
        <f aca="false">IF(COUNT(I52:K52)&gt;0,VLOOKUP(COUNT(I52:K52),$AX$2:$AZ$5,3)*(AF52/SQRT(COUNT(I52:K52))),"")</f>
        <v>103.689503290674</v>
      </c>
      <c r="AH52" s="63" t="n">
        <f aca="false">IF(COUNT(I52:K52)&gt;0,AD52-AG52,"")</f>
        <v>685.310496709326</v>
      </c>
      <c r="AI52" s="63" t="n">
        <f aca="false">IF(COUNT(I52:K52)&gt;0,AD52+AG52,"")</f>
        <v>892.689503290674</v>
      </c>
      <c r="AJ52" s="64" t="n">
        <f aca="false">IF(COUNT(I52:K52)&gt;0,AF52/AD52,"")</f>
        <v>0.05289895248342</v>
      </c>
      <c r="AK52" s="65" t="n">
        <f aca="false">IF(SUM(L52:N52)&gt;0,AVERAGE(L52:N52),"")</f>
        <v>822.5</v>
      </c>
      <c r="AL52" s="66" t="n">
        <f aca="false">IF(SUM(L52:N52)&gt;0, ( IF(L52&gt;0,(L52-AK52)^2,0) + IF(M52&gt;0,(M52-AK52)^2,0) + IF(N52&gt;0,(N52-AK52)^2,0) ) / COUNT(L52:N52),"")</f>
        <v>1122.25</v>
      </c>
      <c r="AM52" s="63" t="n">
        <f aca="false">IF(SUM(L52:N52)&gt;0,SQRT(AL52),"")</f>
        <v>33.5</v>
      </c>
      <c r="AN52" s="63" t="n">
        <f aca="false">IF(COUNT(L52:N52)&gt;0,VLOOKUP(COUNT(L52:N52),$AX$2:$AZ$5,3)*(AM52/SQRT(COUNT(L52:N52))),"")</f>
        <v>300.980708518835</v>
      </c>
      <c r="AO52" s="63" t="n">
        <f aca="false">IF(COUNT(L52:N52)&gt;0,AK52-AN52,"")</f>
        <v>521.519291481165</v>
      </c>
      <c r="AP52" s="63" t="n">
        <f aca="false">IF(COUNT(L52:N52)&gt;0,AK52+AN52,"")</f>
        <v>1123.48070851884</v>
      </c>
      <c r="AQ52" s="64" t="n">
        <f aca="false">IF(COUNT(L52:N52)&gt;0,AM52/AK52,"")</f>
        <v>0.0407294832826748</v>
      </c>
    </row>
    <row r="53" customFormat="false" ht="12.8" hidden="false" customHeight="false" outlineLevel="0" collapsed="false">
      <c r="A53" s="56" t="s">
        <v>36</v>
      </c>
      <c r="B53" s="57" t="n">
        <v>100</v>
      </c>
      <c r="C53" s="56" t="n">
        <v>675</v>
      </c>
      <c r="D53" s="25" t="n">
        <v>697</v>
      </c>
      <c r="E53" s="57" t="n">
        <v>677</v>
      </c>
      <c r="F53" s="58" t="n">
        <v>745</v>
      </c>
      <c r="G53" s="0" t="n">
        <v>1048</v>
      </c>
      <c r="H53" s="59" t="n">
        <v>672</v>
      </c>
      <c r="I53" s="56" t="n">
        <v>680</v>
      </c>
      <c r="J53" s="0" t="n">
        <v>664</v>
      </c>
      <c r="K53" s="57"/>
      <c r="L53" s="56"/>
      <c r="M53" s="0" t="n">
        <v>686</v>
      </c>
      <c r="N53" s="57" t="n">
        <v>672</v>
      </c>
      <c r="O53" s="65" t="n">
        <f aca="false">IF(SUM(C53:E53)&gt;0,AVERAGE(C53:E53),"")</f>
        <v>683</v>
      </c>
      <c r="P53" s="66" t="n">
        <f aca="false">IF(SUM(C53:E53)&gt;0, ( IF(C53&gt;0,(C53-O53)^2,0) + IF(D53&gt;0,(D53-O53)^2,0) + IF(E53&gt;0,(E53-O53)^2,0) ) / COUNT(C53:E53),"")</f>
        <v>98.6666666666667</v>
      </c>
      <c r="Q53" s="63" t="n">
        <f aca="false">IF(SUM(C53:E53)&gt;0,SQRT(P53),"")</f>
        <v>9.93310961716756</v>
      </c>
      <c r="R53" s="63" t="n">
        <f aca="false">IF(COUNT(C53:E53)&gt;0,VLOOKUP(COUNT(C53:E53),$AX$2:$AZ$5,3)*(Q53/SQRT(COUNT(C53:E53))),"")</f>
        <v>24.6772037493896</v>
      </c>
      <c r="S53" s="63" t="n">
        <f aca="false">IF(COUNT(C53:E53)&gt;0,O53-R53,"")</f>
        <v>658.32279625061</v>
      </c>
      <c r="T53" s="63" t="n">
        <f aca="false">IF(COUNT(C53:E53)&gt;0,O53+R53,"")</f>
        <v>707.67720374939</v>
      </c>
      <c r="U53" s="64" t="n">
        <f aca="false">IF(COUNT(C53:E53)&gt;0,Q53/O53,"")</f>
        <v>0.0145433522945352</v>
      </c>
      <c r="V53" s="65" t="n">
        <f aca="false">IF(SUM(F53:H53)&gt;0,AVERAGE(F53:H53),"")</f>
        <v>821.666666666667</v>
      </c>
      <c r="W53" s="66" t="n">
        <f aca="false">IF(SUM(F53:H53)&gt;0, ( IF(F53&gt;0,(F53-V53)^2,0) + IF(G53&gt;0,(G53-V53)^2,0) + IF(H53&gt;0,(H53-V53)^2,0) ) / COUNT(F53:H53),"")</f>
        <v>26501.5555555556</v>
      </c>
      <c r="X53" s="63" t="n">
        <f aca="false">IF(SUM(F53:H53)&gt;0,SQRT(W53),"")</f>
        <v>162.792983741793</v>
      </c>
      <c r="Y53" s="63" t="n">
        <f aca="false">IF(COUNT(F53:H53)&gt;0,VLOOKUP(COUNT(F53:H53),$AX$2:$AZ$5,3)*(X53/SQRT(COUNT(F53:H53))),"")</f>
        <v>404.432829556634</v>
      </c>
      <c r="Z53" s="63" t="n">
        <f aca="false">IF(COUNT(F53:H53)&gt;0,V53-Y53,"")</f>
        <v>417.233837110033</v>
      </c>
      <c r="AA53" s="63" t="n">
        <f aca="false">IF(COUNT(F53:H53)&gt;0,V53+Y53,"")</f>
        <v>1226.0994962233</v>
      </c>
      <c r="AB53" s="64" t="n">
        <f aca="false">IF(COUNT(F53:H53)&gt;0,X53/V53,"")</f>
        <v>0.198125335182709</v>
      </c>
      <c r="AC53" s="26"/>
      <c r="AD53" s="65" t="n">
        <f aca="false">IF(SUM(I53:K53)&gt;0,AVERAGE(I53:K53),"")</f>
        <v>672</v>
      </c>
      <c r="AE53" s="66" t="n">
        <f aca="false">IF(SUM(I53:K53)&gt;0, ( IF(I53&gt;0,(I53-AD53)^2,0) + IF(J53&gt;0,(J53-AD53)^2,0) + IF(K53&gt;0,(K53-AD53)^2,0) ) / COUNT(I53:K53),"")</f>
        <v>64</v>
      </c>
      <c r="AF53" s="63" t="n">
        <f aca="false">IF(SUM(I53:K53)&gt;0,SQRT(AE53),"")</f>
        <v>8</v>
      </c>
      <c r="AG53" s="63" t="n">
        <f aca="false">IF(COUNT(I53:K53)&gt;0,VLOOKUP(COUNT(I53:K53),$AX$2:$AZ$5,3)*(AF53/SQRT(COUNT(I53:K53))),"")</f>
        <v>71.8759900940502</v>
      </c>
      <c r="AH53" s="63" t="n">
        <f aca="false">IF(COUNT(I53:K53)&gt;0,AD53-AG53,"")</f>
        <v>600.12400990595</v>
      </c>
      <c r="AI53" s="63" t="n">
        <f aca="false">IF(COUNT(I53:K53)&gt;0,AD53+AG53,"")</f>
        <v>743.87599009405</v>
      </c>
      <c r="AJ53" s="64" t="n">
        <f aca="false">IF(COUNT(I53:K53)&gt;0,AF53/AD53,"")</f>
        <v>0.0119047619047619</v>
      </c>
      <c r="AK53" s="65" t="n">
        <f aca="false">IF(SUM(L53:N53)&gt;0,AVERAGE(L53:N53),"")</f>
        <v>679</v>
      </c>
      <c r="AL53" s="66" t="n">
        <f aca="false">IF(SUM(L53:N53)&gt;0, ( IF(L53&gt;0,(L53-AK53)^2,0) + IF(M53&gt;0,(M53-AK53)^2,0) + IF(N53&gt;0,(N53-AK53)^2,0) ) / COUNT(L53:N53),"")</f>
        <v>49</v>
      </c>
      <c r="AM53" s="63" t="n">
        <f aca="false">IF(SUM(L53:N53)&gt;0,SQRT(AL53),"")</f>
        <v>7</v>
      </c>
      <c r="AN53" s="63" t="n">
        <f aca="false">IF(COUNT(L53:N53)&gt;0,VLOOKUP(COUNT(L53:N53),$AX$2:$AZ$5,3)*(AM53/SQRT(COUNT(L53:N53))),"")</f>
        <v>62.8914913322939</v>
      </c>
      <c r="AO53" s="63" t="n">
        <f aca="false">IF(COUNT(L53:N53)&gt;0,AK53-AN53,"")</f>
        <v>616.108508667706</v>
      </c>
      <c r="AP53" s="63" t="n">
        <f aca="false">IF(COUNT(L53:N53)&gt;0,AK53+AN53,"")</f>
        <v>741.891491332294</v>
      </c>
      <c r="AQ53" s="64" t="n">
        <f aca="false">IF(COUNT(L53:N53)&gt;0,AM53/AK53,"")</f>
        <v>0.0103092783505155</v>
      </c>
    </row>
    <row r="54" customFormat="false" ht="12.8" hidden="false" customHeight="false" outlineLevel="0" collapsed="false">
      <c r="A54" s="56" t="s">
        <v>37</v>
      </c>
      <c r="B54" s="57" t="n">
        <v>5</v>
      </c>
      <c r="C54" s="56" t="n">
        <v>609</v>
      </c>
      <c r="D54" s="25"/>
      <c r="E54" s="57"/>
      <c r="F54" s="58"/>
      <c r="H54" s="59"/>
      <c r="I54" s="56"/>
      <c r="K54" s="57"/>
      <c r="L54" s="56"/>
      <c r="N54" s="57"/>
      <c r="O54" s="65" t="n">
        <f aca="false">IF(SUM(C54:E54)&gt;0,AVERAGE(C54:E54),"")</f>
        <v>609</v>
      </c>
      <c r="P54" s="66" t="n">
        <f aca="false">IF(SUM(C54:E54)&gt;0, ( IF(C54&gt;0,(C54-O54)^2,0) + IF(D54&gt;0,(D54-O54)^2,0) + IF(E54&gt;0,(E54-O54)^2,0) ) / COUNT(C54:E54),"")</f>
        <v>0</v>
      </c>
      <c r="Q54" s="63" t="n">
        <f aca="false">IF(SUM(C54:E54)&gt;0,SQRT(P54),"")</f>
        <v>0</v>
      </c>
      <c r="R54" s="63" t="n">
        <f aca="false">IF(COUNT(C54:E54)&gt;0,VLOOKUP(COUNT(C54:E54),$AX$2:$AZ$5,3)*(Q54/SQRT(COUNT(C54:E54))),"")</f>
        <v>0</v>
      </c>
      <c r="S54" s="63" t="n">
        <f aca="false">IF(COUNT(C54:E54)&gt;0,O54-R54,"")</f>
        <v>609</v>
      </c>
      <c r="T54" s="63" t="n">
        <f aca="false">IF(COUNT(C54:E54)&gt;0,O54+R54,"")</f>
        <v>609</v>
      </c>
      <c r="U54" s="64" t="n">
        <f aca="false">IF(COUNT(C54:E54)&gt;0,Q54/O54,"")</f>
        <v>0</v>
      </c>
      <c r="V54" s="65" t="str">
        <f aca="false">IF(SUM(F54:H54)&gt;0,AVERAGE(F54:H54),"")</f>
        <v/>
      </c>
      <c r="W54" s="66" t="str">
        <f aca="false">IF(SUM(F54:H54)&gt;0, ( IF(F54&gt;0,(F54-V54)^2,0) + IF(G54&gt;0,(G54-V54)^2,0) + IF(H54&gt;0,(H54-V54)^2,0) ) / COUNT(F54:H54),"")</f>
        <v/>
      </c>
      <c r="X54" s="63" t="str">
        <f aca="false">IF(SUM(F54:H54)&gt;0,SQRT(W54),"")</f>
        <v/>
      </c>
      <c r="Y54" s="63" t="str">
        <f aca="false">IF(COUNT(F54:H54)&gt;0,VLOOKUP(COUNT(F54:H54),$AX$2:$AZ$5,3)*(X54/SQRT(COUNT(F54:H54))),"")</f>
        <v/>
      </c>
      <c r="Z54" s="63" t="str">
        <f aca="false">IF(COUNT(F54:H54)&gt;0,V54-Y54,"")</f>
        <v/>
      </c>
      <c r="AA54" s="63" t="str">
        <f aca="false">IF(COUNT(F54:H54)&gt;0,V54+Y54,"")</f>
        <v/>
      </c>
      <c r="AB54" s="64" t="str">
        <f aca="false">IF(COUNT(F54:H54)&gt;0,X54/V54,"")</f>
        <v/>
      </c>
      <c r="AC54" s="26"/>
      <c r="AD54" s="65" t="str">
        <f aca="false">IF(SUM(I54:K54)&gt;0,AVERAGE(I54:K54),"")</f>
        <v/>
      </c>
      <c r="AE54" s="66" t="str">
        <f aca="false">IF(SUM(I54:K54)&gt;0, ( IF(I54&gt;0,(I54-AD54)^2,0) + IF(J54&gt;0,(J54-AD54)^2,0) + IF(K54&gt;0,(K54-AD54)^2,0) ) / COUNT(I54:K54),"")</f>
        <v/>
      </c>
      <c r="AF54" s="63" t="str">
        <f aca="false">IF(SUM(I54:K54)&gt;0,SQRT(AE54),"")</f>
        <v/>
      </c>
      <c r="AG54" s="63" t="str">
        <f aca="false">IF(COUNT(I54:K54)&gt;0,VLOOKUP(COUNT(I54:K54),$AX$2:$AZ$5,3)*(AF54/SQRT(COUNT(I54:K54))),"")</f>
        <v/>
      </c>
      <c r="AH54" s="63" t="str">
        <f aca="false">IF(COUNT(I54:K54)&gt;0,AD54-AG54,"")</f>
        <v/>
      </c>
      <c r="AI54" s="63" t="str">
        <f aca="false">IF(COUNT(I54:K54)&gt;0,AD54+AG54,"")</f>
        <v/>
      </c>
      <c r="AJ54" s="64" t="str">
        <f aca="false">IF(COUNT(I54:K54)&gt;0,AF54/AD54,"")</f>
        <v/>
      </c>
      <c r="AK54" s="65" t="str">
        <f aca="false">IF(SUM(L54:N54)&gt;0,AVERAGE(L54:N54),"")</f>
        <v/>
      </c>
      <c r="AL54" s="66" t="str">
        <f aca="false">IF(SUM(L54:N54)&gt;0, ( IF(L54&gt;0,(L54-AK54)^2,0) + IF(M54&gt;0,(M54-AK54)^2,0) + IF(N54&gt;0,(N54-AK54)^2,0) ) / COUNT(L54:N54),"")</f>
        <v/>
      </c>
      <c r="AM54" s="63" t="str">
        <f aca="false">IF(SUM(L54:N54)&gt;0,SQRT(AL54),"")</f>
        <v/>
      </c>
      <c r="AN54" s="63" t="str">
        <f aca="false">IF(COUNT(L54:N54)&gt;0,VLOOKUP(COUNT(L54:N54),$AX$2:$AZ$5,3)*(AM54/SQRT(COUNT(L54:N54))),"")</f>
        <v/>
      </c>
      <c r="AO54" s="63" t="str">
        <f aca="false">IF(COUNT(L54:N54)&gt;0,AK54-AN54,"")</f>
        <v/>
      </c>
      <c r="AP54" s="63" t="str">
        <f aca="false">IF(COUNT(L54:N54)&gt;0,AK54+AN54,"")</f>
        <v/>
      </c>
      <c r="AQ54" s="64" t="str">
        <f aca="false">IF(COUNT(L54:N54)&gt;0,AM54/AK54,"")</f>
        <v/>
      </c>
    </row>
    <row r="55" customFormat="false" ht="12.8" hidden="false" customHeight="false" outlineLevel="0" collapsed="false">
      <c r="A55" s="56" t="s">
        <v>37</v>
      </c>
      <c r="B55" s="57" t="n">
        <v>10</v>
      </c>
      <c r="C55" s="56" t="n">
        <v>570</v>
      </c>
      <c r="D55" s="25"/>
      <c r="E55" s="57"/>
      <c r="F55" s="58" t="n">
        <v>849</v>
      </c>
      <c r="H55" s="59" t="n">
        <v>959</v>
      </c>
      <c r="I55" s="56"/>
      <c r="K55" s="57" t="n">
        <v>598</v>
      </c>
      <c r="L55" s="56"/>
      <c r="M55" s="0" t="n">
        <v>814</v>
      </c>
      <c r="N55" s="57" t="n">
        <v>776</v>
      </c>
      <c r="O55" s="65" t="n">
        <f aca="false">IF(SUM(C55:E55)&gt;0,AVERAGE(C55:E55),"")</f>
        <v>570</v>
      </c>
      <c r="P55" s="66" t="n">
        <f aca="false">IF(SUM(C55:E55)&gt;0, ( IF(C55&gt;0,(C55-O55)^2,0) + IF(D55&gt;0,(D55-O55)^2,0) + IF(E55&gt;0,(E55-O55)^2,0) ) / COUNT(C55:E55),"")</f>
        <v>0</v>
      </c>
      <c r="Q55" s="63" t="n">
        <f aca="false">IF(SUM(C55:E55)&gt;0,SQRT(P55),"")</f>
        <v>0</v>
      </c>
      <c r="R55" s="63" t="n">
        <f aca="false">IF(COUNT(C55:E55)&gt;0,VLOOKUP(COUNT(C55:E55),$AX$2:$AZ$5,3)*(Q55/SQRT(COUNT(C55:E55))),"")</f>
        <v>0</v>
      </c>
      <c r="S55" s="63" t="n">
        <f aca="false">IF(COUNT(C55:E55)&gt;0,O55-R55,"")</f>
        <v>570</v>
      </c>
      <c r="T55" s="63" t="n">
        <f aca="false">IF(COUNT(C55:E55)&gt;0,O55+R55,"")</f>
        <v>570</v>
      </c>
      <c r="U55" s="64" t="n">
        <f aca="false">IF(COUNT(C55:E55)&gt;0,Q55/O55,"")</f>
        <v>0</v>
      </c>
      <c r="V55" s="65" t="n">
        <f aca="false">IF(SUM(F55:H55)&gt;0,AVERAGE(F55:H55),"")</f>
        <v>904</v>
      </c>
      <c r="W55" s="66" t="n">
        <f aca="false">IF(SUM(F55:H55)&gt;0, ( IF(F55&gt;0,(F55-V55)^2,0) + IF(G55&gt;0,(G55-V55)^2,0) + IF(H55&gt;0,(H55-V55)^2,0) ) / COUNT(F55:H55),"")</f>
        <v>3025</v>
      </c>
      <c r="X55" s="63" t="n">
        <f aca="false">IF(SUM(F55:H55)&gt;0,SQRT(W55),"")</f>
        <v>55</v>
      </c>
      <c r="Y55" s="63" t="n">
        <f aca="false">IF(COUNT(F55:H55)&gt;0,VLOOKUP(COUNT(F55:H55),$AX$2:$AZ$5,3)*(X55/SQRT(COUNT(F55:H55))),"")</f>
        <v>494.147431896595</v>
      </c>
      <c r="Z55" s="63" t="n">
        <f aca="false">IF(COUNT(F55:H55)&gt;0,V55-Y55,"")</f>
        <v>409.852568103405</v>
      </c>
      <c r="AA55" s="63" t="n">
        <f aca="false">IF(COUNT(F55:H55)&gt;0,V55+Y55,"")</f>
        <v>1398.1474318966</v>
      </c>
      <c r="AB55" s="64" t="n">
        <f aca="false">IF(COUNT(F55:H55)&gt;0,X55/V55,"")</f>
        <v>0.0608407079646018</v>
      </c>
      <c r="AC55" s="26"/>
      <c r="AD55" s="65" t="n">
        <f aca="false">IF(SUM(I55:K55)&gt;0,AVERAGE(I55:K55),"")</f>
        <v>598</v>
      </c>
      <c r="AE55" s="66" t="n">
        <f aca="false">IF(SUM(I55:K55)&gt;0, ( IF(I55&gt;0,(I55-AD55)^2,0) + IF(J55&gt;0,(J55-AD55)^2,0) + IF(K55&gt;0,(K55-AD55)^2,0) ) / COUNT(I55:K55),"")</f>
        <v>0</v>
      </c>
      <c r="AF55" s="63" t="n">
        <f aca="false">IF(SUM(I55:K55)&gt;0,SQRT(AE55),"")</f>
        <v>0</v>
      </c>
      <c r="AG55" s="63" t="n">
        <f aca="false">IF(COUNT(I55:K55)&gt;0,VLOOKUP(COUNT(I55:K55),$AX$2:$AZ$5,3)*(AF55/SQRT(COUNT(I55:K55))),"")</f>
        <v>0</v>
      </c>
      <c r="AH55" s="63" t="n">
        <f aca="false">IF(COUNT(I55:K55)&gt;0,AD55-AG55,"")</f>
        <v>598</v>
      </c>
      <c r="AI55" s="63" t="n">
        <f aca="false">IF(COUNT(I55:K55)&gt;0,AD55+AG55,"")</f>
        <v>598</v>
      </c>
      <c r="AJ55" s="64" t="n">
        <f aca="false">IF(COUNT(I55:K55)&gt;0,AF55/AD55,"")</f>
        <v>0</v>
      </c>
      <c r="AK55" s="65" t="n">
        <f aca="false">IF(SUM(L55:N55)&gt;0,AVERAGE(L55:N55),"")</f>
        <v>795</v>
      </c>
      <c r="AL55" s="66" t="n">
        <f aca="false">IF(SUM(L55:N55)&gt;0, ( IF(L55&gt;0,(L55-AK55)^2,0) + IF(M55&gt;0,(M55-AK55)^2,0) + IF(N55&gt;0,(N55-AK55)^2,0) ) / COUNT(L55:N55),"")</f>
        <v>361</v>
      </c>
      <c r="AM55" s="63" t="n">
        <f aca="false">IF(SUM(L55:N55)&gt;0,SQRT(AL55),"")</f>
        <v>19</v>
      </c>
      <c r="AN55" s="63" t="n">
        <f aca="false">IF(COUNT(L55:N55)&gt;0,VLOOKUP(COUNT(L55:N55),$AX$2:$AZ$5,3)*(AM55/SQRT(COUNT(L55:N55))),"")</f>
        <v>170.705476473369</v>
      </c>
      <c r="AO55" s="63" t="n">
        <f aca="false">IF(COUNT(L55:N55)&gt;0,AK55-AN55,"")</f>
        <v>624.294523526631</v>
      </c>
      <c r="AP55" s="63" t="n">
        <f aca="false">IF(COUNT(L55:N55)&gt;0,AK55+AN55,"")</f>
        <v>965.705476473369</v>
      </c>
      <c r="AQ55" s="64" t="n">
        <f aca="false">IF(COUNT(L55:N55)&gt;0,AM55/AK55,"")</f>
        <v>0.0238993710691824</v>
      </c>
    </row>
    <row r="56" customFormat="false" ht="12.8" hidden="false" customHeight="false" outlineLevel="0" collapsed="false">
      <c r="A56" s="56" t="s">
        <v>37</v>
      </c>
      <c r="B56" s="57" t="n">
        <v>15</v>
      </c>
      <c r="C56" s="56" t="n">
        <v>386</v>
      </c>
      <c r="D56" s="25" t="n">
        <v>438</v>
      </c>
      <c r="E56" s="57" t="n">
        <v>616</v>
      </c>
      <c r="F56" s="58" t="n">
        <v>570</v>
      </c>
      <c r="G56" s="0" t="n">
        <v>550</v>
      </c>
      <c r="H56" s="59" t="n">
        <v>559</v>
      </c>
      <c r="I56" s="56" t="n">
        <v>479</v>
      </c>
      <c r="J56" s="0" t="n">
        <v>516</v>
      </c>
      <c r="K56" s="57" t="n">
        <v>502</v>
      </c>
      <c r="L56" s="56"/>
      <c r="M56" s="0" t="n">
        <v>434</v>
      </c>
      <c r="N56" s="57" t="n">
        <v>674</v>
      </c>
      <c r="O56" s="65" t="n">
        <f aca="false">IF(SUM(C56:E56)&gt;0,AVERAGE(C56:E56),"")</f>
        <v>480</v>
      </c>
      <c r="P56" s="66" t="n">
        <f aca="false">IF(SUM(C56:E56)&gt;0, ( IF(C56&gt;0,(C56-O56)^2,0) + IF(D56&gt;0,(D56-O56)^2,0) + IF(E56&gt;0,(E56-O56)^2,0) ) / COUNT(C56:E56),"")</f>
        <v>9698.66666666667</v>
      </c>
      <c r="Q56" s="63" t="n">
        <f aca="false">IF(SUM(C56:E56)&gt;0,SQRT(P56),"")</f>
        <v>98.4818088109</v>
      </c>
      <c r="R56" s="63" t="n">
        <f aca="false">IF(COUNT(C56:E56)&gt;0,VLOOKUP(COUNT(C56:E56),$AX$2:$AZ$5,3)*(Q56/SQRT(COUNT(C56:E56))),"")</f>
        <v>244.662120453676</v>
      </c>
      <c r="S56" s="63" t="n">
        <f aca="false">IF(COUNT(C56:E56)&gt;0,O56-R56,"")</f>
        <v>235.337879546324</v>
      </c>
      <c r="T56" s="63" t="n">
        <f aca="false">IF(COUNT(C56:E56)&gt;0,O56+R56,"")</f>
        <v>724.662120453676</v>
      </c>
      <c r="U56" s="64" t="n">
        <f aca="false">IF(COUNT(C56:E56)&gt;0,Q56/O56,"")</f>
        <v>0.205170435022708</v>
      </c>
      <c r="V56" s="65" t="n">
        <f aca="false">IF(SUM(F56:H56)&gt;0,AVERAGE(F56:H56),"")</f>
        <v>559.666666666667</v>
      </c>
      <c r="W56" s="66" t="n">
        <f aca="false">IF(SUM(F56:H56)&gt;0, ( IF(F56&gt;0,(F56-V56)^2,0) + IF(G56&gt;0,(G56-V56)^2,0) + IF(H56&gt;0,(H56-V56)^2,0) ) / COUNT(F56:H56),"")</f>
        <v>66.8888888888889</v>
      </c>
      <c r="X56" s="63" t="n">
        <f aca="false">IF(SUM(F56:H56)&gt;0,SQRT(W56),"")</f>
        <v>8.17856276425687</v>
      </c>
      <c r="Y56" s="63" t="n">
        <f aca="false">IF(COUNT(F56:H56)&gt;0,VLOOKUP(COUNT(F56:H56),$AX$2:$AZ$5,3)*(X56/SQRT(COUNT(F56:H56))),"")</f>
        <v>20.3183159644108</v>
      </c>
      <c r="Z56" s="63" t="n">
        <f aca="false">IF(COUNT(F56:H56)&gt;0,V56-Y56,"")</f>
        <v>539.348350702256</v>
      </c>
      <c r="AA56" s="63" t="n">
        <f aca="false">IF(COUNT(F56:H56)&gt;0,V56+Y56,"")</f>
        <v>579.984982631077</v>
      </c>
      <c r="AB56" s="64" t="n">
        <f aca="false">IF(COUNT(F56:H56)&gt;0,X56/V56,"")</f>
        <v>0.0146132747425674</v>
      </c>
      <c r="AC56" s="26"/>
      <c r="AD56" s="65" t="n">
        <f aca="false">IF(SUM(I56:K56)&gt;0,AVERAGE(I56:K56),"")</f>
        <v>499</v>
      </c>
      <c r="AE56" s="66" t="n">
        <f aca="false">IF(SUM(I56:K56)&gt;0, ( IF(I56&gt;0,(I56-AD56)^2,0) + IF(J56&gt;0,(J56-AD56)^2,0) + IF(K56&gt;0,(K56-AD56)^2,0) ) / COUNT(I56:K56),"")</f>
        <v>232.666666666667</v>
      </c>
      <c r="AF56" s="63" t="n">
        <f aca="false">IF(SUM(I56:K56)&gt;0,SQRT(AE56),"")</f>
        <v>15.2534149181967</v>
      </c>
      <c r="AG56" s="63" t="n">
        <f aca="false">IF(COUNT(I56:K56)&gt;0,VLOOKUP(COUNT(I56:K56),$AX$2:$AZ$5,3)*(AF56/SQRT(COUNT(I56:K56))),"")</f>
        <v>37.8946414886796</v>
      </c>
      <c r="AH56" s="63" t="n">
        <f aca="false">IF(COUNT(I56:K56)&gt;0,AD56-AG56,"")</f>
        <v>461.10535851132</v>
      </c>
      <c r="AI56" s="63" t="n">
        <f aca="false">IF(COUNT(I56:K56)&gt;0,AD56+AG56,"")</f>
        <v>536.89464148868</v>
      </c>
      <c r="AJ56" s="64" t="n">
        <f aca="false">IF(COUNT(I56:K56)&gt;0,AF56/AD56,"")</f>
        <v>0.0305679657679293</v>
      </c>
      <c r="AK56" s="65" t="n">
        <f aca="false">IF(SUM(L56:N56)&gt;0,AVERAGE(L56:N56),"")</f>
        <v>554</v>
      </c>
      <c r="AL56" s="66" t="n">
        <f aca="false">IF(SUM(L56:N56)&gt;0, ( IF(L56&gt;0,(L56-AK56)^2,0) + IF(M56&gt;0,(M56-AK56)^2,0) + IF(N56&gt;0,(N56-AK56)^2,0) ) / COUNT(L56:N56),"")</f>
        <v>14400</v>
      </c>
      <c r="AM56" s="63" t="n">
        <f aca="false">IF(SUM(L56:N56)&gt;0,SQRT(AL56),"")</f>
        <v>120</v>
      </c>
      <c r="AN56" s="63" t="n">
        <f aca="false">IF(COUNT(L56:N56)&gt;0,VLOOKUP(COUNT(L56:N56),$AX$2:$AZ$5,3)*(AM56/SQRT(COUNT(L56:N56))),"")</f>
        <v>1078.13985141075</v>
      </c>
      <c r="AO56" s="63" t="n">
        <f aca="false">IF(COUNT(L56:N56)&gt;0,AK56-AN56,"")</f>
        <v>-524.139851410753</v>
      </c>
      <c r="AP56" s="63" t="n">
        <f aca="false">IF(COUNT(L56:N56)&gt;0,AK56+AN56,"")</f>
        <v>1632.13985141075</v>
      </c>
      <c r="AQ56" s="64" t="n">
        <f aca="false">IF(COUNT(L56:N56)&gt;0,AM56/AK56,"")</f>
        <v>0.216606498194946</v>
      </c>
    </row>
    <row r="57" customFormat="false" ht="12.8" hidden="false" customHeight="false" outlineLevel="0" collapsed="false">
      <c r="A57" s="56" t="s">
        <v>37</v>
      </c>
      <c r="B57" s="57" t="n">
        <v>20</v>
      </c>
      <c r="C57" s="56" t="n">
        <v>340</v>
      </c>
      <c r="D57" s="25" t="n">
        <v>372</v>
      </c>
      <c r="E57" s="57" t="n">
        <v>648</v>
      </c>
      <c r="F57" s="58" t="n">
        <v>511</v>
      </c>
      <c r="G57" s="0" t="n">
        <v>578</v>
      </c>
      <c r="H57" s="59" t="n">
        <v>446</v>
      </c>
      <c r="I57" s="56" t="n">
        <v>443</v>
      </c>
      <c r="J57" s="0" t="n">
        <v>534</v>
      </c>
      <c r="K57" s="57" t="n">
        <v>323</v>
      </c>
      <c r="L57" s="56"/>
      <c r="M57" s="0" t="n">
        <v>372</v>
      </c>
      <c r="N57" s="57" t="n">
        <v>418</v>
      </c>
      <c r="O57" s="65" t="n">
        <f aca="false">IF(SUM(C57:E57)&gt;0,AVERAGE(C57:E57),"")</f>
        <v>453.333333333333</v>
      </c>
      <c r="P57" s="66" t="n">
        <f aca="false">IF(SUM(C57:E57)&gt;0, ( IF(C57&gt;0,(C57-O57)^2,0) + IF(D57&gt;0,(D57-O57)^2,0) + IF(E57&gt;0,(E57-O57)^2,0) ) / COUNT(C57:E57),"")</f>
        <v>19118.2222222222</v>
      </c>
      <c r="Q57" s="63" t="n">
        <f aca="false">IF(SUM(C57:E57)&gt;0,SQRT(P57),"")</f>
        <v>138.268659580623</v>
      </c>
      <c r="R57" s="63" t="n">
        <f aca="false">IF(COUNT(C57:E57)&gt;0,VLOOKUP(COUNT(C57:E57),$AX$2:$AZ$5,3)*(Q57/SQRT(COUNT(C57:E57))),"")</f>
        <v>343.506114009742</v>
      </c>
      <c r="S57" s="63" t="n">
        <f aca="false">IF(COUNT(C57:E57)&gt;0,O57-R57,"")</f>
        <v>109.827219323591</v>
      </c>
      <c r="T57" s="63" t="n">
        <f aca="false">IF(COUNT(C57:E57)&gt;0,O57+R57,"")</f>
        <v>796.839447343076</v>
      </c>
      <c r="U57" s="64" t="n">
        <f aca="false">IF(COUNT(C57:E57)&gt;0,Q57/O57,"")</f>
        <v>0.305004396133727</v>
      </c>
      <c r="V57" s="65" t="n">
        <f aca="false">IF(SUM(F57:H57)&gt;0,AVERAGE(F57:H57),"")</f>
        <v>511.666666666667</v>
      </c>
      <c r="W57" s="66" t="n">
        <f aca="false">IF(SUM(F57:H57)&gt;0, ( IF(F57&gt;0,(F57-V57)^2,0) + IF(G57&gt;0,(G57-V57)^2,0) + IF(H57&gt;0,(H57-V57)^2,0) ) / COUNT(F57:H57),"")</f>
        <v>2904.22222222222</v>
      </c>
      <c r="X57" s="63" t="n">
        <f aca="false">IF(SUM(F57:H57)&gt;0,SQRT(W57),"")</f>
        <v>53.8908361618395</v>
      </c>
      <c r="Y57" s="63" t="n">
        <f aca="false">IF(COUNT(F57:H57)&gt;0,VLOOKUP(COUNT(F57:H57),$AX$2:$AZ$5,3)*(X57/SQRT(COUNT(F57:H57))),"")</f>
        <v>133.88306335533</v>
      </c>
      <c r="Z57" s="63" t="n">
        <f aca="false">IF(COUNT(F57:H57)&gt;0,V57-Y57,"")</f>
        <v>377.783603311336</v>
      </c>
      <c r="AA57" s="63" t="n">
        <f aca="false">IF(COUNT(F57:H57)&gt;0,V57+Y57,"")</f>
        <v>645.549730021997</v>
      </c>
      <c r="AB57" s="64" t="n">
        <f aca="false">IF(COUNT(F57:H57)&gt;0,X57/V57,"")</f>
        <v>0.105324109762553</v>
      </c>
      <c r="AC57" s="26"/>
      <c r="AD57" s="65" t="n">
        <f aca="false">IF(SUM(I57:K57)&gt;0,AVERAGE(I57:K57),"")</f>
        <v>433.333333333333</v>
      </c>
      <c r="AE57" s="66" t="n">
        <f aca="false">IF(SUM(I57:K57)&gt;0, ( IF(I57&gt;0,(I57-AD57)^2,0) + IF(J57&gt;0,(J57-AD57)^2,0) + IF(K57&gt;0,(K57-AD57)^2,0) ) / COUNT(I57:K57),"")</f>
        <v>7466.88888888889</v>
      </c>
      <c r="AF57" s="63" t="n">
        <f aca="false">IF(SUM(I57:K57)&gt;0,SQRT(AE57),"")</f>
        <v>86.4111618304539</v>
      </c>
      <c r="AG57" s="63" t="n">
        <f aca="false">IF(COUNT(I57:K57)&gt;0,VLOOKUP(COUNT(I57:K57),$AX$2:$AZ$5,3)*(AF57/SQRT(COUNT(I57:K57))),"")</f>
        <v>214.674550960975</v>
      </c>
      <c r="AH57" s="63" t="n">
        <f aca="false">IF(COUNT(I57:K57)&gt;0,AD57-AG57,"")</f>
        <v>218.658782372358</v>
      </c>
      <c r="AI57" s="63" t="n">
        <f aca="false">IF(COUNT(I57:K57)&gt;0,AD57+AG57,"")</f>
        <v>648.007884294308</v>
      </c>
      <c r="AJ57" s="64" t="n">
        <f aca="false">IF(COUNT(I57:K57)&gt;0,AF57/AD57,"")</f>
        <v>0.199410373454894</v>
      </c>
      <c r="AK57" s="65" t="n">
        <f aca="false">IF(SUM(L57:N57)&gt;0,AVERAGE(L57:N57),"")</f>
        <v>395</v>
      </c>
      <c r="AL57" s="66" t="n">
        <f aca="false">IF(SUM(L57:N57)&gt;0, ( IF(L57&gt;0,(L57-AK57)^2,0) + IF(M57&gt;0,(M57-AK57)^2,0) + IF(N57&gt;0,(N57-AK57)^2,0) ) / COUNT(L57:N57),"")</f>
        <v>529</v>
      </c>
      <c r="AM57" s="63" t="n">
        <f aca="false">IF(SUM(L57:N57)&gt;0,SQRT(AL57),"")</f>
        <v>23</v>
      </c>
      <c r="AN57" s="63" t="n">
        <f aca="false">IF(COUNT(L57:N57)&gt;0,VLOOKUP(COUNT(L57:N57),$AX$2:$AZ$5,3)*(AM57/SQRT(COUNT(L57:N57))),"")</f>
        <v>206.643471520394</v>
      </c>
      <c r="AO57" s="63" t="n">
        <f aca="false">IF(COUNT(L57:N57)&gt;0,AK57-AN57,"")</f>
        <v>188.356528479606</v>
      </c>
      <c r="AP57" s="63" t="n">
        <f aca="false">IF(COUNT(L57:N57)&gt;0,AK57+AN57,"")</f>
        <v>601.643471520394</v>
      </c>
      <c r="AQ57" s="64" t="n">
        <f aca="false">IF(COUNT(L57:N57)&gt;0,AM57/AK57,"")</f>
        <v>0.0582278481012658</v>
      </c>
    </row>
    <row r="58" customFormat="false" ht="12.8" hidden="false" customHeight="false" outlineLevel="0" collapsed="false">
      <c r="A58" s="56" t="s">
        <v>37</v>
      </c>
      <c r="B58" s="57" t="n">
        <v>30</v>
      </c>
      <c r="C58" s="56" t="n">
        <v>282</v>
      </c>
      <c r="D58" s="25" t="n">
        <v>323</v>
      </c>
      <c r="E58" s="57" t="n">
        <v>358</v>
      </c>
      <c r="F58" s="58" t="n">
        <v>311</v>
      </c>
      <c r="G58" s="0" t="n">
        <v>346</v>
      </c>
      <c r="H58" s="59" t="n">
        <v>429</v>
      </c>
      <c r="I58" s="56" t="n">
        <v>369</v>
      </c>
      <c r="J58" s="0" t="n">
        <v>414</v>
      </c>
      <c r="K58" s="57" t="n">
        <v>269</v>
      </c>
      <c r="L58" s="56"/>
      <c r="M58" s="0" t="n">
        <v>348</v>
      </c>
      <c r="N58" s="57" t="n">
        <v>340</v>
      </c>
      <c r="O58" s="65" t="n">
        <f aca="false">IF(SUM(C58:E58)&gt;0,AVERAGE(C58:E58),"")</f>
        <v>321</v>
      </c>
      <c r="P58" s="66" t="n">
        <f aca="false">IF(SUM(C58:E58)&gt;0, ( IF(C58&gt;0,(C58-O58)^2,0) + IF(D58&gt;0,(D58-O58)^2,0) + IF(E58&gt;0,(E58-O58)^2,0) ) / COUNT(C58:E58),"")</f>
        <v>964.666666666667</v>
      </c>
      <c r="Q58" s="63" t="n">
        <f aca="false">IF(SUM(C58:E58)&gt;0,SQRT(P58),"")</f>
        <v>31.0590834807898</v>
      </c>
      <c r="R58" s="63" t="n">
        <f aca="false">IF(COUNT(C58:E58)&gt;0,VLOOKUP(COUNT(C58:E58),$AX$2:$AZ$5,3)*(Q58/SQRT(COUNT(C58:E58))),"")</f>
        <v>77.1612678068184</v>
      </c>
      <c r="S58" s="63" t="n">
        <f aca="false">IF(COUNT(C58:E58)&gt;0,O58-R58,"")</f>
        <v>243.838732193182</v>
      </c>
      <c r="T58" s="63" t="n">
        <f aca="false">IF(COUNT(C58:E58)&gt;0,O58+R58,"")</f>
        <v>398.161267806818</v>
      </c>
      <c r="U58" s="64" t="n">
        <f aca="false">IF(COUNT(C58:E58)&gt;0,Q58/O58,"")</f>
        <v>0.09675726941056</v>
      </c>
      <c r="V58" s="65" t="n">
        <f aca="false">IF(SUM(F58:H58)&gt;0,AVERAGE(F58:H58),"")</f>
        <v>362</v>
      </c>
      <c r="W58" s="66" t="n">
        <f aca="false">IF(SUM(F58:H58)&gt;0, ( IF(F58&gt;0,(F58-V58)^2,0) + IF(G58&gt;0,(G58-V58)^2,0) + IF(H58&gt;0,(H58-V58)^2,0) ) / COUNT(F58:H58),"")</f>
        <v>2448.66666666667</v>
      </c>
      <c r="X58" s="63" t="n">
        <f aca="false">IF(SUM(F58:H58)&gt;0,SQRT(W58),"")</f>
        <v>49.4840041494892</v>
      </c>
      <c r="Y58" s="63" t="n">
        <f aca="false">IF(COUNT(F58:H58)&gt;0,VLOOKUP(COUNT(F58:H58),$AX$2:$AZ$5,3)*(X58/SQRT(COUNT(F58:H58))),"")</f>
        <v>122.935002209388</v>
      </c>
      <c r="Z58" s="63" t="n">
        <f aca="false">IF(COUNT(F58:H58)&gt;0,V58-Y58,"")</f>
        <v>239.064997790612</v>
      </c>
      <c r="AA58" s="63" t="n">
        <f aca="false">IF(COUNT(F58:H58)&gt;0,V58+Y58,"")</f>
        <v>484.935002209388</v>
      </c>
      <c r="AB58" s="64" t="n">
        <f aca="false">IF(COUNT(F58:H58)&gt;0,X58/V58,"")</f>
        <v>0.136696144059363</v>
      </c>
      <c r="AC58" s="26"/>
      <c r="AD58" s="65" t="n">
        <f aca="false">IF(SUM(I58:K58)&gt;0,AVERAGE(I58:K58),"")</f>
        <v>350.666666666667</v>
      </c>
      <c r="AE58" s="66" t="n">
        <f aca="false">IF(SUM(I58:K58)&gt;0, ( IF(I58&gt;0,(I58-AD58)^2,0) + IF(J58&gt;0,(J58-AD58)^2,0) + IF(K58&gt;0,(K58-AD58)^2,0) ) / COUNT(I58:K58),"")</f>
        <v>3672.22222222222</v>
      </c>
      <c r="AF58" s="63" t="n">
        <f aca="false">IF(SUM(I58:K58)&gt;0,SQRT(AE58),"")</f>
        <v>60.5988632089928</v>
      </c>
      <c r="AG58" s="63" t="n">
        <f aca="false">IF(COUNT(I58:K58)&gt;0,VLOOKUP(COUNT(I58:K58),$AX$2:$AZ$5,3)*(AF58/SQRT(COUNT(I58:K58))),"")</f>
        <v>150.548071251037</v>
      </c>
      <c r="AH58" s="63" t="n">
        <f aca="false">IF(COUNT(I58:K58)&gt;0,AD58-AG58,"")</f>
        <v>200.118595415629</v>
      </c>
      <c r="AI58" s="63" t="n">
        <f aca="false">IF(COUNT(I58:K58)&gt;0,AD58+AG58,"")</f>
        <v>501.214737917704</v>
      </c>
      <c r="AJ58" s="64" t="n">
        <f aca="false">IF(COUNT(I58:K58)&gt;0,AF58/AD58,"")</f>
        <v>0.172810446413478</v>
      </c>
      <c r="AK58" s="65" t="n">
        <f aca="false">IF(SUM(L58:N58)&gt;0,AVERAGE(L58:N58),"")</f>
        <v>344</v>
      </c>
      <c r="AL58" s="66" t="n">
        <f aca="false">IF(SUM(L58:N58)&gt;0, ( IF(L58&gt;0,(L58-AK58)^2,0) + IF(M58&gt;0,(M58-AK58)^2,0) + IF(N58&gt;0,(N58-AK58)^2,0) ) / COUNT(L58:N58),"")</f>
        <v>16</v>
      </c>
      <c r="AM58" s="63" t="n">
        <f aca="false">IF(SUM(L58:N58)&gt;0,SQRT(AL58),"")</f>
        <v>4</v>
      </c>
      <c r="AN58" s="63" t="n">
        <f aca="false">IF(COUNT(L58:N58)&gt;0,VLOOKUP(COUNT(L58:N58),$AX$2:$AZ$5,3)*(AM58/SQRT(COUNT(L58:N58))),"")</f>
        <v>35.9379950470251</v>
      </c>
      <c r="AO58" s="63" t="n">
        <f aca="false">IF(COUNT(L58:N58)&gt;0,AK58-AN58,"")</f>
        <v>308.062004952975</v>
      </c>
      <c r="AP58" s="63" t="n">
        <f aca="false">IF(COUNT(L58:N58)&gt;0,AK58+AN58,"")</f>
        <v>379.937995047025</v>
      </c>
      <c r="AQ58" s="64" t="n">
        <f aca="false">IF(COUNT(L58:N58)&gt;0,AM58/AK58,"")</f>
        <v>0.0116279069767442</v>
      </c>
    </row>
    <row r="59" customFormat="false" ht="12.8" hidden="false" customHeight="false" outlineLevel="0" collapsed="false">
      <c r="A59" s="56" t="s">
        <v>37</v>
      </c>
      <c r="B59" s="57" t="n">
        <v>40</v>
      </c>
      <c r="C59" s="56" t="n">
        <v>226</v>
      </c>
      <c r="D59" s="25" t="n">
        <v>283</v>
      </c>
      <c r="E59" s="57" t="n">
        <v>241</v>
      </c>
      <c r="F59" s="58" t="n">
        <v>268</v>
      </c>
      <c r="G59" s="0" t="n">
        <v>282</v>
      </c>
      <c r="H59" s="59" t="n">
        <v>296</v>
      </c>
      <c r="I59" s="56" t="n">
        <v>263</v>
      </c>
      <c r="J59" s="0" t="n">
        <v>410</v>
      </c>
      <c r="K59" s="57" t="n">
        <v>249</v>
      </c>
      <c r="L59" s="56"/>
      <c r="M59" s="0" t="n">
        <v>329</v>
      </c>
      <c r="N59" s="57" t="n">
        <v>364</v>
      </c>
      <c r="O59" s="65" t="n">
        <f aca="false">IF(SUM(C59:E59)&gt;0,AVERAGE(C59:E59),"")</f>
        <v>250</v>
      </c>
      <c r="P59" s="66" t="n">
        <f aca="false">IF(SUM(C59:E59)&gt;0, ( IF(C59&gt;0,(C59-O59)^2,0) + IF(D59&gt;0,(D59-O59)^2,0) + IF(E59&gt;0,(E59-O59)^2,0) ) / COUNT(C59:E59),"")</f>
        <v>582</v>
      </c>
      <c r="Q59" s="63" t="n">
        <f aca="false">IF(SUM(C59:E59)&gt;0,SQRT(P59),"")</f>
        <v>24.1246761636296</v>
      </c>
      <c r="R59" s="63" t="n">
        <f aca="false">IF(COUNT(C59:E59)&gt;0,VLOOKUP(COUNT(C59:E59),$AX$2:$AZ$5,3)*(Q59/SQRT(COUNT(C59:E59))),"")</f>
        <v>59.9338547567233</v>
      </c>
      <c r="S59" s="63" t="n">
        <f aca="false">IF(COUNT(C59:E59)&gt;0,O59-R59,"")</f>
        <v>190.066145243277</v>
      </c>
      <c r="T59" s="63" t="n">
        <f aca="false">IF(COUNT(C59:E59)&gt;0,O59+R59,"")</f>
        <v>309.933854756723</v>
      </c>
      <c r="U59" s="64" t="n">
        <f aca="false">IF(COUNT(C59:E59)&gt;0,Q59/O59,"")</f>
        <v>0.0964987046545185</v>
      </c>
      <c r="V59" s="65" t="n">
        <f aca="false">IF(SUM(F59:H59)&gt;0,AVERAGE(F59:H59),"")</f>
        <v>282</v>
      </c>
      <c r="W59" s="66" t="n">
        <f aca="false">IF(SUM(F59:H59)&gt;0, ( IF(F59&gt;0,(F59-V59)^2,0) + IF(G59&gt;0,(G59-V59)^2,0) + IF(H59&gt;0,(H59-V59)^2,0) ) / COUNT(F59:H59),"")</f>
        <v>130.666666666667</v>
      </c>
      <c r="X59" s="63" t="n">
        <f aca="false">IF(SUM(F59:H59)&gt;0,SQRT(W59),"")</f>
        <v>11.4309521329882</v>
      </c>
      <c r="Y59" s="63" t="n">
        <f aca="false">IF(COUNT(F59:H59)&gt;0,VLOOKUP(COUNT(F59:H59),$AX$2:$AZ$5,3)*(X59/SQRT(COUNT(F59:H59))),"")</f>
        <v>28.3983511414933</v>
      </c>
      <c r="Z59" s="63" t="n">
        <f aca="false">IF(COUNT(F59:H59)&gt;0,V59-Y59,"")</f>
        <v>253.601648858507</v>
      </c>
      <c r="AA59" s="63" t="n">
        <f aca="false">IF(COUNT(F59:H59)&gt;0,V59+Y59,"")</f>
        <v>310.398351141493</v>
      </c>
      <c r="AB59" s="64" t="n">
        <f aca="false">IF(COUNT(F59:H59)&gt;0,X59/V59,"")</f>
        <v>0.0405352912517311</v>
      </c>
      <c r="AC59" s="26"/>
      <c r="AD59" s="65" t="n">
        <f aca="false">IF(SUM(I59:K59)&gt;0,AVERAGE(I59:K59),"")</f>
        <v>307.333333333333</v>
      </c>
      <c r="AE59" s="66" t="n">
        <f aca="false">IF(SUM(I59:K59)&gt;0, ( IF(I59&gt;0,(I59-AD59)^2,0) + IF(J59&gt;0,(J59-AD59)^2,0) + IF(K59&gt;0,(K59-AD59)^2,0) ) / COUNT(I59:K59),"")</f>
        <v>5302.88888888889</v>
      </c>
      <c r="AF59" s="63" t="n">
        <f aca="false">IF(SUM(I59:K59)&gt;0,SQRT(AE59),"")</f>
        <v>72.8209371601938</v>
      </c>
      <c r="AG59" s="63" t="n">
        <f aca="false">IF(COUNT(I59:K59)&gt;0,VLOOKUP(COUNT(I59:K59),$AX$2:$AZ$5,3)*(AF59/SQRT(COUNT(I59:K59))),"")</f>
        <v>180.911836552955</v>
      </c>
      <c r="AH59" s="63" t="n">
        <f aca="false">IF(COUNT(I59:K59)&gt;0,AD59-AG59,"")</f>
        <v>126.421496780379</v>
      </c>
      <c r="AI59" s="63" t="n">
        <f aca="false">IF(COUNT(I59:K59)&gt;0,AD59+AG59,"")</f>
        <v>488.245169886288</v>
      </c>
      <c r="AJ59" s="64" t="n">
        <f aca="false">IF(COUNT(I59:K59)&gt;0,AF59/AD59,"")</f>
        <v>0.236944480998461</v>
      </c>
      <c r="AK59" s="65" t="n">
        <f aca="false">IF(SUM(L59:N59)&gt;0,AVERAGE(L59:N59),"")</f>
        <v>346.5</v>
      </c>
      <c r="AL59" s="66" t="n">
        <f aca="false">IF(SUM(L59:N59)&gt;0, ( IF(L59&gt;0,(L59-AK59)^2,0) + IF(M59&gt;0,(M59-AK59)^2,0) + IF(N59&gt;0,(N59-AK59)^2,0) ) / COUNT(L59:N59),"")</f>
        <v>306.25</v>
      </c>
      <c r="AM59" s="63" t="n">
        <f aca="false">IF(SUM(L59:N59)&gt;0,SQRT(AL59),"")</f>
        <v>17.5</v>
      </c>
      <c r="AN59" s="63" t="n">
        <f aca="false">IF(COUNT(L59:N59)&gt;0,VLOOKUP(COUNT(L59:N59),$AX$2:$AZ$5,3)*(AM59/SQRT(COUNT(L59:N59))),"")</f>
        <v>157.228728330735</v>
      </c>
      <c r="AO59" s="63" t="n">
        <f aca="false">IF(COUNT(L59:N59)&gt;0,AK59-AN59,"")</f>
        <v>189.271271669265</v>
      </c>
      <c r="AP59" s="63" t="n">
        <f aca="false">IF(COUNT(L59:N59)&gt;0,AK59+AN59,"")</f>
        <v>503.728728330735</v>
      </c>
      <c r="AQ59" s="64" t="n">
        <f aca="false">IF(COUNT(L59:N59)&gt;0,AM59/AK59,"")</f>
        <v>0.0505050505050505</v>
      </c>
    </row>
    <row r="60" customFormat="false" ht="12.8" hidden="false" customHeight="false" outlineLevel="0" collapsed="false">
      <c r="A60" s="56" t="s">
        <v>37</v>
      </c>
      <c r="B60" s="57" t="n">
        <v>50</v>
      </c>
      <c r="C60" s="56" t="n">
        <v>195</v>
      </c>
      <c r="D60" s="25" t="n">
        <v>249</v>
      </c>
      <c r="E60" s="57" t="n">
        <v>242</v>
      </c>
      <c r="F60" s="58" t="n">
        <v>252</v>
      </c>
      <c r="G60" s="0" t="n">
        <v>341</v>
      </c>
      <c r="H60" s="59" t="n">
        <v>256</v>
      </c>
      <c r="I60" s="56" t="n">
        <v>245</v>
      </c>
      <c r="J60" s="0" t="n">
        <v>272</v>
      </c>
      <c r="K60" s="57" t="n">
        <v>215</v>
      </c>
      <c r="L60" s="56"/>
      <c r="M60" s="0" t="n">
        <v>241</v>
      </c>
      <c r="N60" s="57" t="n">
        <v>253</v>
      </c>
      <c r="O60" s="65" t="n">
        <f aca="false">IF(SUM(C60:E60)&gt;0,AVERAGE(C60:E60),"")</f>
        <v>228.666666666667</v>
      </c>
      <c r="P60" s="66" t="n">
        <f aca="false">IF(SUM(C60:E60)&gt;0, ( IF(C60&gt;0,(C60-O60)^2,0) + IF(D60&gt;0,(D60-O60)^2,0) + IF(E60&gt;0,(E60-O60)^2,0) ) / COUNT(C60:E60),"")</f>
        <v>574.888888888889</v>
      </c>
      <c r="Q60" s="63" t="n">
        <f aca="false">IF(SUM(C60:E60)&gt;0,SQRT(P60),"")</f>
        <v>23.9768406778059</v>
      </c>
      <c r="R60" s="63" t="n">
        <f aca="false">IF(COUNT(C60:E60)&gt;0,VLOOKUP(COUNT(C60:E60),$AX$2:$AZ$5,3)*(Q60/SQRT(COUNT(C60:E60))),"")</f>
        <v>59.5665814107454</v>
      </c>
      <c r="S60" s="63" t="n">
        <f aca="false">IF(COUNT(C60:E60)&gt;0,O60-R60,"")</f>
        <v>169.100085255921</v>
      </c>
      <c r="T60" s="63" t="n">
        <f aca="false">IF(COUNT(C60:E60)&gt;0,O60+R60,"")</f>
        <v>288.233248077412</v>
      </c>
      <c r="U60" s="64" t="n">
        <f aca="false">IF(COUNT(C60:E60)&gt;0,Q60/O60,"")</f>
        <v>0.104854988386906</v>
      </c>
      <c r="V60" s="65" t="n">
        <f aca="false">IF(SUM(F60:H60)&gt;0,AVERAGE(F60:H60),"")</f>
        <v>283</v>
      </c>
      <c r="W60" s="66" t="n">
        <f aca="false">IF(SUM(F60:H60)&gt;0, ( IF(F60&gt;0,(F60-V60)^2,0) + IF(G60&gt;0,(G60-V60)^2,0) + IF(H60&gt;0,(H60-V60)^2,0) ) / COUNT(F60:H60),"")</f>
        <v>1684.66666666667</v>
      </c>
      <c r="X60" s="63" t="n">
        <f aca="false">IF(SUM(F60:H60)&gt;0,SQRT(W60),"")</f>
        <v>41.0446910899165</v>
      </c>
      <c r="Y60" s="63" t="n">
        <f aca="false">IF(COUNT(F60:H60)&gt;0,VLOOKUP(COUNT(F60:H60),$AX$2:$AZ$5,3)*(X60/SQRT(COUNT(F60:H60))),"")</f>
        <v>101.968894323492</v>
      </c>
      <c r="Z60" s="63" t="n">
        <f aca="false">IF(COUNT(F60:H60)&gt;0,V60-Y60,"")</f>
        <v>181.031105676508</v>
      </c>
      <c r="AA60" s="63" t="n">
        <f aca="false">IF(COUNT(F60:H60)&gt;0,V60+Y60,"")</f>
        <v>384.968894323492</v>
      </c>
      <c r="AB60" s="64" t="n">
        <f aca="false">IF(COUNT(F60:H60)&gt;0,X60/V60,"")</f>
        <v>0.14503424413398</v>
      </c>
      <c r="AC60" s="26"/>
      <c r="AD60" s="65" t="n">
        <f aca="false">IF(SUM(I60:K60)&gt;0,AVERAGE(I60:K60),"")</f>
        <v>244</v>
      </c>
      <c r="AE60" s="66" t="n">
        <f aca="false">IF(SUM(I60:K60)&gt;0, ( IF(I60&gt;0,(I60-AD60)^2,0) + IF(J60&gt;0,(J60-AD60)^2,0) + IF(K60&gt;0,(K60-AD60)^2,0) ) / COUNT(I60:K60),"")</f>
        <v>542</v>
      </c>
      <c r="AF60" s="63" t="n">
        <f aca="false">IF(SUM(I60:K60)&gt;0,SQRT(AE60),"")</f>
        <v>23.2808934536456</v>
      </c>
      <c r="AG60" s="63" t="n">
        <f aca="false">IF(COUNT(I60:K60)&gt;0,VLOOKUP(COUNT(I60:K60),$AX$2:$AZ$5,3)*(AF60/SQRT(COUNT(I60:K60))),"")</f>
        <v>57.8376131307877</v>
      </c>
      <c r="AH60" s="63" t="n">
        <f aca="false">IF(COUNT(I60:K60)&gt;0,AD60-AG60,"")</f>
        <v>186.162386869212</v>
      </c>
      <c r="AI60" s="63" t="n">
        <f aca="false">IF(COUNT(I60:K60)&gt;0,AD60+AG60,"")</f>
        <v>301.837613130788</v>
      </c>
      <c r="AJ60" s="64" t="n">
        <f aca="false">IF(COUNT(I60:K60)&gt;0,AF60/AD60,"")</f>
        <v>0.0954134977608428</v>
      </c>
      <c r="AK60" s="65" t="n">
        <f aca="false">IF(SUM(L60:N60)&gt;0,AVERAGE(L60:N60),"")</f>
        <v>247</v>
      </c>
      <c r="AL60" s="66" t="n">
        <f aca="false">IF(SUM(L60:N60)&gt;0, ( IF(L60&gt;0,(L60-AK60)^2,0) + IF(M60&gt;0,(M60-AK60)^2,0) + IF(N60&gt;0,(N60-AK60)^2,0) ) / COUNT(L60:N60),"")</f>
        <v>36</v>
      </c>
      <c r="AM60" s="63" t="n">
        <f aca="false">IF(SUM(L60:N60)&gt;0,SQRT(AL60),"")</f>
        <v>6</v>
      </c>
      <c r="AN60" s="63" t="n">
        <f aca="false">IF(COUNT(L60:N60)&gt;0,VLOOKUP(COUNT(L60:N60),$AX$2:$AZ$5,3)*(AM60/SQRT(COUNT(L60:N60))),"")</f>
        <v>53.9069925705376</v>
      </c>
      <c r="AO60" s="63" t="n">
        <f aca="false">IF(COUNT(L60:N60)&gt;0,AK60-AN60,"")</f>
        <v>193.093007429462</v>
      </c>
      <c r="AP60" s="63" t="n">
        <f aca="false">IF(COUNT(L60:N60)&gt;0,AK60+AN60,"")</f>
        <v>300.906992570538</v>
      </c>
      <c r="AQ60" s="64" t="n">
        <f aca="false">IF(COUNT(L60:N60)&gt;0,AM60/AK60,"")</f>
        <v>0.0242914979757085</v>
      </c>
    </row>
    <row r="61" customFormat="false" ht="12.8" hidden="false" customHeight="false" outlineLevel="0" collapsed="false">
      <c r="A61" s="56" t="s">
        <v>37</v>
      </c>
      <c r="B61" s="57" t="n">
        <v>64</v>
      </c>
      <c r="C61" s="56" t="n">
        <v>609</v>
      </c>
      <c r="D61" s="25" t="n">
        <v>199</v>
      </c>
      <c r="E61" s="57" t="n">
        <v>191</v>
      </c>
      <c r="F61" s="58" t="n">
        <v>322</v>
      </c>
      <c r="G61" s="0" t="n">
        <v>224</v>
      </c>
      <c r="H61" s="59" t="n">
        <v>220</v>
      </c>
      <c r="I61" s="56" t="n">
        <v>190</v>
      </c>
      <c r="J61" s="0" t="n">
        <v>188</v>
      </c>
      <c r="K61" s="57" t="n">
        <v>203</v>
      </c>
      <c r="L61" s="56"/>
      <c r="M61" s="0" t="n">
        <v>212</v>
      </c>
      <c r="N61" s="57" t="n">
        <v>233</v>
      </c>
      <c r="O61" s="65" t="n">
        <f aca="false">IF(SUM(C61:E61)&gt;0,AVERAGE(C61:E61),"")</f>
        <v>333</v>
      </c>
      <c r="P61" s="66" t="n">
        <f aca="false">IF(SUM(C61:E61)&gt;0, ( IF(C61&gt;0,(C61-O61)^2,0) + IF(D61&gt;0,(D61-O61)^2,0) + IF(E61&gt;0,(E61-O61)^2,0) ) / COUNT(C61:E61),"")</f>
        <v>38098.6666666667</v>
      </c>
      <c r="Q61" s="63" t="n">
        <f aca="false">IF(SUM(C61:E61)&gt;0,SQRT(P61),"")</f>
        <v>195.188797492752</v>
      </c>
      <c r="R61" s="63" t="n">
        <f aca="false">IF(COUNT(C61:E61)&gt;0,VLOOKUP(COUNT(C61:E61),$AX$2:$AZ$5,3)*(Q61/SQRT(COUNT(C61:E61))),"")</f>
        <v>484.914987447857</v>
      </c>
      <c r="S61" s="63" t="n">
        <f aca="false">IF(COUNT(C61:E61)&gt;0,O61-R61,"")</f>
        <v>-151.914987447857</v>
      </c>
      <c r="T61" s="63" t="n">
        <f aca="false">IF(COUNT(C61:E61)&gt;0,O61+R61,"")</f>
        <v>817.914987447857</v>
      </c>
      <c r="U61" s="64" t="n">
        <f aca="false">IF(COUNT(C61:E61)&gt;0,Q61/O61,"")</f>
        <v>0.58615254502328</v>
      </c>
      <c r="V61" s="65" t="n">
        <f aca="false">IF(SUM(F61:H61)&gt;0,AVERAGE(F61:H61),"")</f>
        <v>255.333333333333</v>
      </c>
      <c r="W61" s="66" t="n">
        <f aca="false">IF(SUM(F61:H61)&gt;0, ( IF(F61&gt;0,(F61-V61)^2,0) + IF(G61&gt;0,(G61-V61)^2,0) + IF(H61&gt;0,(H61-V61)^2,0) ) / COUNT(F61:H61),"")</f>
        <v>2224.88888888889</v>
      </c>
      <c r="X61" s="63" t="n">
        <f aca="false">IF(SUM(F61:H61)&gt;0,SQRT(W61),"")</f>
        <v>47.1687278701566</v>
      </c>
      <c r="Y61" s="63" t="n">
        <f aca="false">IF(COUNT(F61:H61)&gt;0,VLOOKUP(COUNT(F61:H61),$AX$2:$AZ$5,3)*(X61/SQRT(COUNT(F61:H61))),"")</f>
        <v>117.183072885818</v>
      </c>
      <c r="Z61" s="63" t="n">
        <f aca="false">IF(COUNT(F61:H61)&gt;0,V61-Y61,"")</f>
        <v>138.150260447515</v>
      </c>
      <c r="AA61" s="63" t="n">
        <f aca="false">IF(COUNT(F61:H61)&gt;0,V61+Y61,"")</f>
        <v>372.516406219151</v>
      </c>
      <c r="AB61" s="64" t="n">
        <f aca="false">IF(COUNT(F61:H61)&gt;0,X61/V61,"")</f>
        <v>0.184733921162493</v>
      </c>
      <c r="AC61" s="26"/>
      <c r="AD61" s="65" t="n">
        <f aca="false">IF(SUM(I61:K61)&gt;0,AVERAGE(I61:K61),"")</f>
        <v>193.666666666667</v>
      </c>
      <c r="AE61" s="66" t="n">
        <f aca="false">IF(SUM(I61:K61)&gt;0, ( IF(I61&gt;0,(I61-AD61)^2,0) + IF(J61&gt;0,(J61-AD61)^2,0) + IF(K61&gt;0,(K61-AD61)^2,0) ) / COUNT(I61:K61),"")</f>
        <v>44.2222222222222</v>
      </c>
      <c r="AF61" s="63" t="n">
        <f aca="false">IF(SUM(I61:K61)&gt;0,SQRT(AE61),"")</f>
        <v>6.64997911442</v>
      </c>
      <c r="AG61" s="63" t="n">
        <f aca="false">IF(COUNT(I61:K61)&gt;0,VLOOKUP(COUNT(I61:K61),$AX$2:$AZ$5,3)*(AF61/SQRT(COUNT(I61:K61))),"")</f>
        <v>16.5207971985033</v>
      </c>
      <c r="AH61" s="63" t="n">
        <f aca="false">IF(COUNT(I61:K61)&gt;0,AD61-AG61,"")</f>
        <v>177.145869468163</v>
      </c>
      <c r="AI61" s="63" t="n">
        <f aca="false">IF(COUNT(I61:K61)&gt;0,AD61+AG61,"")</f>
        <v>210.18746386517</v>
      </c>
      <c r="AJ61" s="64" t="n">
        <f aca="false">IF(COUNT(I61:K61)&gt;0,AF61/AD61,"")</f>
        <v>0.0343372415546644</v>
      </c>
      <c r="AK61" s="65" t="n">
        <f aca="false">IF(SUM(L61:N61)&gt;0,AVERAGE(L61:N61),"")</f>
        <v>222.5</v>
      </c>
      <c r="AL61" s="66" t="n">
        <f aca="false">IF(SUM(L61:N61)&gt;0, ( IF(L61&gt;0,(L61-AK61)^2,0) + IF(M61&gt;0,(M61-AK61)^2,0) + IF(N61&gt;0,(N61-AK61)^2,0) ) / COUNT(L61:N61),"")</f>
        <v>110.25</v>
      </c>
      <c r="AM61" s="63" t="n">
        <f aca="false">IF(SUM(L61:N61)&gt;0,SQRT(AL61),"")</f>
        <v>10.5</v>
      </c>
      <c r="AN61" s="63" t="n">
        <f aca="false">IF(COUNT(L61:N61)&gt;0,VLOOKUP(COUNT(L61:N61),$AX$2:$AZ$5,3)*(AM61/SQRT(COUNT(L61:N61))),"")</f>
        <v>94.3372369984409</v>
      </c>
      <c r="AO61" s="63" t="n">
        <f aca="false">IF(COUNT(L61:N61)&gt;0,AK61-AN61,"")</f>
        <v>128.162763001559</v>
      </c>
      <c r="AP61" s="63" t="n">
        <f aca="false">IF(COUNT(L61:N61)&gt;0,AK61+AN61,"")</f>
        <v>316.837236998441</v>
      </c>
      <c r="AQ61" s="64" t="n">
        <f aca="false">IF(COUNT(L61:N61)&gt;0,AM61/AK61,"")</f>
        <v>0.0471910112359551</v>
      </c>
    </row>
    <row r="62" customFormat="false" ht="12.8" hidden="false" customHeight="false" outlineLevel="0" collapsed="false">
      <c r="A62" s="56" t="s">
        <v>37</v>
      </c>
      <c r="B62" s="57" t="n">
        <v>82</v>
      </c>
      <c r="C62" s="56" t="n">
        <v>570</v>
      </c>
      <c r="D62" s="25" t="n">
        <v>188</v>
      </c>
      <c r="E62" s="57" t="n">
        <v>168</v>
      </c>
      <c r="F62" s="58" t="n">
        <v>202</v>
      </c>
      <c r="G62" s="0" t="n">
        <v>188</v>
      </c>
      <c r="H62" s="59" t="n">
        <v>190</v>
      </c>
      <c r="I62" s="56" t="n">
        <v>176</v>
      </c>
      <c r="J62" s="0" t="n">
        <v>187</v>
      </c>
      <c r="K62" s="57" t="n">
        <v>170</v>
      </c>
      <c r="L62" s="56"/>
      <c r="M62" s="0" t="n">
        <v>177</v>
      </c>
      <c r="N62" s="57" t="n">
        <v>165</v>
      </c>
      <c r="O62" s="65" t="n">
        <f aca="false">IF(SUM(C62:E62)&gt;0,AVERAGE(C62:E62),"")</f>
        <v>308.666666666667</v>
      </c>
      <c r="P62" s="66" t="n">
        <f aca="false">IF(SUM(C62:E62)&gt;0, ( IF(C62&gt;0,(C62-O62)^2,0) + IF(D62&gt;0,(D62-O62)^2,0) + IF(E62&gt;0,(E62-O62)^2,0) ) / COUNT(C62:E62),"")</f>
        <v>34214.2222222222</v>
      </c>
      <c r="Q62" s="63" t="n">
        <f aca="false">IF(SUM(C62:E62)&gt;0,SQRT(P62),"")</f>
        <v>184.97086857725</v>
      </c>
      <c r="R62" s="63" t="n">
        <f aca="false">IF(COUNT(C62:E62)&gt;0,VLOOKUP(COUNT(C62:E62),$AX$2:$AZ$5,3)*(Q62/SQRT(COUNT(C62:E62))),"")</f>
        <v>459.530196233146</v>
      </c>
      <c r="S62" s="63" t="n">
        <f aca="false">IF(COUNT(C62:E62)&gt;0,O62-R62,"")</f>
        <v>-150.86352956648</v>
      </c>
      <c r="T62" s="63" t="n">
        <f aca="false">IF(COUNT(C62:E62)&gt;0,O62+R62,"")</f>
        <v>768.196862899813</v>
      </c>
      <c r="U62" s="64" t="n">
        <f aca="false">IF(COUNT(C62:E62)&gt;0,Q62/O62,"")</f>
        <v>0.599257673576403</v>
      </c>
      <c r="V62" s="65" t="n">
        <f aca="false">IF(SUM(F62:H62)&gt;0,AVERAGE(F62:H62),"")</f>
        <v>193.333333333333</v>
      </c>
      <c r="W62" s="66" t="n">
        <f aca="false">IF(SUM(F62:H62)&gt;0, ( IF(F62&gt;0,(F62-V62)^2,0) + IF(G62&gt;0,(G62-V62)^2,0) + IF(H62&gt;0,(H62-V62)^2,0) ) / COUNT(F62:H62),"")</f>
        <v>38.2222222222222</v>
      </c>
      <c r="X62" s="63" t="n">
        <f aca="false">IF(SUM(F62:H62)&gt;0,SQRT(W62),"")</f>
        <v>6.18241233033047</v>
      </c>
      <c r="Y62" s="63" t="n">
        <f aca="false">IF(COUNT(F62:H62)&gt;0,VLOOKUP(COUNT(F62:H62),$AX$2:$AZ$5,3)*(X62/SQRT(COUNT(F62:H62))),"")</f>
        <v>15.359203171847</v>
      </c>
      <c r="Z62" s="63" t="n">
        <f aca="false">IF(COUNT(F62:H62)&gt;0,V62-Y62,"")</f>
        <v>177.974130161486</v>
      </c>
      <c r="AA62" s="63" t="n">
        <f aca="false">IF(COUNT(F62:H62)&gt;0,V62+Y62,"")</f>
        <v>208.69253650518</v>
      </c>
      <c r="AB62" s="64" t="n">
        <f aca="false">IF(COUNT(F62:H62)&gt;0,X62/V62,"")</f>
        <v>0.0319779948120542</v>
      </c>
      <c r="AC62" s="26"/>
      <c r="AD62" s="65" t="n">
        <f aca="false">IF(SUM(I62:K62)&gt;0,AVERAGE(I62:K62),"")</f>
        <v>177.666666666667</v>
      </c>
      <c r="AE62" s="66" t="n">
        <f aca="false">IF(SUM(I62:K62)&gt;0, ( IF(I62&gt;0,(I62-AD62)^2,0) + IF(J62&gt;0,(J62-AD62)^2,0) + IF(K62&gt;0,(K62-AD62)^2,0) ) / COUNT(I62:K62),"")</f>
        <v>49.5555555555556</v>
      </c>
      <c r="AF62" s="63" t="n">
        <f aca="false">IF(SUM(I62:K62)&gt;0,SQRT(AE62),"")</f>
        <v>7.03957069398096</v>
      </c>
      <c r="AG62" s="63" t="n">
        <f aca="false">IF(COUNT(I62:K62)&gt;0,VLOOKUP(COUNT(I62:K62),$AX$2:$AZ$5,3)*(AF62/SQRT(COUNT(I62:K62))),"")</f>
        <v>17.4886744452475</v>
      </c>
      <c r="AH62" s="63" t="n">
        <f aca="false">IF(COUNT(I62:K62)&gt;0,AD62-AG62,"")</f>
        <v>160.177992221419</v>
      </c>
      <c r="AI62" s="63" t="n">
        <f aca="false">IF(COUNT(I62:K62)&gt;0,AD62+AG62,"")</f>
        <v>195.155341111914</v>
      </c>
      <c r="AJ62" s="64" t="n">
        <f aca="false">IF(COUNT(I62:K62)&gt;0,AF62/AD62,"")</f>
        <v>0.039622349121844</v>
      </c>
      <c r="AK62" s="65" t="n">
        <f aca="false">IF(SUM(L62:N62)&gt;0,AVERAGE(L62:N62),"")</f>
        <v>171</v>
      </c>
      <c r="AL62" s="66" t="n">
        <f aca="false">IF(SUM(L62:N62)&gt;0, ( IF(L62&gt;0,(L62-AK62)^2,0) + IF(M62&gt;0,(M62-AK62)^2,0) + IF(N62&gt;0,(N62-AK62)^2,0) ) / COUNT(L62:N62),"")</f>
        <v>36</v>
      </c>
      <c r="AM62" s="63" t="n">
        <f aca="false">IF(SUM(L62:N62)&gt;0,SQRT(AL62),"")</f>
        <v>6</v>
      </c>
      <c r="AN62" s="63" t="n">
        <f aca="false">IF(COUNT(L62:N62)&gt;0,VLOOKUP(COUNT(L62:N62),$AX$2:$AZ$5,3)*(AM62/SQRT(COUNT(L62:N62))),"")</f>
        <v>53.9069925705376</v>
      </c>
      <c r="AO62" s="63" t="n">
        <f aca="false">IF(COUNT(L62:N62)&gt;0,AK62-AN62,"")</f>
        <v>117.093007429462</v>
      </c>
      <c r="AP62" s="63" t="n">
        <f aca="false">IF(COUNT(L62:N62)&gt;0,AK62+AN62,"")</f>
        <v>224.906992570538</v>
      </c>
      <c r="AQ62" s="64" t="n">
        <f aca="false">IF(COUNT(L62:N62)&gt;0,AM62/AK62,"")</f>
        <v>0.0350877192982456</v>
      </c>
    </row>
    <row r="63" customFormat="false" ht="12.8" hidden="false" customHeight="false" outlineLevel="0" collapsed="false">
      <c r="A63" s="56" t="s">
        <v>37</v>
      </c>
      <c r="B63" s="57" t="n">
        <v>100</v>
      </c>
      <c r="C63" s="56" t="n">
        <v>386</v>
      </c>
      <c r="D63" s="25" t="n">
        <v>172</v>
      </c>
      <c r="E63" s="57" t="n">
        <v>154</v>
      </c>
      <c r="F63" s="58" t="n">
        <v>149</v>
      </c>
      <c r="G63" s="0" t="n">
        <v>170</v>
      </c>
      <c r="H63" s="59" t="n">
        <v>166</v>
      </c>
      <c r="I63" s="56" t="n">
        <v>168</v>
      </c>
      <c r="J63" s="0" t="n">
        <v>173</v>
      </c>
      <c r="K63" s="57" t="n">
        <v>504</v>
      </c>
      <c r="L63" s="56"/>
      <c r="M63" s="0" t="n">
        <v>165</v>
      </c>
      <c r="N63" s="57" t="n">
        <v>162</v>
      </c>
      <c r="O63" s="65" t="n">
        <f aca="false">IF(SUM(C63:E63)&gt;0,AVERAGE(C63:E63),"")</f>
        <v>237.333333333333</v>
      </c>
      <c r="P63" s="66" t="n">
        <f aca="false">IF(SUM(C63:E63)&gt;0, ( IF(C63&gt;0,(C63-O63)^2,0) + IF(D63&gt;0,(D63-O63)^2,0) + IF(E63&gt;0,(E63-O63)^2,0) ) / COUNT(C63:E63),"")</f>
        <v>11104.8888888889</v>
      </c>
      <c r="Q63" s="63" t="n">
        <f aca="false">IF(SUM(C63:E63)&gt;0,SQRT(P63),"")</f>
        <v>105.379736614251</v>
      </c>
      <c r="R63" s="63" t="n">
        <f aca="false">IF(COUNT(C63:E63)&gt;0,VLOOKUP(COUNT(C63:E63),$AX$2:$AZ$5,3)*(Q63/SQRT(COUNT(C63:E63))),"")</f>
        <v>261.798906053793</v>
      </c>
      <c r="S63" s="63" t="n">
        <f aca="false">IF(COUNT(C63:E63)&gt;0,O63-R63,"")</f>
        <v>-24.4655727204601</v>
      </c>
      <c r="T63" s="63" t="n">
        <f aca="false">IF(COUNT(C63:E63)&gt;0,O63+R63,"")</f>
        <v>499.132239387127</v>
      </c>
      <c r="U63" s="64" t="n">
        <f aca="false">IF(COUNT(C63:E63)&gt;0,Q63/O63,"")</f>
        <v>0.444015744161169</v>
      </c>
      <c r="V63" s="65" t="n">
        <f aca="false">IF(SUM(F63:H63)&gt;0,AVERAGE(F63:H63),"")</f>
        <v>161.666666666667</v>
      </c>
      <c r="W63" s="66" t="n">
        <f aca="false">IF(SUM(F63:H63)&gt;0, ( IF(F63&gt;0,(F63-V63)^2,0) + IF(G63&gt;0,(G63-V63)^2,0) + IF(H63&gt;0,(H63-V63)^2,0) ) / COUNT(F63:H63),"")</f>
        <v>82.8888888888889</v>
      </c>
      <c r="X63" s="63" t="n">
        <f aca="false">IF(SUM(F63:H63)&gt;0,SQRT(W63),"")</f>
        <v>9.10433352249844</v>
      </c>
      <c r="Y63" s="63" t="n">
        <f aca="false">IF(COUNT(F63:H63)&gt;0,VLOOKUP(COUNT(F63:H63),$AX$2:$AZ$5,3)*(X63/SQRT(COUNT(F63:H63))),"")</f>
        <v>22.6182436312584</v>
      </c>
      <c r="Z63" s="63" t="n">
        <f aca="false">IF(COUNT(F63:H63)&gt;0,V63-Y63,"")</f>
        <v>139.048423035408</v>
      </c>
      <c r="AA63" s="63" t="n">
        <f aca="false">IF(COUNT(F63:H63)&gt;0,V63+Y63,"")</f>
        <v>184.284910297925</v>
      </c>
      <c r="AB63" s="64" t="n">
        <f aca="false">IF(COUNT(F63:H63)&gt;0,X63/V63,"")</f>
        <v>0.0563154650876192</v>
      </c>
      <c r="AC63" s="26"/>
      <c r="AD63" s="65" t="n">
        <f aca="false">IF(SUM(I63:K63)&gt;0,AVERAGE(I63:K63),"")</f>
        <v>281.666666666667</v>
      </c>
      <c r="AE63" s="66" t="n">
        <f aca="false">IF(SUM(I63:K63)&gt;0, ( IF(I63&gt;0,(I63-AD63)^2,0) + IF(J63&gt;0,(J63-AD63)^2,0) + IF(K63&gt;0,(K63-AD63)^2,0) ) / COUNT(I63:K63),"")</f>
        <v>24720.2222222222</v>
      </c>
      <c r="AF63" s="63" t="n">
        <f aca="false">IF(SUM(I63:K63)&gt;0,SQRT(AE63),"")</f>
        <v>157.226658751696</v>
      </c>
      <c r="AG63" s="63" t="n">
        <f aca="false">IF(COUNT(I63:K63)&gt;0,VLOOKUP(COUNT(I63:K63),$AX$2:$AZ$5,3)*(AF63/SQRT(COUNT(I63:K63))),"")</f>
        <v>390.604195703793</v>
      </c>
      <c r="AH63" s="63" t="n">
        <f aca="false">IF(COUNT(I63:K63)&gt;0,AD63-AG63,"")</f>
        <v>-108.937529037127</v>
      </c>
      <c r="AI63" s="63" t="n">
        <f aca="false">IF(COUNT(I63:K63)&gt;0,AD63+AG63,"")</f>
        <v>672.27086237046</v>
      </c>
      <c r="AJ63" s="64" t="n">
        <f aca="false">IF(COUNT(I63:K63)&gt;0,AF63/AD63,"")</f>
        <v>0.558201155331465</v>
      </c>
      <c r="AK63" s="65" t="n">
        <f aca="false">IF(SUM(L63:N63)&gt;0,AVERAGE(L63:N63),"")</f>
        <v>163.5</v>
      </c>
      <c r="AL63" s="66" t="n">
        <f aca="false">IF(SUM(L63:N63)&gt;0, ( IF(L63&gt;0,(L63-AK63)^2,0) + IF(M63&gt;0,(M63-AK63)^2,0) + IF(N63&gt;0,(N63-AK63)^2,0) ) / COUNT(L63:N63),"")</f>
        <v>2.25</v>
      </c>
      <c r="AM63" s="63" t="n">
        <f aca="false">IF(SUM(L63:N63)&gt;0,SQRT(AL63),"")</f>
        <v>1.5</v>
      </c>
      <c r="AN63" s="63" t="n">
        <f aca="false">IF(COUNT(L63:N63)&gt;0,VLOOKUP(COUNT(L63:N63),$AX$2:$AZ$5,3)*(AM63/SQRT(COUNT(L63:N63))),"")</f>
        <v>13.4767481426344</v>
      </c>
      <c r="AO63" s="63" t="n">
        <f aca="false">IF(COUNT(L63:N63)&gt;0,AK63-AN63,"")</f>
        <v>150.023251857366</v>
      </c>
      <c r="AP63" s="63" t="n">
        <f aca="false">IF(COUNT(L63:N63)&gt;0,AK63+AN63,"")</f>
        <v>176.976748142634</v>
      </c>
      <c r="AQ63" s="64" t="n">
        <f aca="false">IF(COUNT(L63:N63)&gt;0,AM63/AK63,"")</f>
        <v>0.00917431192660551</v>
      </c>
    </row>
    <row r="64" customFormat="false" ht="12.8" hidden="false" customHeight="false" outlineLevel="0" collapsed="false">
      <c r="A64" s="56" t="s">
        <v>38</v>
      </c>
      <c r="B64" s="57" t="n">
        <v>5</v>
      </c>
      <c r="C64" s="56" t="n">
        <v>428</v>
      </c>
      <c r="D64" s="25" t="n">
        <v>1006</v>
      </c>
      <c r="E64" s="57"/>
      <c r="F64" s="58" t="n">
        <v>483</v>
      </c>
      <c r="G64" s="0" t="n">
        <v>443</v>
      </c>
      <c r="H64" s="59" t="n">
        <v>522</v>
      </c>
      <c r="I64" s="56" t="n">
        <v>424</v>
      </c>
      <c r="J64" s="0" t="n">
        <v>576</v>
      </c>
      <c r="K64" s="57" t="n">
        <v>258</v>
      </c>
      <c r="L64" s="56"/>
      <c r="M64" s="0" t="n">
        <v>541</v>
      </c>
      <c r="N64" s="57" t="n">
        <v>431</v>
      </c>
      <c r="O64" s="65" t="n">
        <f aca="false">IF(SUM(C64:E64)&gt;0,AVERAGE(C64:E64),"")</f>
        <v>717</v>
      </c>
      <c r="P64" s="66" t="n">
        <f aca="false">IF(SUM(C64:E64)&gt;0, ( IF(C64&gt;0,(C64-O64)^2,0) + IF(D64&gt;0,(D64-O64)^2,0) + IF(E64&gt;0,(E64-O64)^2,0) ) / COUNT(C64:E64),"")</f>
        <v>83521</v>
      </c>
      <c r="Q64" s="63" t="n">
        <f aca="false">IF(SUM(C64:E64)&gt;0,SQRT(P64),"")</f>
        <v>289</v>
      </c>
      <c r="R64" s="63" t="n">
        <f aca="false">IF(COUNT(C64:E64)&gt;0,VLOOKUP(COUNT(C64:E64),$AX$2:$AZ$5,3)*(Q64/SQRT(COUNT(C64:E64))),"")</f>
        <v>2596.52014214756</v>
      </c>
      <c r="S64" s="63" t="n">
        <f aca="false">IF(COUNT(C64:E64)&gt;0,O64-R64,"")</f>
        <v>-1879.52014214756</v>
      </c>
      <c r="T64" s="63" t="n">
        <f aca="false">IF(COUNT(C64:E64)&gt;0,O64+R64,"")</f>
        <v>3313.52014214756</v>
      </c>
      <c r="U64" s="64" t="n">
        <f aca="false">IF(COUNT(C64:E64)&gt;0,Q64/O64,"")</f>
        <v>0.403068340306834</v>
      </c>
      <c r="V64" s="65" t="n">
        <f aca="false">IF(SUM(F64:H64)&gt;0,AVERAGE(F64:H64),"")</f>
        <v>482.666666666667</v>
      </c>
      <c r="W64" s="66" t="n">
        <f aca="false">IF(SUM(F64:H64)&gt;0, ( IF(F64&gt;0,(F64-V64)^2,0) + IF(G64&gt;0,(G64-V64)^2,0) + IF(H64&gt;0,(H64-V64)^2,0) ) / COUNT(F64:H64),"")</f>
        <v>1040.22222222222</v>
      </c>
      <c r="X64" s="63" t="n">
        <f aca="false">IF(SUM(F64:H64)&gt;0,SQRT(W64),"")</f>
        <v>32.2524762184584</v>
      </c>
      <c r="Y64" s="63" t="n">
        <f aca="false">IF(COUNT(F64:H64)&gt;0,VLOOKUP(COUNT(F64:H64),$AX$2:$AZ$5,3)*(X64/SQRT(COUNT(F64:H64))),"")</f>
        <v>80.1260589825437</v>
      </c>
      <c r="Z64" s="63" t="n">
        <f aca="false">IF(COUNT(F64:H64)&gt;0,V64-Y64,"")</f>
        <v>402.540607684123</v>
      </c>
      <c r="AA64" s="63" t="n">
        <f aca="false">IF(COUNT(F64:H64)&gt;0,V64+Y64,"")</f>
        <v>562.79272564921</v>
      </c>
      <c r="AB64" s="64" t="n">
        <f aca="false">IF(COUNT(F64:H64)&gt;0,X64/V64,"")</f>
        <v>0.0668214286294027</v>
      </c>
      <c r="AC64" s="26"/>
      <c r="AD64" s="65" t="n">
        <f aca="false">IF(SUM(I64:K64)&gt;0,AVERAGE(I64:K64),"")</f>
        <v>419.333333333333</v>
      </c>
      <c r="AE64" s="66" t="n">
        <f aca="false">IF(SUM(I64:K64)&gt;0, ( IF(I64&gt;0,(I64-AD64)^2,0) + IF(J64&gt;0,(J64-AD64)^2,0) + IF(K64&gt;0,(K64-AD64)^2,0) ) / COUNT(I64:K64),"")</f>
        <v>16864.8888888889</v>
      </c>
      <c r="AF64" s="63" t="n">
        <f aca="false">IF(SUM(I64:K64)&gt;0,SQRT(AE64),"")</f>
        <v>129.864887051462</v>
      </c>
      <c r="AG64" s="63" t="n">
        <f aca="false">IF(COUNT(I64:K64)&gt;0,VLOOKUP(COUNT(I64:K64),$AX$2:$AZ$5,3)*(AF64/SQRT(COUNT(I64:K64))),"")</f>
        <v>322.628300821492</v>
      </c>
      <c r="AH64" s="63" t="n">
        <f aca="false">IF(COUNT(I64:K64)&gt;0,AD64-AG64,"")</f>
        <v>96.7050325118416</v>
      </c>
      <c r="AI64" s="63" t="n">
        <f aca="false">IF(COUNT(I64:K64)&gt;0,AD64+AG64,"")</f>
        <v>741.961634154825</v>
      </c>
      <c r="AJ64" s="64" t="n">
        <f aca="false">IF(COUNT(I64:K64)&gt;0,AF64/AD64,"")</f>
        <v>0.309693689311912</v>
      </c>
      <c r="AK64" s="65" t="n">
        <f aca="false">IF(SUM(L64:N64)&gt;0,AVERAGE(L64:N64),"")</f>
        <v>486</v>
      </c>
      <c r="AL64" s="66" t="n">
        <f aca="false">IF(SUM(L64:N64)&gt;0, ( IF(L64&gt;0,(L64-AK64)^2,0) + IF(M64&gt;0,(M64-AK64)^2,0) + IF(N64&gt;0,(N64-AK64)^2,0) ) / COUNT(L64:N64),"")</f>
        <v>3025</v>
      </c>
      <c r="AM64" s="63" t="n">
        <f aca="false">IF(SUM(L64:N64)&gt;0,SQRT(AL64),"")</f>
        <v>55</v>
      </c>
      <c r="AN64" s="63" t="n">
        <f aca="false">IF(COUNT(L64:N64)&gt;0,VLOOKUP(COUNT(L64:N64),$AX$2:$AZ$5,3)*(AM64/SQRT(COUNT(L64:N64))),"")</f>
        <v>494.147431896595</v>
      </c>
      <c r="AO64" s="63" t="n">
        <f aca="false">IF(COUNT(L64:N64)&gt;0,AK64-AN64,"")</f>
        <v>-8.14743189659492</v>
      </c>
      <c r="AP64" s="63" t="n">
        <f aca="false">IF(COUNT(L64:N64)&gt;0,AK64+AN64,"")</f>
        <v>980.147431896595</v>
      </c>
      <c r="AQ64" s="64" t="n">
        <f aca="false">IF(COUNT(L64:N64)&gt;0,AM64/AK64,"")</f>
        <v>0.113168724279835</v>
      </c>
    </row>
    <row r="65" customFormat="false" ht="12.8" hidden="false" customHeight="false" outlineLevel="0" collapsed="false">
      <c r="A65" s="56" t="s">
        <v>38</v>
      </c>
      <c r="B65" s="57" t="n">
        <v>10</v>
      </c>
      <c r="C65" s="56" t="n">
        <v>319</v>
      </c>
      <c r="D65" s="25" t="n">
        <v>228</v>
      </c>
      <c r="E65" s="57" t="n">
        <v>252</v>
      </c>
      <c r="F65" s="58" t="n">
        <v>247</v>
      </c>
      <c r="G65" s="0" t="n">
        <v>257</v>
      </c>
      <c r="H65" s="59" t="n">
        <v>319</v>
      </c>
      <c r="I65" s="56" t="n">
        <v>278</v>
      </c>
      <c r="J65" s="0" t="n">
        <v>258</v>
      </c>
      <c r="K65" s="57" t="n">
        <v>190</v>
      </c>
      <c r="L65" s="56"/>
      <c r="M65" s="0" t="n">
        <v>230</v>
      </c>
      <c r="N65" s="57" t="n">
        <v>252</v>
      </c>
      <c r="O65" s="65" t="n">
        <f aca="false">IF(SUM(C65:E65)&gt;0,AVERAGE(C65:E65),"")</f>
        <v>266.333333333333</v>
      </c>
      <c r="P65" s="66" t="n">
        <f aca="false">IF(SUM(C65:E65)&gt;0, ( IF(C65&gt;0,(C65-O65)^2,0) + IF(D65&gt;0,(D65-O65)^2,0) + IF(E65&gt;0,(E65-O65)^2,0) ) / COUNT(C65:E65),"")</f>
        <v>1482.88888888889</v>
      </c>
      <c r="Q65" s="63" t="n">
        <f aca="false">IF(SUM(C65:E65)&gt;0,SQRT(P65),"")</f>
        <v>38.5082963644055</v>
      </c>
      <c r="R65" s="63" t="n">
        <f aca="false">IF(COUNT(C65:E65)&gt;0,VLOOKUP(COUNT(C65:E65),$AX$2:$AZ$5,3)*(Q65/SQRT(COUNT(C65:E65))),"")</f>
        <v>95.6676319955168</v>
      </c>
      <c r="S65" s="63" t="n">
        <f aca="false">IF(COUNT(C65:E65)&gt;0,O65-R65,"")</f>
        <v>170.665701337817</v>
      </c>
      <c r="T65" s="63" t="n">
        <f aca="false">IF(COUNT(C65:E65)&gt;0,O65+R65,"")</f>
        <v>362.00096532885</v>
      </c>
      <c r="U65" s="64" t="n">
        <f aca="false">IF(COUNT(C65:E65)&gt;0,Q65/O65,"")</f>
        <v>0.144586844922674</v>
      </c>
      <c r="V65" s="65" t="n">
        <f aca="false">IF(SUM(F65:H65)&gt;0,AVERAGE(F65:H65),"")</f>
        <v>274.333333333333</v>
      </c>
      <c r="W65" s="66" t="n">
        <f aca="false">IF(SUM(F65:H65)&gt;0, ( IF(F65&gt;0,(F65-V65)^2,0) + IF(G65&gt;0,(G65-V65)^2,0) + IF(H65&gt;0,(H65-V65)^2,0) ) / COUNT(F65:H65),"")</f>
        <v>1014.22222222222</v>
      </c>
      <c r="X65" s="63" t="n">
        <f aca="false">IF(SUM(F65:H65)&gt;0,SQRT(W65),"")</f>
        <v>31.8468557666565</v>
      </c>
      <c r="Y65" s="63" t="n">
        <f aca="false">IF(COUNT(F65:H65)&gt;0,VLOOKUP(COUNT(F65:H65),$AX$2:$AZ$5,3)*(X65/SQRT(COUNT(F65:H65))),"")</f>
        <v>79.1183605960551</v>
      </c>
      <c r="Z65" s="63" t="n">
        <f aca="false">IF(COUNT(F65:H65)&gt;0,V65-Y65,"")</f>
        <v>195.214972737278</v>
      </c>
      <c r="AA65" s="63" t="n">
        <f aca="false">IF(COUNT(F65:H65)&gt;0,V65+Y65,"")</f>
        <v>353.451693929388</v>
      </c>
      <c r="AB65" s="64" t="n">
        <f aca="false">IF(COUNT(F65:H65)&gt;0,X65/V65,"")</f>
        <v>0.11608817411904</v>
      </c>
      <c r="AC65" s="26"/>
      <c r="AD65" s="65" t="n">
        <f aca="false">IF(SUM(I65:K65)&gt;0,AVERAGE(I65:K65),"")</f>
        <v>242</v>
      </c>
      <c r="AE65" s="66" t="n">
        <f aca="false">IF(SUM(I65:K65)&gt;0, ( IF(I65&gt;0,(I65-AD65)^2,0) + IF(J65&gt;0,(J65-AD65)^2,0) + IF(K65&gt;0,(K65-AD65)^2,0) ) / COUNT(I65:K65),"")</f>
        <v>1418.66666666667</v>
      </c>
      <c r="AF65" s="63" t="n">
        <f aca="false">IF(SUM(I65:K65)&gt;0,SQRT(AE65),"")</f>
        <v>37.6651917115348</v>
      </c>
      <c r="AG65" s="63" t="n">
        <f aca="false">IF(COUNT(I65:K65)&gt;0,VLOOKUP(COUNT(I65:K65),$AX$2:$AZ$5,3)*(AF65/SQRT(COUNT(I65:K65))),"")</f>
        <v>93.5730748927751</v>
      </c>
      <c r="AH65" s="63" t="n">
        <f aca="false">IF(COUNT(I65:K65)&gt;0,AD65-AG65,"")</f>
        <v>148.426925107225</v>
      </c>
      <c r="AI65" s="63" t="n">
        <f aca="false">IF(COUNT(I65:K65)&gt;0,AD65+AG65,"")</f>
        <v>335.573074892775</v>
      </c>
      <c r="AJ65" s="64" t="n">
        <f aca="false">IF(COUNT(I65:K65)&gt;0,AF65/AD65,"")</f>
        <v>0.155641288064193</v>
      </c>
      <c r="AK65" s="65" t="n">
        <f aca="false">IF(SUM(L65:N65)&gt;0,AVERAGE(L65:N65),"")</f>
        <v>241</v>
      </c>
      <c r="AL65" s="66" t="n">
        <f aca="false">IF(SUM(L65:N65)&gt;0, ( IF(L65&gt;0,(L65-AK65)^2,0) + IF(M65&gt;0,(M65-AK65)^2,0) + IF(N65&gt;0,(N65-AK65)^2,0) ) / COUNT(L65:N65),"")</f>
        <v>121</v>
      </c>
      <c r="AM65" s="63" t="n">
        <f aca="false">IF(SUM(L65:N65)&gt;0,SQRT(AL65),"")</f>
        <v>11</v>
      </c>
      <c r="AN65" s="63" t="n">
        <f aca="false">IF(COUNT(L65:N65)&gt;0,VLOOKUP(COUNT(L65:N65),$AX$2:$AZ$5,3)*(AM65/SQRT(COUNT(L65:N65))),"")</f>
        <v>98.829486379319</v>
      </c>
      <c r="AO65" s="63" t="n">
        <f aca="false">IF(COUNT(L65:N65)&gt;0,AK65-AN65,"")</f>
        <v>142.170513620681</v>
      </c>
      <c r="AP65" s="63" t="n">
        <f aca="false">IF(COUNT(L65:N65)&gt;0,AK65+AN65,"")</f>
        <v>339.829486379319</v>
      </c>
      <c r="AQ65" s="64" t="n">
        <f aca="false">IF(COUNT(L65:N65)&gt;0,AM65/AK65,"")</f>
        <v>0.045643153526971</v>
      </c>
    </row>
    <row r="66" customFormat="false" ht="12.8" hidden="false" customHeight="false" outlineLevel="0" collapsed="false">
      <c r="A66" s="56" t="s">
        <v>38</v>
      </c>
      <c r="B66" s="57" t="n">
        <v>15</v>
      </c>
      <c r="C66" s="56" t="n">
        <v>261</v>
      </c>
      <c r="D66" s="25" t="n">
        <v>181</v>
      </c>
      <c r="E66" s="57" t="n">
        <v>187</v>
      </c>
      <c r="F66" s="58" t="n">
        <v>167</v>
      </c>
      <c r="G66" s="0" t="n">
        <v>171</v>
      </c>
      <c r="H66" s="59" t="n">
        <v>186</v>
      </c>
      <c r="I66" s="56" t="n">
        <v>216</v>
      </c>
      <c r="J66" s="0" t="n">
        <v>161</v>
      </c>
      <c r="K66" s="57" t="n">
        <v>157</v>
      </c>
      <c r="L66" s="56"/>
      <c r="M66" s="0" t="n">
        <v>164</v>
      </c>
      <c r="N66" s="57" t="n">
        <v>187</v>
      </c>
      <c r="O66" s="65" t="n">
        <f aca="false">IF(SUM(C66:E66)&gt;0,AVERAGE(C66:E66),"")</f>
        <v>209.666666666667</v>
      </c>
      <c r="P66" s="66" t="n">
        <f aca="false">IF(SUM(C66:E66)&gt;0, ( IF(C66&gt;0,(C66-O66)^2,0) + IF(D66&gt;0,(D66-O66)^2,0) + IF(E66&gt;0,(E66-O66)^2,0) ) / COUNT(C66:E66),"")</f>
        <v>1323.55555555556</v>
      </c>
      <c r="Q66" s="63" t="n">
        <f aca="false">IF(SUM(C66:E66)&gt;0,SQRT(P66),"")</f>
        <v>36.3807030657127</v>
      </c>
      <c r="R66" s="63" t="n">
        <f aca="false">IF(COUNT(C66:E66)&gt;0,VLOOKUP(COUNT(C66:E66),$AX$2:$AZ$5,3)*(Q66/SQRT(COUNT(C66:E66))),"")</f>
        <v>90.3819706718022</v>
      </c>
      <c r="S66" s="63" t="n">
        <f aca="false">IF(COUNT(C66:E66)&gt;0,O66-R66,"")</f>
        <v>119.284695994864</v>
      </c>
      <c r="T66" s="63" t="n">
        <f aca="false">IF(COUNT(C66:E66)&gt;0,O66+R66,"")</f>
        <v>300.048637338469</v>
      </c>
      <c r="U66" s="64" t="n">
        <f aca="false">IF(COUNT(C66:E66)&gt;0,Q66/O66,"")</f>
        <v>0.173516866768105</v>
      </c>
      <c r="V66" s="65" t="n">
        <f aca="false">IF(SUM(F66:H66)&gt;0,AVERAGE(F66:H66),"")</f>
        <v>174.666666666667</v>
      </c>
      <c r="W66" s="66" t="n">
        <f aca="false">IF(SUM(F66:H66)&gt;0, ( IF(F66&gt;0,(F66-V66)^2,0) + IF(G66&gt;0,(G66-V66)^2,0) + IF(H66&gt;0,(H66-V66)^2,0) ) / COUNT(F66:H66),"")</f>
        <v>66.8888888888889</v>
      </c>
      <c r="X66" s="63" t="n">
        <f aca="false">IF(SUM(F66:H66)&gt;0,SQRT(W66),"")</f>
        <v>8.17856276425687</v>
      </c>
      <c r="Y66" s="63" t="n">
        <f aca="false">IF(COUNT(F66:H66)&gt;0,VLOOKUP(COUNT(F66:H66),$AX$2:$AZ$5,3)*(X66/SQRT(COUNT(F66:H66))),"")</f>
        <v>20.3183159644108</v>
      </c>
      <c r="Z66" s="63" t="n">
        <f aca="false">IF(COUNT(F66:H66)&gt;0,V66-Y66,"")</f>
        <v>154.348350702256</v>
      </c>
      <c r="AA66" s="63" t="n">
        <f aca="false">IF(COUNT(F66:H66)&gt;0,V66+Y66,"")</f>
        <v>194.984982631077</v>
      </c>
      <c r="AB66" s="64" t="n">
        <f aca="false">IF(COUNT(F66:H66)&gt;0,X66/V66,"")</f>
        <v>0.0468238326197912</v>
      </c>
      <c r="AC66" s="26"/>
      <c r="AD66" s="65" t="n">
        <f aca="false">IF(SUM(I66:K66)&gt;0,AVERAGE(I66:K66),"")</f>
        <v>178</v>
      </c>
      <c r="AE66" s="66" t="n">
        <f aca="false">IF(SUM(I66:K66)&gt;0, ( IF(I66&gt;0,(I66-AD66)^2,0) + IF(J66&gt;0,(J66-AD66)^2,0) + IF(K66&gt;0,(K66-AD66)^2,0) ) / COUNT(I66:K66),"")</f>
        <v>724.666666666667</v>
      </c>
      <c r="AF66" s="63" t="n">
        <f aca="false">IF(SUM(I66:K66)&gt;0,SQRT(AE66),"")</f>
        <v>26.9196334794266</v>
      </c>
      <c r="AG66" s="63" t="n">
        <f aca="false">IF(COUNT(I66:K66)&gt;0,VLOOKUP(COUNT(I66:K66),$AX$2:$AZ$5,3)*(AF66/SQRT(COUNT(I66:K66))),"")</f>
        <v>66.8774740069895</v>
      </c>
      <c r="AH66" s="63" t="n">
        <f aca="false">IF(COUNT(I66:K66)&gt;0,AD66-AG66,"")</f>
        <v>111.122525993011</v>
      </c>
      <c r="AI66" s="63" t="n">
        <f aca="false">IF(COUNT(I66:K66)&gt;0,AD66+AG66,"")</f>
        <v>244.87747400699</v>
      </c>
      <c r="AJ66" s="64" t="n">
        <f aca="false">IF(COUNT(I66:K66)&gt;0,AF66/AD66,"")</f>
        <v>0.151233895951835</v>
      </c>
      <c r="AK66" s="65" t="n">
        <f aca="false">IF(SUM(L66:N66)&gt;0,AVERAGE(L66:N66),"")</f>
        <v>175.5</v>
      </c>
      <c r="AL66" s="66" t="n">
        <f aca="false">IF(SUM(L66:N66)&gt;0, ( IF(L66&gt;0,(L66-AK66)^2,0) + IF(M66&gt;0,(M66-AK66)^2,0) + IF(N66&gt;0,(N66-AK66)^2,0) ) / COUNT(L66:N66),"")</f>
        <v>132.25</v>
      </c>
      <c r="AM66" s="63" t="n">
        <f aca="false">IF(SUM(L66:N66)&gt;0,SQRT(AL66),"")</f>
        <v>11.5</v>
      </c>
      <c r="AN66" s="63" t="n">
        <f aca="false">IF(COUNT(L66:N66)&gt;0,VLOOKUP(COUNT(L66:N66),$AX$2:$AZ$5,3)*(AM66/SQRT(COUNT(L66:N66))),"")</f>
        <v>103.321735760197</v>
      </c>
      <c r="AO66" s="63" t="n">
        <f aca="false">IF(COUNT(L66:N66)&gt;0,AK66-AN66,"")</f>
        <v>72.1782642398029</v>
      </c>
      <c r="AP66" s="63" t="n">
        <f aca="false">IF(COUNT(L66:N66)&gt;0,AK66+AN66,"")</f>
        <v>278.821735760197</v>
      </c>
      <c r="AQ66" s="64" t="n">
        <f aca="false">IF(COUNT(L66:N66)&gt;0,AM66/AK66,"")</f>
        <v>0.0655270655270655</v>
      </c>
    </row>
    <row r="67" customFormat="false" ht="12.8" hidden="false" customHeight="false" outlineLevel="0" collapsed="false">
      <c r="A67" s="56" t="s">
        <v>38</v>
      </c>
      <c r="B67" s="57" t="n">
        <v>20</v>
      </c>
      <c r="C67" s="56" t="n">
        <v>140</v>
      </c>
      <c r="D67" s="25" t="n">
        <v>179</v>
      </c>
      <c r="E67" s="57" t="n">
        <v>130</v>
      </c>
      <c r="F67" s="58" t="n">
        <v>146</v>
      </c>
      <c r="G67" s="0" t="n">
        <v>139</v>
      </c>
      <c r="H67" s="59" t="n">
        <v>147</v>
      </c>
      <c r="I67" s="56" t="n">
        <v>154</v>
      </c>
      <c r="J67" s="0" t="n">
        <v>172</v>
      </c>
      <c r="K67" s="57" t="n">
        <v>99</v>
      </c>
      <c r="L67" s="56"/>
      <c r="M67" s="0" t="n">
        <v>139</v>
      </c>
      <c r="N67" s="57" t="n">
        <v>130</v>
      </c>
      <c r="O67" s="65" t="n">
        <f aca="false">IF(SUM(C67:E67)&gt;0,AVERAGE(C67:E67),"")</f>
        <v>149.666666666667</v>
      </c>
      <c r="P67" s="66" t="n">
        <f aca="false">IF(SUM(C67:E67)&gt;0, ( IF(C67&gt;0,(C67-O67)^2,0) + IF(D67&gt;0,(D67-O67)^2,0) + IF(E67&gt;0,(E67-O67)^2,0) ) / COUNT(C67:E67),"")</f>
        <v>446.888888888889</v>
      </c>
      <c r="Q67" s="63" t="n">
        <f aca="false">IF(SUM(C67:E67)&gt;0,SQRT(P67),"")</f>
        <v>21.1397466609439</v>
      </c>
      <c r="R67" s="63" t="n">
        <f aca="false">IF(COUNT(C67:E67)&gt;0,VLOOKUP(COUNT(C67:E67),$AX$2:$AZ$5,3)*(Q67/SQRT(COUNT(C67:E67))),"")</f>
        <v>52.5182803440507</v>
      </c>
      <c r="S67" s="63" t="n">
        <f aca="false">IF(COUNT(C67:E67)&gt;0,O67-R67,"")</f>
        <v>97.148386322616</v>
      </c>
      <c r="T67" s="63" t="n">
        <f aca="false">IF(COUNT(C67:E67)&gt;0,O67+R67,"")</f>
        <v>202.184947010717</v>
      </c>
      <c r="U67" s="64" t="n">
        <f aca="false">IF(COUNT(C67:E67)&gt;0,Q67/O67,"")</f>
        <v>0.141245523347064</v>
      </c>
      <c r="V67" s="65" t="n">
        <f aca="false">IF(SUM(F67:H67)&gt;0,AVERAGE(F67:H67),"")</f>
        <v>144</v>
      </c>
      <c r="W67" s="66" t="n">
        <f aca="false">IF(SUM(F67:H67)&gt;0, ( IF(F67&gt;0,(F67-V67)^2,0) + IF(G67&gt;0,(G67-V67)^2,0) + IF(H67&gt;0,(H67-V67)^2,0) ) / COUNT(F67:H67),"")</f>
        <v>12.6666666666667</v>
      </c>
      <c r="X67" s="63" t="n">
        <f aca="false">IF(SUM(F67:H67)&gt;0,SQRT(W67),"")</f>
        <v>3.55902608401044</v>
      </c>
      <c r="Y67" s="63" t="n">
        <f aca="false">IF(COUNT(F67:H67)&gt;0,VLOOKUP(COUNT(F67:H67),$AX$2:$AZ$5,3)*(X67/SQRT(COUNT(F67:H67))),"")</f>
        <v>8.84182448492517</v>
      </c>
      <c r="Z67" s="63" t="n">
        <f aca="false">IF(COUNT(F67:H67)&gt;0,V67-Y67,"")</f>
        <v>135.158175515075</v>
      </c>
      <c r="AA67" s="63" t="n">
        <f aca="false">IF(COUNT(F67:H67)&gt;0,V67+Y67,"")</f>
        <v>152.841824484925</v>
      </c>
      <c r="AB67" s="64" t="n">
        <f aca="false">IF(COUNT(F67:H67)&gt;0,X67/V67,"")</f>
        <v>0.0247154589167391</v>
      </c>
      <c r="AC67" s="26"/>
      <c r="AD67" s="65" t="n">
        <f aca="false">IF(SUM(I67:K67)&gt;0,AVERAGE(I67:K67),"")</f>
        <v>141.666666666667</v>
      </c>
      <c r="AE67" s="66" t="n">
        <f aca="false">IF(SUM(I67:K67)&gt;0, ( IF(I67&gt;0,(I67-AD67)^2,0) + IF(J67&gt;0,(J67-AD67)^2,0) + IF(K67&gt;0,(K67-AD67)^2,0) ) / COUNT(I67:K67),"")</f>
        <v>964.222222222222</v>
      </c>
      <c r="AF67" s="63" t="n">
        <f aca="false">IF(SUM(I67:K67)&gt;0,SQRT(AE67),"")</f>
        <v>31.0519278342299</v>
      </c>
      <c r="AG67" s="63" t="n">
        <f aca="false">IF(COUNT(I67:K67)&gt;0,VLOOKUP(COUNT(I67:K67),$AX$2:$AZ$5,3)*(AF67/SQRT(COUNT(I67:K67))),"")</f>
        <v>77.1434907606646</v>
      </c>
      <c r="AH67" s="63" t="n">
        <f aca="false">IF(COUNT(I67:K67)&gt;0,AD67-AG67,"")</f>
        <v>64.5231759060021</v>
      </c>
      <c r="AI67" s="63" t="n">
        <f aca="false">IF(COUNT(I67:K67)&gt;0,AD67+AG67,"")</f>
        <v>218.810157427331</v>
      </c>
      <c r="AJ67" s="64" t="n">
        <f aca="false">IF(COUNT(I67:K67)&gt;0,AF67/AD67,"")</f>
        <v>0.219190078829858</v>
      </c>
      <c r="AK67" s="65" t="n">
        <f aca="false">IF(SUM(L67:N67)&gt;0,AVERAGE(L67:N67),"")</f>
        <v>134.5</v>
      </c>
      <c r="AL67" s="66" t="n">
        <f aca="false">IF(SUM(L67:N67)&gt;0, ( IF(L67&gt;0,(L67-AK67)^2,0) + IF(M67&gt;0,(M67-AK67)^2,0) + IF(N67&gt;0,(N67-AK67)^2,0) ) / COUNT(L67:N67),"")</f>
        <v>20.25</v>
      </c>
      <c r="AM67" s="63" t="n">
        <f aca="false">IF(SUM(L67:N67)&gt;0,SQRT(AL67),"")</f>
        <v>4.5</v>
      </c>
      <c r="AN67" s="63" t="n">
        <f aca="false">IF(COUNT(L67:N67)&gt;0,VLOOKUP(COUNT(L67:N67),$AX$2:$AZ$5,3)*(AM67/SQRT(COUNT(L67:N67))),"")</f>
        <v>40.4302444279032</v>
      </c>
      <c r="AO67" s="63" t="n">
        <f aca="false">IF(COUNT(L67:N67)&gt;0,AK67-AN67,"")</f>
        <v>94.0697555720968</v>
      </c>
      <c r="AP67" s="63" t="n">
        <f aca="false">IF(COUNT(L67:N67)&gt;0,AK67+AN67,"")</f>
        <v>174.930244427903</v>
      </c>
      <c r="AQ67" s="64" t="n">
        <f aca="false">IF(COUNT(L67:N67)&gt;0,AM67/AK67,"")</f>
        <v>0.033457249070632</v>
      </c>
    </row>
    <row r="68" customFormat="false" ht="12.8" hidden="false" customHeight="false" outlineLevel="0" collapsed="false">
      <c r="A68" s="56" t="s">
        <v>38</v>
      </c>
      <c r="B68" s="57" t="n">
        <v>30</v>
      </c>
      <c r="C68" s="56" t="n">
        <v>101</v>
      </c>
      <c r="D68" s="25" t="n">
        <v>104</v>
      </c>
      <c r="E68" s="57" t="n">
        <v>98</v>
      </c>
      <c r="F68" s="58" t="n">
        <v>94</v>
      </c>
      <c r="G68" s="0" t="n">
        <v>123</v>
      </c>
      <c r="H68" s="59" t="n">
        <v>102</v>
      </c>
      <c r="I68" s="56" t="n">
        <v>106</v>
      </c>
      <c r="J68" s="0" t="n">
        <v>115</v>
      </c>
      <c r="K68" s="57" t="n">
        <v>90</v>
      </c>
      <c r="L68" s="56"/>
      <c r="M68" s="0" t="n">
        <v>102</v>
      </c>
      <c r="N68" s="57" t="n">
        <v>96</v>
      </c>
      <c r="O68" s="65" t="n">
        <f aca="false">IF(SUM(C68:E68)&gt;0,AVERAGE(C68:E68),"")</f>
        <v>101</v>
      </c>
      <c r="P68" s="66" t="n">
        <f aca="false">IF(SUM(C68:E68)&gt;0, ( IF(C68&gt;0,(C68-O68)^2,0) + IF(D68&gt;0,(D68-O68)^2,0) + IF(E68&gt;0,(E68-O68)^2,0) ) / COUNT(C68:E68),"")</f>
        <v>6</v>
      </c>
      <c r="Q68" s="63" t="n">
        <f aca="false">IF(SUM(C68:E68)&gt;0,SQRT(P68),"")</f>
        <v>2.44948974278318</v>
      </c>
      <c r="R68" s="63" t="n">
        <f aca="false">IF(COUNT(C68:E68)&gt;0,VLOOKUP(COUNT(C68:E68),$AX$2:$AZ$5,3)*(Q68/SQRT(COUNT(C68:E68))),"")</f>
        <v>6.08536095889143</v>
      </c>
      <c r="S68" s="63" t="n">
        <f aca="false">IF(COUNT(C68:E68)&gt;0,O68-R68,"")</f>
        <v>94.9146390411086</v>
      </c>
      <c r="T68" s="63" t="n">
        <f aca="false">IF(COUNT(C68:E68)&gt;0,O68+R68,"")</f>
        <v>107.085360958891</v>
      </c>
      <c r="U68" s="64" t="n">
        <f aca="false">IF(COUNT(C68:E68)&gt;0,Q68/O68,"")</f>
        <v>0.0242523736909226</v>
      </c>
      <c r="V68" s="65" t="n">
        <f aca="false">IF(SUM(F68:H68)&gt;0,AVERAGE(F68:H68),"")</f>
        <v>106.333333333333</v>
      </c>
      <c r="W68" s="66" t="n">
        <f aca="false">IF(SUM(F68:H68)&gt;0, ( IF(F68&gt;0,(F68-V68)^2,0) + IF(G68&gt;0,(G68-V68)^2,0) + IF(H68&gt;0,(H68-V68)^2,0) ) / COUNT(F68:H68),"")</f>
        <v>149.555555555556</v>
      </c>
      <c r="X68" s="63" t="n">
        <f aca="false">IF(SUM(F68:H68)&gt;0,SQRT(W68),"")</f>
        <v>12.2292908852294</v>
      </c>
      <c r="Y68" s="63" t="n">
        <f aca="false">IF(COUNT(F68:H68)&gt;0,VLOOKUP(COUNT(F68:H68),$AX$2:$AZ$5,3)*(X68/SQRT(COUNT(F68:H68))),"")</f>
        <v>30.3816946068712</v>
      </c>
      <c r="Z68" s="63" t="n">
        <f aca="false">IF(COUNT(F68:H68)&gt;0,V68-Y68,"")</f>
        <v>75.9516387264622</v>
      </c>
      <c r="AA68" s="63" t="n">
        <f aca="false">IF(COUNT(F68:H68)&gt;0,V68+Y68,"")</f>
        <v>136.715027940205</v>
      </c>
      <c r="AB68" s="64" t="n">
        <f aca="false">IF(COUNT(F68:H68)&gt;0,X68/V68,"")</f>
        <v>0.115009005190245</v>
      </c>
      <c r="AC68" s="26"/>
      <c r="AD68" s="65" t="n">
        <f aca="false">IF(SUM(I68:K68)&gt;0,AVERAGE(I68:K68),"")</f>
        <v>103.666666666667</v>
      </c>
      <c r="AE68" s="66" t="n">
        <f aca="false">IF(SUM(I68:K68)&gt;0, ( IF(I68&gt;0,(I68-AD68)^2,0) + IF(J68&gt;0,(J68-AD68)^2,0) + IF(K68&gt;0,(K68-AD68)^2,0) ) / COUNT(I68:K68),"")</f>
        <v>106.888888888889</v>
      </c>
      <c r="AF68" s="63" t="n">
        <f aca="false">IF(SUM(I68:K68)&gt;0,SQRT(AE68),"")</f>
        <v>10.3387082795139</v>
      </c>
      <c r="AG68" s="63" t="n">
        <f aca="false">IF(COUNT(I68:K68)&gt;0,VLOOKUP(COUNT(I68:K68),$AX$2:$AZ$5,3)*(AF68/SQRT(COUNT(I68:K68))),"")</f>
        <v>25.6848480035013</v>
      </c>
      <c r="AH68" s="63" t="n">
        <f aca="false">IF(COUNT(I68:K68)&gt;0,AD68-AG68,"")</f>
        <v>77.9818186631654</v>
      </c>
      <c r="AI68" s="63" t="n">
        <f aca="false">IF(COUNT(I68:K68)&gt;0,AD68+AG68,"")</f>
        <v>129.351514670168</v>
      </c>
      <c r="AJ68" s="64" t="n">
        <f aca="false">IF(COUNT(I68:K68)&gt;0,AF68/AD68,"")</f>
        <v>0.0997303049470793</v>
      </c>
      <c r="AK68" s="65" t="n">
        <f aca="false">IF(SUM(L68:N68)&gt;0,AVERAGE(L68:N68),"")</f>
        <v>99</v>
      </c>
      <c r="AL68" s="66" t="n">
        <f aca="false">IF(SUM(L68:N68)&gt;0, ( IF(L68&gt;0,(L68-AK68)^2,0) + IF(M68&gt;0,(M68-AK68)^2,0) + IF(N68&gt;0,(N68-AK68)^2,0) ) / COUNT(L68:N68),"")</f>
        <v>9</v>
      </c>
      <c r="AM68" s="63" t="n">
        <f aca="false">IF(SUM(L68:N68)&gt;0,SQRT(AL68),"")</f>
        <v>3</v>
      </c>
      <c r="AN68" s="63" t="n">
        <f aca="false">IF(COUNT(L68:N68)&gt;0,VLOOKUP(COUNT(L68:N68),$AX$2:$AZ$5,3)*(AM68/SQRT(COUNT(L68:N68))),"")</f>
        <v>26.9534962852688</v>
      </c>
      <c r="AO68" s="63" t="n">
        <f aca="false">IF(COUNT(L68:N68)&gt;0,AK68-AN68,"")</f>
        <v>72.0465037147312</v>
      </c>
      <c r="AP68" s="63" t="n">
        <f aca="false">IF(COUNT(L68:N68)&gt;0,AK68+AN68,"")</f>
        <v>125.953496285269</v>
      </c>
      <c r="AQ68" s="64" t="n">
        <f aca="false">IF(COUNT(L68:N68)&gt;0,AM68/AK68,"")</f>
        <v>0.0303030303030303</v>
      </c>
    </row>
    <row r="69" customFormat="false" ht="12.8" hidden="false" customHeight="false" outlineLevel="0" collapsed="false">
      <c r="A69" s="56" t="s">
        <v>38</v>
      </c>
      <c r="B69" s="57" t="n">
        <v>40</v>
      </c>
      <c r="C69" s="56" t="n">
        <v>86</v>
      </c>
      <c r="D69" s="25" t="n">
        <v>86</v>
      </c>
      <c r="E69" s="57" t="n">
        <v>105</v>
      </c>
      <c r="F69" s="58" t="n">
        <v>79</v>
      </c>
      <c r="G69" s="0" t="n">
        <v>75</v>
      </c>
      <c r="H69" s="59" t="n">
        <v>78</v>
      </c>
      <c r="I69" s="56" t="n">
        <v>84</v>
      </c>
      <c r="J69" s="0" t="n">
        <v>89</v>
      </c>
      <c r="K69" s="57" t="n">
        <v>77</v>
      </c>
      <c r="L69" s="56"/>
      <c r="M69" s="0" t="n">
        <v>95</v>
      </c>
      <c r="N69" s="57" t="n">
        <v>81</v>
      </c>
      <c r="O69" s="65" t="n">
        <f aca="false">IF(SUM(C69:E69)&gt;0,AVERAGE(C69:E69),"")</f>
        <v>92.3333333333333</v>
      </c>
      <c r="P69" s="66" t="n">
        <f aca="false">IF(SUM(C69:E69)&gt;0, ( IF(C69&gt;0,(C69-O69)^2,0) + IF(D69&gt;0,(D69-O69)^2,0) + IF(E69&gt;0,(E69-O69)^2,0) ) / COUNT(C69:E69),"")</f>
        <v>80.2222222222222</v>
      </c>
      <c r="Q69" s="63" t="n">
        <f aca="false">IF(SUM(C69:E69)&gt;0,SQRT(P69),"")</f>
        <v>8.9566858950296</v>
      </c>
      <c r="R69" s="63" t="n">
        <f aca="false">IF(COUNT(C69:E69)&gt;0,VLOOKUP(COUNT(C69:E69),$AX$2:$AZ$5,3)*(Q69/SQRT(COUNT(C69:E69))),"")</f>
        <v>22.2514369889694</v>
      </c>
      <c r="S69" s="63" t="n">
        <f aca="false">IF(COUNT(C69:E69)&gt;0,O69-R69,"")</f>
        <v>70.081896344364</v>
      </c>
      <c r="T69" s="63" t="n">
        <f aca="false">IF(COUNT(C69:E69)&gt;0,O69+R69,"")</f>
        <v>114.584770322303</v>
      </c>
      <c r="U69" s="64" t="n">
        <f aca="false">IF(COUNT(C69:E69)&gt;0,Q69/O69,"")</f>
        <v>0.0970038183577213</v>
      </c>
      <c r="V69" s="65" t="n">
        <f aca="false">IF(SUM(F69:H69)&gt;0,AVERAGE(F69:H69),"")</f>
        <v>77.3333333333333</v>
      </c>
      <c r="W69" s="66" t="n">
        <f aca="false">IF(SUM(F69:H69)&gt;0, ( IF(F69&gt;0,(F69-V69)^2,0) + IF(G69&gt;0,(G69-V69)^2,0) + IF(H69&gt;0,(H69-V69)^2,0) ) / COUNT(F69:H69),"")</f>
        <v>2.88888888888889</v>
      </c>
      <c r="X69" s="63" t="n">
        <f aca="false">IF(SUM(F69:H69)&gt;0,SQRT(W69),"")</f>
        <v>1.6996731711976</v>
      </c>
      <c r="Y69" s="63" t="n">
        <f aca="false">IF(COUNT(F69:H69)&gt;0,VLOOKUP(COUNT(F69:H69),$AX$2:$AZ$5,3)*(X69/SQRT(COUNT(F69:H69))),"")</f>
        <v>4.22256300086764</v>
      </c>
      <c r="Z69" s="63" t="n">
        <f aca="false">IF(COUNT(F69:H69)&gt;0,V69-Y69,"")</f>
        <v>73.1107703324657</v>
      </c>
      <c r="AA69" s="63" t="n">
        <f aca="false">IF(COUNT(F69:H69)&gt;0,V69+Y69,"")</f>
        <v>81.555896334201</v>
      </c>
      <c r="AB69" s="64" t="n">
        <f aca="false">IF(COUNT(F69:H69)&gt;0,X69/V69,"")</f>
        <v>0.0219785323861758</v>
      </c>
      <c r="AC69" s="26"/>
      <c r="AD69" s="65" t="n">
        <f aca="false">IF(SUM(I69:K69)&gt;0,AVERAGE(I69:K69),"")</f>
        <v>83.3333333333333</v>
      </c>
      <c r="AE69" s="66" t="n">
        <f aca="false">IF(SUM(I69:K69)&gt;0, ( IF(I69&gt;0,(I69-AD69)^2,0) + IF(J69&gt;0,(J69-AD69)^2,0) + IF(K69&gt;0,(K69-AD69)^2,0) ) / COUNT(I69:K69),"")</f>
        <v>24.2222222222222</v>
      </c>
      <c r="AF69" s="63" t="n">
        <f aca="false">IF(SUM(I69:K69)&gt;0,SQRT(AE69),"")</f>
        <v>4.92160768674447</v>
      </c>
      <c r="AG69" s="63" t="n">
        <f aca="false">IF(COUNT(I69:K69)&gt;0,VLOOKUP(COUNT(I69:K69),$AX$2:$AZ$5,3)*(AF69/SQRT(COUNT(I69:K69))),"")</f>
        <v>12.2269380225553</v>
      </c>
      <c r="AH69" s="63" t="n">
        <f aca="false">IF(COUNT(I69:K69)&gt;0,AD69-AG69,"")</f>
        <v>71.1063953107781</v>
      </c>
      <c r="AI69" s="63" t="n">
        <f aca="false">IF(COUNT(I69:K69)&gt;0,AD69+AG69,"")</f>
        <v>95.5602713558886</v>
      </c>
      <c r="AJ69" s="64" t="n">
        <f aca="false">IF(COUNT(I69:K69)&gt;0,AF69/AD69,"")</f>
        <v>0.0590592922409336</v>
      </c>
      <c r="AK69" s="65" t="n">
        <f aca="false">IF(SUM(L69:N69)&gt;0,AVERAGE(L69:N69),"")</f>
        <v>88</v>
      </c>
      <c r="AL69" s="66" t="n">
        <f aca="false">IF(SUM(L69:N69)&gt;0, ( IF(L69&gt;0,(L69-AK69)^2,0) + IF(M69&gt;0,(M69-AK69)^2,0) + IF(N69&gt;0,(N69-AK69)^2,0) ) / COUNT(L69:N69),"")</f>
        <v>49</v>
      </c>
      <c r="AM69" s="63" t="n">
        <f aca="false">IF(SUM(L69:N69)&gt;0,SQRT(AL69),"")</f>
        <v>7</v>
      </c>
      <c r="AN69" s="63" t="n">
        <f aca="false">IF(COUNT(L69:N69)&gt;0,VLOOKUP(COUNT(L69:N69),$AX$2:$AZ$5,3)*(AM69/SQRT(COUNT(L69:N69))),"")</f>
        <v>62.8914913322939</v>
      </c>
      <c r="AO69" s="63" t="n">
        <f aca="false">IF(COUNT(L69:N69)&gt;0,AK69-AN69,"")</f>
        <v>25.1085086677061</v>
      </c>
      <c r="AP69" s="63" t="n">
        <f aca="false">IF(COUNT(L69:N69)&gt;0,AK69+AN69,"")</f>
        <v>150.891491332294</v>
      </c>
      <c r="AQ69" s="64" t="n">
        <f aca="false">IF(COUNT(L69:N69)&gt;0,AM69/AK69,"")</f>
        <v>0.0795454545454545</v>
      </c>
    </row>
    <row r="70" customFormat="false" ht="12.8" hidden="false" customHeight="false" outlineLevel="0" collapsed="false">
      <c r="A70" s="56" t="s">
        <v>38</v>
      </c>
      <c r="B70" s="57" t="n">
        <v>50</v>
      </c>
      <c r="C70" s="56" t="n">
        <v>66</v>
      </c>
      <c r="D70" s="25" t="n">
        <v>77</v>
      </c>
      <c r="E70" s="57" t="n">
        <v>95</v>
      </c>
      <c r="F70" s="58" t="n">
        <v>70</v>
      </c>
      <c r="G70" s="0" t="n">
        <v>62</v>
      </c>
      <c r="H70" s="59" t="n">
        <v>73</v>
      </c>
      <c r="I70" s="56" t="n">
        <v>99</v>
      </c>
      <c r="J70" s="0" t="n">
        <v>75</v>
      </c>
      <c r="K70" s="57" t="n">
        <v>60</v>
      </c>
      <c r="L70" s="56"/>
      <c r="M70" s="0" t="n">
        <v>72</v>
      </c>
      <c r="N70" s="57" t="n">
        <v>67</v>
      </c>
      <c r="O70" s="65" t="n">
        <f aca="false">IF(SUM(C70:E70)&gt;0,AVERAGE(C70:E70),"")</f>
        <v>79.3333333333333</v>
      </c>
      <c r="P70" s="66" t="n">
        <f aca="false">IF(SUM(C70:E70)&gt;0, ( IF(C70&gt;0,(C70-O70)^2,0) + IF(D70&gt;0,(D70-O70)^2,0) + IF(E70&gt;0,(E70-O70)^2,0) ) / COUNT(C70:E70),"")</f>
        <v>142.888888888889</v>
      </c>
      <c r="Q70" s="63" t="n">
        <f aca="false">IF(SUM(C70:E70)&gt;0,SQRT(P70),"")</f>
        <v>11.9536140513607</v>
      </c>
      <c r="R70" s="63" t="n">
        <f aca="false">IF(COUNT(C70:E70)&gt;0,VLOOKUP(COUNT(C70:E70),$AX$2:$AZ$5,3)*(Q70/SQRT(COUNT(C70:E70))),"")</f>
        <v>29.6968201153417</v>
      </c>
      <c r="S70" s="63" t="n">
        <f aca="false">IF(COUNT(C70:E70)&gt;0,O70-R70,"")</f>
        <v>49.6365132179916</v>
      </c>
      <c r="T70" s="63" t="n">
        <f aca="false">IF(COUNT(C70:E70)&gt;0,O70+R70,"")</f>
        <v>109.030153448675</v>
      </c>
      <c r="U70" s="64" t="n">
        <f aca="false">IF(COUNT(C70:E70)&gt;0,Q70/O70,"")</f>
        <v>0.150675807370093</v>
      </c>
      <c r="V70" s="65" t="n">
        <f aca="false">IF(SUM(F70:H70)&gt;0,AVERAGE(F70:H70),"")</f>
        <v>68.3333333333333</v>
      </c>
      <c r="W70" s="66" t="n">
        <f aca="false">IF(SUM(F70:H70)&gt;0, ( IF(F70&gt;0,(F70-V70)^2,0) + IF(G70&gt;0,(G70-V70)^2,0) + IF(H70&gt;0,(H70-V70)^2,0) ) / COUNT(F70:H70),"")</f>
        <v>21.5555555555556</v>
      </c>
      <c r="X70" s="63" t="n">
        <f aca="false">IF(SUM(F70:H70)&gt;0,SQRT(W70),"")</f>
        <v>4.64279609239471</v>
      </c>
      <c r="Y70" s="63" t="n">
        <f aca="false">IF(COUNT(F70:H70)&gt;0,VLOOKUP(COUNT(F70:H70),$AX$2:$AZ$5,3)*(X70/SQRT(COUNT(F70:H70))),"")</f>
        <v>11.5342757257887</v>
      </c>
      <c r="Z70" s="63" t="n">
        <f aca="false">IF(COUNT(F70:H70)&gt;0,V70-Y70,"")</f>
        <v>56.7990576075446</v>
      </c>
      <c r="AA70" s="63" t="n">
        <f aca="false">IF(COUNT(F70:H70)&gt;0,V70+Y70,"")</f>
        <v>79.867609059122</v>
      </c>
      <c r="AB70" s="64" t="n">
        <f aca="false">IF(COUNT(F70:H70)&gt;0,X70/V70,"")</f>
        <v>0.0679433574496786</v>
      </c>
      <c r="AC70" s="26"/>
      <c r="AD70" s="65" t="n">
        <f aca="false">IF(SUM(I70:K70)&gt;0,AVERAGE(I70:K70),"")</f>
        <v>78</v>
      </c>
      <c r="AE70" s="66" t="n">
        <f aca="false">IF(SUM(I70:K70)&gt;0, ( IF(I70&gt;0,(I70-AD70)^2,0) + IF(J70&gt;0,(J70-AD70)^2,0) + IF(K70&gt;0,(K70-AD70)^2,0) ) / COUNT(I70:K70),"")</f>
        <v>258</v>
      </c>
      <c r="AF70" s="63" t="n">
        <f aca="false">IF(SUM(I70:K70)&gt;0,SQRT(AE70),"")</f>
        <v>16.062378404209</v>
      </c>
      <c r="AG70" s="63" t="n">
        <f aca="false">IF(COUNT(I70:K70)&gt;0,VLOOKUP(COUNT(I70:K70),$AX$2:$AZ$5,3)*(AF70/SQRT(COUNT(I70:K70))),"")</f>
        <v>39.904380386118</v>
      </c>
      <c r="AH70" s="63" t="n">
        <f aca="false">IF(COUNT(I70:K70)&gt;0,AD70-AG70,"")</f>
        <v>38.095619613882</v>
      </c>
      <c r="AI70" s="63" t="n">
        <f aca="false">IF(COUNT(I70:K70)&gt;0,AD70+AG70,"")</f>
        <v>117.904380386118</v>
      </c>
      <c r="AJ70" s="64" t="n">
        <f aca="false">IF(COUNT(I70:K70)&gt;0,AF70/AD70,"")</f>
        <v>0.20592792825909</v>
      </c>
      <c r="AK70" s="65" t="n">
        <f aca="false">IF(SUM(L70:N70)&gt;0,AVERAGE(L70:N70),"")</f>
        <v>69.5</v>
      </c>
      <c r="AL70" s="66" t="n">
        <f aca="false">IF(SUM(L70:N70)&gt;0, ( IF(L70&gt;0,(L70-AK70)^2,0) + IF(M70&gt;0,(M70-AK70)^2,0) + IF(N70&gt;0,(N70-AK70)^2,0) ) / COUNT(L70:N70),"")</f>
        <v>6.25</v>
      </c>
      <c r="AM70" s="63" t="n">
        <f aca="false">IF(SUM(L70:N70)&gt;0,SQRT(AL70),"")</f>
        <v>2.5</v>
      </c>
      <c r="AN70" s="63" t="n">
        <f aca="false">IF(COUNT(L70:N70)&gt;0,VLOOKUP(COUNT(L70:N70),$AX$2:$AZ$5,3)*(AM70/SQRT(COUNT(L70:N70))),"")</f>
        <v>22.4612469043907</v>
      </c>
      <c r="AO70" s="63" t="n">
        <f aca="false">IF(COUNT(L70:N70)&gt;0,AK70-AN70,"")</f>
        <v>47.0387530956093</v>
      </c>
      <c r="AP70" s="63" t="n">
        <f aca="false">IF(COUNT(L70:N70)&gt;0,AK70+AN70,"")</f>
        <v>91.9612469043907</v>
      </c>
      <c r="AQ70" s="64" t="n">
        <f aca="false">IF(COUNT(L70:N70)&gt;0,AM70/AK70,"")</f>
        <v>0.0359712230215827</v>
      </c>
    </row>
    <row r="71" customFormat="false" ht="12.8" hidden="false" customHeight="false" outlineLevel="0" collapsed="false">
      <c r="A71" s="56" t="s">
        <v>38</v>
      </c>
      <c r="B71" s="57" t="n">
        <v>64</v>
      </c>
      <c r="C71" s="56" t="n">
        <v>52</v>
      </c>
      <c r="D71" s="25" t="n">
        <v>61</v>
      </c>
      <c r="E71" s="57" t="n">
        <v>53</v>
      </c>
      <c r="F71" s="58" t="n">
        <v>59</v>
      </c>
      <c r="G71" s="0" t="n">
        <v>57</v>
      </c>
      <c r="H71" s="59" t="n">
        <v>63</v>
      </c>
      <c r="I71" s="56" t="n">
        <v>54</v>
      </c>
      <c r="J71" s="0" t="n">
        <v>63</v>
      </c>
      <c r="K71" s="57" t="n">
        <v>52</v>
      </c>
      <c r="L71" s="56"/>
      <c r="M71" s="0" t="n">
        <v>65</v>
      </c>
      <c r="N71" s="57" t="n">
        <v>60</v>
      </c>
      <c r="O71" s="65" t="n">
        <f aca="false">IF(SUM(C71:E71)&gt;0,AVERAGE(C71:E71),"")</f>
        <v>55.3333333333333</v>
      </c>
      <c r="P71" s="66" t="n">
        <f aca="false">IF(SUM(C71:E71)&gt;0, ( IF(C71&gt;0,(C71-O71)^2,0) + IF(D71&gt;0,(D71-O71)^2,0) + IF(E71&gt;0,(E71-O71)^2,0) ) / COUNT(C71:E71),"")</f>
        <v>16.2222222222222</v>
      </c>
      <c r="Q71" s="63" t="n">
        <f aca="false">IF(SUM(C71:E71)&gt;0,SQRT(P71),"")</f>
        <v>4.02768199119819</v>
      </c>
      <c r="R71" s="63" t="n">
        <f aca="false">IF(COUNT(C71:E71)&gt;0,VLOOKUP(COUNT(C71:E71),$AX$2:$AZ$5,3)*(Q71/SQRT(COUNT(C71:E71))),"")</f>
        <v>10.006124261708</v>
      </c>
      <c r="S71" s="63" t="n">
        <f aca="false">IF(COUNT(C71:E71)&gt;0,O71-R71,"")</f>
        <v>45.3272090716254</v>
      </c>
      <c r="T71" s="63" t="n">
        <f aca="false">IF(COUNT(C71:E71)&gt;0,O71+R71,"")</f>
        <v>65.3394575950413</v>
      </c>
      <c r="U71" s="64" t="n">
        <f aca="false">IF(COUNT(C71:E71)&gt;0,Q71/O71,"")</f>
        <v>0.0727894335758709</v>
      </c>
      <c r="V71" s="65" t="n">
        <f aca="false">IF(SUM(F71:H71)&gt;0,AVERAGE(F71:H71),"")</f>
        <v>59.6666666666667</v>
      </c>
      <c r="W71" s="66" t="n">
        <f aca="false">IF(SUM(F71:H71)&gt;0, ( IF(F71&gt;0,(F71-V71)^2,0) + IF(G71&gt;0,(G71-V71)^2,0) + IF(H71&gt;0,(H71-V71)^2,0) ) / COUNT(F71:H71),"")</f>
        <v>6.22222222222222</v>
      </c>
      <c r="X71" s="63" t="n">
        <f aca="false">IF(SUM(F71:H71)&gt;0,SQRT(W71),"")</f>
        <v>2.49443825784929</v>
      </c>
      <c r="Y71" s="63" t="n">
        <f aca="false">IF(COUNT(F71:H71)&gt;0,VLOOKUP(COUNT(F71:H71),$AX$2:$AZ$5,3)*(X71/SQRT(COUNT(F71:H71))),"")</f>
        <v>6.19702827227756</v>
      </c>
      <c r="Z71" s="63" t="n">
        <f aca="false">IF(COUNT(F71:H71)&gt;0,V71-Y71,"")</f>
        <v>53.4696383943891</v>
      </c>
      <c r="AA71" s="63" t="n">
        <f aca="false">IF(COUNT(F71:H71)&gt;0,V71+Y71,"")</f>
        <v>65.8636949389442</v>
      </c>
      <c r="AB71" s="64" t="n">
        <f aca="false">IF(COUNT(F71:H71)&gt;0,X71/V71,"")</f>
        <v>0.0418062277851837</v>
      </c>
      <c r="AC71" s="26"/>
      <c r="AD71" s="65" t="n">
        <f aca="false">IF(SUM(I71:K71)&gt;0,AVERAGE(I71:K71),"")</f>
        <v>56.3333333333333</v>
      </c>
      <c r="AE71" s="66" t="n">
        <f aca="false">IF(SUM(I71:K71)&gt;0, ( IF(I71&gt;0,(I71-AD71)^2,0) + IF(J71&gt;0,(J71-AD71)^2,0) + IF(K71&gt;0,(K71-AD71)^2,0) ) / COUNT(I71:K71),"")</f>
        <v>22.8888888888889</v>
      </c>
      <c r="AF71" s="63" t="n">
        <f aca="false">IF(SUM(I71:K71)&gt;0,SQRT(AE71),"")</f>
        <v>4.78423336480244</v>
      </c>
      <c r="AG71" s="63" t="n">
        <f aca="false">IF(COUNT(I71:K71)&gt;0,VLOOKUP(COUNT(I71:K71),$AX$2:$AZ$5,3)*(AF71/SQRT(COUNT(I71:K71))),"")</f>
        <v>11.8856537457122</v>
      </c>
      <c r="AH71" s="63" t="n">
        <f aca="false">IF(COUNT(I71:K71)&gt;0,AD71-AG71,"")</f>
        <v>44.4476795876211</v>
      </c>
      <c r="AI71" s="63" t="n">
        <f aca="false">IF(COUNT(I71:K71)&gt;0,AD71+AG71,"")</f>
        <v>68.2189870790456</v>
      </c>
      <c r="AJ71" s="64" t="n">
        <f aca="false">IF(COUNT(I71:K71)&gt;0,AF71/AD71,"")</f>
        <v>0.0849272194935345</v>
      </c>
      <c r="AK71" s="65" t="n">
        <f aca="false">IF(SUM(L71:N71)&gt;0,AVERAGE(L71:N71),"")</f>
        <v>62.5</v>
      </c>
      <c r="AL71" s="66" t="n">
        <f aca="false">IF(SUM(L71:N71)&gt;0, ( IF(L71&gt;0,(L71-AK71)^2,0) + IF(M71&gt;0,(M71-AK71)^2,0) + IF(N71&gt;0,(N71-AK71)^2,0) ) / COUNT(L71:N71),"")</f>
        <v>6.25</v>
      </c>
      <c r="AM71" s="63" t="n">
        <f aca="false">IF(SUM(L71:N71)&gt;0,SQRT(AL71),"")</f>
        <v>2.5</v>
      </c>
      <c r="AN71" s="63" t="n">
        <f aca="false">IF(COUNT(L71:N71)&gt;0,VLOOKUP(COUNT(L71:N71),$AX$2:$AZ$5,3)*(AM71/SQRT(COUNT(L71:N71))),"")</f>
        <v>22.4612469043907</v>
      </c>
      <c r="AO71" s="63" t="n">
        <f aca="false">IF(COUNT(L71:N71)&gt;0,AK71-AN71,"")</f>
        <v>40.0387530956093</v>
      </c>
      <c r="AP71" s="63" t="n">
        <f aca="false">IF(COUNT(L71:N71)&gt;0,AK71+AN71,"")</f>
        <v>84.9612469043907</v>
      </c>
      <c r="AQ71" s="64" t="n">
        <f aca="false">IF(COUNT(L71:N71)&gt;0,AM71/AK71,"")</f>
        <v>0.04</v>
      </c>
    </row>
    <row r="72" customFormat="false" ht="12.8" hidden="false" customHeight="false" outlineLevel="0" collapsed="false">
      <c r="A72" s="56" t="s">
        <v>38</v>
      </c>
      <c r="B72" s="57" t="n">
        <v>82</v>
      </c>
      <c r="C72" s="56" t="n">
        <v>46</v>
      </c>
      <c r="D72" s="25" t="n">
        <v>57</v>
      </c>
      <c r="E72" s="57" t="n">
        <v>47</v>
      </c>
      <c r="F72" s="58" t="n">
        <v>49</v>
      </c>
      <c r="G72" s="0" t="n">
        <v>48</v>
      </c>
      <c r="H72" s="59" t="n">
        <v>53</v>
      </c>
      <c r="I72" s="56" t="n">
        <v>45</v>
      </c>
      <c r="J72" s="0" t="n">
        <v>56</v>
      </c>
      <c r="K72" s="57" t="n">
        <v>42</v>
      </c>
      <c r="L72" s="56"/>
      <c r="M72" s="0" t="n">
        <v>51</v>
      </c>
      <c r="N72" s="57" t="n">
        <v>45</v>
      </c>
      <c r="O72" s="65" t="n">
        <f aca="false">IF(SUM(C72:E72)&gt;0,AVERAGE(C72:E72),"")</f>
        <v>50</v>
      </c>
      <c r="P72" s="66" t="n">
        <f aca="false">IF(SUM(C72:E72)&gt;0, ( IF(C72&gt;0,(C72-O72)^2,0) + IF(D72&gt;0,(D72-O72)^2,0) + IF(E72&gt;0,(E72-O72)^2,0) ) / COUNT(C72:E72),"")</f>
        <v>24.6666666666667</v>
      </c>
      <c r="Q72" s="63" t="n">
        <f aca="false">IF(SUM(C72:E72)&gt;0,SQRT(P72),"")</f>
        <v>4.96655480858378</v>
      </c>
      <c r="R72" s="63" t="n">
        <f aca="false">IF(COUNT(C72:E72)&gt;0,VLOOKUP(COUNT(C72:E72),$AX$2:$AZ$5,3)*(Q72/SQRT(COUNT(C72:E72))),"")</f>
        <v>12.3386018746948</v>
      </c>
      <c r="S72" s="63" t="n">
        <f aca="false">IF(COUNT(C72:E72)&gt;0,O72-R72,"")</f>
        <v>37.6613981253052</v>
      </c>
      <c r="T72" s="63" t="n">
        <f aca="false">IF(COUNT(C72:E72)&gt;0,O72+R72,"")</f>
        <v>62.3386018746948</v>
      </c>
      <c r="U72" s="64" t="n">
        <f aca="false">IF(COUNT(C72:E72)&gt;0,Q72/O72,"")</f>
        <v>0.0993310961716756</v>
      </c>
      <c r="V72" s="65" t="n">
        <f aca="false">IF(SUM(F72:H72)&gt;0,AVERAGE(F72:H72),"")</f>
        <v>50</v>
      </c>
      <c r="W72" s="66" t="n">
        <f aca="false">IF(SUM(F72:H72)&gt;0, ( IF(F72&gt;0,(F72-V72)^2,0) + IF(G72&gt;0,(G72-V72)^2,0) + IF(H72&gt;0,(H72-V72)^2,0) ) / COUNT(F72:H72),"")</f>
        <v>4.66666666666667</v>
      </c>
      <c r="X72" s="63" t="n">
        <f aca="false">IF(SUM(F72:H72)&gt;0,SQRT(W72),"")</f>
        <v>2.16024689946929</v>
      </c>
      <c r="Y72" s="63" t="n">
        <f aca="false">IF(COUNT(F72:H72)&gt;0,VLOOKUP(COUNT(F72:H72),$AX$2:$AZ$5,3)*(X72/SQRT(COUNT(F72:H72))),"")</f>
        <v>5.36678391176276</v>
      </c>
      <c r="Z72" s="63" t="n">
        <f aca="false">IF(COUNT(F72:H72)&gt;0,V72-Y72,"")</f>
        <v>44.6332160882372</v>
      </c>
      <c r="AA72" s="63" t="n">
        <f aca="false">IF(COUNT(F72:H72)&gt;0,V72+Y72,"")</f>
        <v>55.3667839117628</v>
      </c>
      <c r="AB72" s="64" t="n">
        <f aca="false">IF(COUNT(F72:H72)&gt;0,X72/V72,"")</f>
        <v>0.0432049379893857</v>
      </c>
      <c r="AC72" s="26"/>
      <c r="AD72" s="65" t="n">
        <f aca="false">IF(SUM(I72:K72)&gt;0,AVERAGE(I72:K72),"")</f>
        <v>47.6666666666667</v>
      </c>
      <c r="AE72" s="66" t="n">
        <f aca="false">IF(SUM(I72:K72)&gt;0, ( IF(I72&gt;0,(I72-AD72)^2,0) + IF(J72&gt;0,(J72-AD72)^2,0) + IF(K72&gt;0,(K72-AD72)^2,0) ) / COUNT(I72:K72),"")</f>
        <v>36.2222222222222</v>
      </c>
      <c r="AF72" s="63" t="n">
        <f aca="false">IF(SUM(I72:K72)&gt;0,SQRT(AE72),"")</f>
        <v>6.0184900284226</v>
      </c>
      <c r="AG72" s="63" t="n">
        <f aca="false">IF(COUNT(I72:K72)&gt;0,VLOOKUP(COUNT(I72:K72),$AX$2:$AZ$5,3)*(AF72/SQRT(COUNT(I72:K72))),"")</f>
        <v>14.951964734021</v>
      </c>
      <c r="AH72" s="63" t="n">
        <f aca="false">IF(COUNT(I72:K72)&gt;0,AD72-AG72,"")</f>
        <v>32.7147019326457</v>
      </c>
      <c r="AI72" s="63" t="n">
        <f aca="false">IF(COUNT(I72:K72)&gt;0,AD72+AG72,"")</f>
        <v>62.6186314006877</v>
      </c>
      <c r="AJ72" s="64" t="n">
        <f aca="false">IF(COUNT(I72:K72)&gt;0,AF72/AD72,"")</f>
        <v>0.126262028568306</v>
      </c>
      <c r="AK72" s="65" t="n">
        <f aca="false">IF(SUM(L72:N72)&gt;0,AVERAGE(L72:N72),"")</f>
        <v>48</v>
      </c>
      <c r="AL72" s="66" t="n">
        <f aca="false">IF(SUM(L72:N72)&gt;0, ( IF(L72&gt;0,(L72-AK72)^2,0) + IF(M72&gt;0,(M72-AK72)^2,0) + IF(N72&gt;0,(N72-AK72)^2,0) ) / COUNT(L72:N72),"")</f>
        <v>9</v>
      </c>
      <c r="AM72" s="63" t="n">
        <f aca="false">IF(SUM(L72:N72)&gt;0,SQRT(AL72),"")</f>
        <v>3</v>
      </c>
      <c r="AN72" s="63" t="n">
        <f aca="false">IF(COUNT(L72:N72)&gt;0,VLOOKUP(COUNT(L72:N72),$AX$2:$AZ$5,3)*(AM72/SQRT(COUNT(L72:N72))),"")</f>
        <v>26.9534962852688</v>
      </c>
      <c r="AO72" s="63" t="n">
        <f aca="false">IF(COUNT(L72:N72)&gt;0,AK72-AN72,"")</f>
        <v>21.0465037147312</v>
      </c>
      <c r="AP72" s="63" t="n">
        <f aca="false">IF(COUNT(L72:N72)&gt;0,AK72+AN72,"")</f>
        <v>74.9534962852688</v>
      </c>
      <c r="AQ72" s="64" t="n">
        <f aca="false">IF(COUNT(L72:N72)&gt;0,AM72/AK72,"")</f>
        <v>0.0625</v>
      </c>
    </row>
    <row r="73" customFormat="false" ht="12.8" hidden="false" customHeight="false" outlineLevel="0" collapsed="false">
      <c r="A73" s="56" t="s">
        <v>38</v>
      </c>
      <c r="B73" s="57" t="n">
        <v>100</v>
      </c>
      <c r="C73" s="56" t="n">
        <v>43</v>
      </c>
      <c r="D73" s="25" t="n">
        <v>40</v>
      </c>
      <c r="E73" s="57" t="n">
        <v>47</v>
      </c>
      <c r="F73" s="58" t="n">
        <v>50</v>
      </c>
      <c r="G73" s="0" t="n">
        <v>44</v>
      </c>
      <c r="H73" s="59" t="n">
        <v>43</v>
      </c>
      <c r="I73" s="56" t="n">
        <v>42</v>
      </c>
      <c r="J73" s="0" t="n">
        <v>49</v>
      </c>
      <c r="K73" s="57" t="n">
        <v>152</v>
      </c>
      <c r="L73" s="56"/>
      <c r="M73" s="0" t="n">
        <v>44</v>
      </c>
      <c r="N73" s="57" t="n">
        <v>40</v>
      </c>
      <c r="O73" s="65" t="n">
        <f aca="false">IF(SUM(C73:E73)&gt;0,AVERAGE(C73:E73),"")</f>
        <v>43.3333333333333</v>
      </c>
      <c r="P73" s="66" t="n">
        <f aca="false">IF(SUM(C73:E73)&gt;0, ( IF(C73&gt;0,(C73-O73)^2,0) + IF(D73&gt;0,(D73-O73)^2,0) + IF(E73&gt;0,(E73-O73)^2,0) ) / COUNT(C73:E73),"")</f>
        <v>8.22222222222222</v>
      </c>
      <c r="Q73" s="63" t="n">
        <f aca="false">IF(SUM(C73:E73)&gt;0,SQRT(P73),"")</f>
        <v>2.86744175568088</v>
      </c>
      <c r="R73" s="63" t="n">
        <f aca="false">IF(COUNT(C73:E73)&gt;0,VLOOKUP(COUNT(C73:E73),$AX$2:$AZ$5,3)*(Q73/SQRT(COUNT(C73:E73))),"")</f>
        <v>7.12369511377867</v>
      </c>
      <c r="S73" s="63" t="n">
        <f aca="false">IF(COUNT(C73:E73)&gt;0,O73-R73,"")</f>
        <v>36.2096382195547</v>
      </c>
      <c r="T73" s="63" t="n">
        <f aca="false">IF(COUNT(C73:E73)&gt;0,O73+R73,"")</f>
        <v>50.457028447112</v>
      </c>
      <c r="U73" s="64" t="n">
        <f aca="false">IF(COUNT(C73:E73)&gt;0,Q73/O73,"")</f>
        <v>0.0661717328234048</v>
      </c>
      <c r="V73" s="65" t="n">
        <f aca="false">IF(SUM(F73:H73)&gt;0,AVERAGE(F73:H73),"")</f>
        <v>45.6666666666667</v>
      </c>
      <c r="W73" s="66" t="n">
        <f aca="false">IF(SUM(F73:H73)&gt;0, ( IF(F73&gt;0,(F73-V73)^2,0) + IF(G73&gt;0,(G73-V73)^2,0) + IF(H73&gt;0,(H73-V73)^2,0) ) / COUNT(F73:H73),"")</f>
        <v>9.55555555555556</v>
      </c>
      <c r="X73" s="63" t="n">
        <f aca="false">IF(SUM(F73:H73)&gt;0,SQRT(W73),"")</f>
        <v>3.09120616516524</v>
      </c>
      <c r="Y73" s="63" t="n">
        <f aca="false">IF(COUNT(F73:H73)&gt;0,VLOOKUP(COUNT(F73:H73),$AX$2:$AZ$5,3)*(X73/SQRT(COUNT(F73:H73))),"")</f>
        <v>7.67960158592349</v>
      </c>
      <c r="Z73" s="63" t="n">
        <f aca="false">IF(COUNT(F73:H73)&gt;0,V73-Y73,"")</f>
        <v>37.9870650807432</v>
      </c>
      <c r="AA73" s="63" t="n">
        <f aca="false">IF(COUNT(F73:H73)&gt;0,V73+Y73,"")</f>
        <v>53.3462682525902</v>
      </c>
      <c r="AB73" s="64" t="n">
        <f aca="false">IF(COUNT(F73:H73)&gt;0,X73/V73,"")</f>
        <v>0.0676906459525234</v>
      </c>
      <c r="AC73" s="26"/>
      <c r="AD73" s="65" t="n">
        <f aca="false">IF(SUM(I73:K73)&gt;0,AVERAGE(I73:K73),"")</f>
        <v>81</v>
      </c>
      <c r="AE73" s="66" t="n">
        <f aca="false">IF(SUM(I73:K73)&gt;0, ( IF(I73&gt;0,(I73-AD73)^2,0) + IF(J73&gt;0,(J73-AD73)^2,0) + IF(K73&gt;0,(K73-AD73)^2,0) ) / COUNT(I73:K73),"")</f>
        <v>2528.66666666667</v>
      </c>
      <c r="AF73" s="63" t="n">
        <f aca="false">IF(SUM(I73:K73)&gt;0,SQRT(AE73),"")</f>
        <v>50.2858495669176</v>
      </c>
      <c r="AG73" s="63" t="n">
        <f aca="false">IF(COUNT(I73:K73)&gt;0,VLOOKUP(COUNT(I73:K73),$AX$2:$AZ$5,3)*(AF73/SQRT(COUNT(I73:K73))),"")</f>
        <v>124.927057417074</v>
      </c>
      <c r="AH73" s="63" t="n">
        <f aca="false">IF(COUNT(I73:K73)&gt;0,AD73-AG73,"")</f>
        <v>-43.9270574170739</v>
      </c>
      <c r="AI73" s="63" t="n">
        <f aca="false">IF(COUNT(I73:K73)&gt;0,AD73+AG73,"")</f>
        <v>205.927057417074</v>
      </c>
      <c r="AJ73" s="64" t="n">
        <f aca="false">IF(COUNT(I73:K73)&gt;0,AF73/AD73,"")</f>
        <v>0.620812957616267</v>
      </c>
      <c r="AK73" s="65" t="n">
        <f aca="false">IF(SUM(L73:N73)&gt;0,AVERAGE(L73:N73),"")</f>
        <v>42</v>
      </c>
      <c r="AL73" s="66" t="n">
        <f aca="false">IF(SUM(L73:N73)&gt;0, ( IF(L73&gt;0,(L73-AK73)^2,0) + IF(M73&gt;0,(M73-AK73)^2,0) + IF(N73&gt;0,(N73-AK73)^2,0) ) / COUNT(L73:N73),"")</f>
        <v>4</v>
      </c>
      <c r="AM73" s="63" t="n">
        <f aca="false">IF(SUM(L73:N73)&gt;0,SQRT(AL73),"")</f>
        <v>2</v>
      </c>
      <c r="AN73" s="63" t="n">
        <f aca="false">IF(COUNT(L73:N73)&gt;0,VLOOKUP(COUNT(L73:N73),$AX$2:$AZ$5,3)*(AM73/SQRT(COUNT(L73:N73))),"")</f>
        <v>17.9689975235125</v>
      </c>
      <c r="AO73" s="63" t="n">
        <f aca="false">IF(COUNT(L73:N73)&gt;0,AK73-AN73,"")</f>
        <v>24.0310024764875</v>
      </c>
      <c r="AP73" s="63" t="n">
        <f aca="false">IF(COUNT(L73:N73)&gt;0,AK73+AN73,"")</f>
        <v>59.9689975235125</v>
      </c>
      <c r="AQ73" s="64" t="n">
        <f aca="false">IF(COUNT(L73:N73)&gt;0,AM73/AK73,"")</f>
        <v>0.0476190476190476</v>
      </c>
    </row>
    <row r="74" customFormat="false" ht="12.8" hidden="false" customHeight="false" outlineLevel="0" collapsed="false">
      <c r="A74" s="56" t="s">
        <v>39</v>
      </c>
      <c r="B74" s="57" t="n">
        <v>5</v>
      </c>
      <c r="C74" s="56" t="n">
        <v>1756</v>
      </c>
      <c r="D74" s="25"/>
      <c r="E74" s="57"/>
      <c r="F74" s="58"/>
      <c r="H74" s="59"/>
      <c r="I74" s="56"/>
      <c r="K74" s="57"/>
      <c r="L74" s="56"/>
      <c r="N74" s="57"/>
      <c r="O74" s="65" t="n">
        <f aca="false">IF(SUM(C74:E74)&gt;0,AVERAGE(C74:E74),"")</f>
        <v>1756</v>
      </c>
      <c r="P74" s="66" t="n">
        <f aca="false">IF(SUM(C74:E74)&gt;0, ( IF(C74&gt;0,(C74-O74)^2,0) + IF(D74&gt;0,(D74-O74)^2,0) + IF(E74&gt;0,(E74-O74)^2,0) ) / COUNT(C74:E74),"")</f>
        <v>0</v>
      </c>
      <c r="Q74" s="63" t="n">
        <f aca="false">IF(SUM(C74:E74)&gt;0,SQRT(P74),"")</f>
        <v>0</v>
      </c>
      <c r="R74" s="63" t="n">
        <f aca="false">IF(COUNT(C74:E74)&gt;0,VLOOKUP(COUNT(C74:E74),$AX$2:$AZ$5,3)*(Q74/SQRT(COUNT(C74:E74))),"")</f>
        <v>0</v>
      </c>
      <c r="S74" s="63" t="n">
        <f aca="false">IF(COUNT(C74:E74)&gt;0,O74-R74,"")</f>
        <v>1756</v>
      </c>
      <c r="T74" s="63" t="n">
        <f aca="false">IF(COUNT(C74:E74)&gt;0,O74+R74,"")</f>
        <v>1756</v>
      </c>
      <c r="U74" s="64" t="n">
        <f aca="false">IF(COUNT(C74:E74)&gt;0,Q74/O74,"")</f>
        <v>0</v>
      </c>
      <c r="V74" s="65" t="str">
        <f aca="false">IF(SUM(F74:H74)&gt;0,AVERAGE(F74:H74),"")</f>
        <v/>
      </c>
      <c r="W74" s="66" t="str">
        <f aca="false">IF(SUM(F74:H74)&gt;0, ( IF(F74&gt;0,(F74-V74)^2,0) + IF(G74&gt;0,(G74-V74)^2,0) + IF(H74&gt;0,(H74-V74)^2,0) ) / COUNT(F74:H74),"")</f>
        <v/>
      </c>
      <c r="X74" s="63" t="str">
        <f aca="false">IF(SUM(F74:H74)&gt;0,SQRT(W74),"")</f>
        <v/>
      </c>
      <c r="Y74" s="63" t="str">
        <f aca="false">IF(COUNT(F74:H74)&gt;0,VLOOKUP(COUNT(F74:H74),$AX$2:$AZ$5,3)*(X74/SQRT(COUNT(F74:H74))),"")</f>
        <v/>
      </c>
      <c r="Z74" s="63" t="str">
        <f aca="false">IF(COUNT(F74:H74)&gt;0,V74-Y74,"")</f>
        <v/>
      </c>
      <c r="AA74" s="63" t="str">
        <f aca="false">IF(COUNT(F74:H74)&gt;0,V74+Y74,"")</f>
        <v/>
      </c>
      <c r="AB74" s="64" t="str">
        <f aca="false">IF(COUNT(F74:H74)&gt;0,X74/V74,"")</f>
        <v/>
      </c>
      <c r="AC74" s="26"/>
      <c r="AD74" s="65" t="str">
        <f aca="false">IF(SUM(I74:K74)&gt;0,AVERAGE(I74:K74),"")</f>
        <v/>
      </c>
      <c r="AE74" s="66" t="str">
        <f aca="false">IF(SUM(I74:K74)&gt;0, ( IF(I74&gt;0,(I74-AD74)^2,0) + IF(J74&gt;0,(J74-AD74)^2,0) + IF(K74&gt;0,(K74-AD74)^2,0) ) / COUNT(I74:K74),"")</f>
        <v/>
      </c>
      <c r="AF74" s="63" t="str">
        <f aca="false">IF(SUM(I74:K74)&gt;0,SQRT(AE74),"")</f>
        <v/>
      </c>
      <c r="AG74" s="63" t="str">
        <f aca="false">IF(COUNT(I74:K74)&gt;0,VLOOKUP(COUNT(I74:K74),$AX$2:$AZ$5,3)*(AF74/SQRT(COUNT(I74:K74))),"")</f>
        <v/>
      </c>
      <c r="AH74" s="63" t="str">
        <f aca="false">IF(COUNT(I74:K74)&gt;0,AD74-AG74,"")</f>
        <v/>
      </c>
      <c r="AI74" s="63" t="str">
        <f aca="false">IF(COUNT(I74:K74)&gt;0,AD74+AG74,"")</f>
        <v/>
      </c>
      <c r="AJ74" s="64" t="str">
        <f aca="false">IF(COUNT(I74:K74)&gt;0,AF74/AD74,"")</f>
        <v/>
      </c>
      <c r="AK74" s="65" t="str">
        <f aca="false">IF(SUM(L74:N74)&gt;0,AVERAGE(L74:N74),"")</f>
        <v/>
      </c>
      <c r="AL74" s="66" t="str">
        <f aca="false">IF(SUM(L74:N74)&gt;0, ( IF(L74&gt;0,(L74-AK74)^2,0) + IF(M74&gt;0,(M74-AK74)^2,0) + IF(N74&gt;0,(N74-AK74)^2,0) ) / COUNT(L74:N74),"")</f>
        <v/>
      </c>
      <c r="AM74" s="63" t="str">
        <f aca="false">IF(SUM(L74:N74)&gt;0,SQRT(AL74),"")</f>
        <v/>
      </c>
      <c r="AN74" s="63" t="str">
        <f aca="false">IF(COUNT(L74:N74)&gt;0,VLOOKUP(COUNT(L74:N74),$AX$2:$AZ$5,3)*(AM74/SQRT(COUNT(L74:N74))),"")</f>
        <v/>
      </c>
      <c r="AO74" s="63" t="str">
        <f aca="false">IF(COUNT(L74:N74)&gt;0,AK74-AN74,"")</f>
        <v/>
      </c>
      <c r="AP74" s="63" t="str">
        <f aca="false">IF(COUNT(L74:N74)&gt;0,AK74+AN74,"")</f>
        <v/>
      </c>
      <c r="AQ74" s="64" t="str">
        <f aca="false">IF(COUNT(L74:N74)&gt;0,AM74/AK74,"")</f>
        <v/>
      </c>
    </row>
    <row r="75" customFormat="false" ht="12.8" hidden="false" customHeight="false" outlineLevel="0" collapsed="false">
      <c r="A75" s="56" t="s">
        <v>39</v>
      </c>
      <c r="B75" s="57" t="n">
        <v>10</v>
      </c>
      <c r="C75" s="56" t="n">
        <v>1352</v>
      </c>
      <c r="D75" s="25"/>
      <c r="E75" s="57"/>
      <c r="F75" s="58"/>
      <c r="H75" s="59"/>
      <c r="I75" s="56"/>
      <c r="K75" s="57"/>
      <c r="L75" s="56"/>
      <c r="N75" s="57"/>
      <c r="O75" s="65" t="n">
        <f aca="false">IF(SUM(C75:E75)&gt;0,AVERAGE(C75:E75),"")</f>
        <v>1352</v>
      </c>
      <c r="P75" s="66" t="n">
        <f aca="false">IF(SUM(C75:E75)&gt;0, ( IF(C75&gt;0,(C75-O75)^2,0) + IF(D75&gt;0,(D75-O75)^2,0) + IF(E75&gt;0,(E75-O75)^2,0) ) / COUNT(C75:E75),"")</f>
        <v>0</v>
      </c>
      <c r="Q75" s="63" t="n">
        <f aca="false">IF(SUM(C75:E75)&gt;0,SQRT(P75),"")</f>
        <v>0</v>
      </c>
      <c r="R75" s="63" t="n">
        <f aca="false">IF(COUNT(C75:E75)&gt;0,VLOOKUP(COUNT(C75:E75),$AX$2:$AZ$5,3)*(Q75/SQRT(COUNT(C75:E75))),"")</f>
        <v>0</v>
      </c>
      <c r="S75" s="63" t="n">
        <f aca="false">IF(COUNT(C75:E75)&gt;0,O75-R75,"")</f>
        <v>1352</v>
      </c>
      <c r="T75" s="63" t="n">
        <f aca="false">IF(COUNT(C75:E75)&gt;0,O75+R75,"")</f>
        <v>1352</v>
      </c>
      <c r="U75" s="64" t="n">
        <f aca="false">IF(COUNT(C75:E75)&gt;0,Q75/O75,"")</f>
        <v>0</v>
      </c>
      <c r="V75" s="65" t="str">
        <f aca="false">IF(SUM(F75:H75)&gt;0,AVERAGE(F75:H75),"")</f>
        <v/>
      </c>
      <c r="W75" s="66" t="str">
        <f aca="false">IF(SUM(F75:H75)&gt;0, ( IF(F75&gt;0,(F75-V75)^2,0) + IF(G75&gt;0,(G75-V75)^2,0) + IF(H75&gt;0,(H75-V75)^2,0) ) / COUNT(F75:H75),"")</f>
        <v/>
      </c>
      <c r="X75" s="63" t="str">
        <f aca="false">IF(SUM(F75:H75)&gt;0,SQRT(W75),"")</f>
        <v/>
      </c>
      <c r="Y75" s="63" t="str">
        <f aca="false">IF(COUNT(F75:H75)&gt;0,VLOOKUP(COUNT(F75:H75),$AX$2:$AZ$5,3)*(X75/SQRT(COUNT(F75:H75))),"")</f>
        <v/>
      </c>
      <c r="Z75" s="63" t="str">
        <f aca="false">IF(COUNT(F75:H75)&gt;0,V75-Y75,"")</f>
        <v/>
      </c>
      <c r="AA75" s="63" t="str">
        <f aca="false">IF(COUNT(F75:H75)&gt;0,V75+Y75,"")</f>
        <v/>
      </c>
      <c r="AB75" s="64" t="str">
        <f aca="false">IF(COUNT(F75:H75)&gt;0,X75/V75,"")</f>
        <v/>
      </c>
      <c r="AC75" s="26"/>
      <c r="AD75" s="65" t="str">
        <f aca="false">IF(SUM(I75:K75)&gt;0,AVERAGE(I75:K75),"")</f>
        <v/>
      </c>
      <c r="AE75" s="66" t="str">
        <f aca="false">IF(SUM(I75:K75)&gt;0, ( IF(I75&gt;0,(I75-AD75)^2,0) + IF(J75&gt;0,(J75-AD75)^2,0) + IF(K75&gt;0,(K75-AD75)^2,0) ) / COUNT(I75:K75),"")</f>
        <v/>
      </c>
      <c r="AF75" s="63" t="str">
        <f aca="false">IF(SUM(I75:K75)&gt;0,SQRT(AE75),"")</f>
        <v/>
      </c>
      <c r="AG75" s="63" t="str">
        <f aca="false">IF(COUNT(I75:K75)&gt;0,VLOOKUP(COUNT(I75:K75),$AX$2:$AZ$5,3)*(AF75/SQRT(COUNT(I75:K75))),"")</f>
        <v/>
      </c>
      <c r="AH75" s="63" t="str">
        <f aca="false">IF(COUNT(I75:K75)&gt;0,AD75-AG75,"")</f>
        <v/>
      </c>
      <c r="AI75" s="63" t="str">
        <f aca="false">IF(COUNT(I75:K75)&gt;0,AD75+AG75,"")</f>
        <v/>
      </c>
      <c r="AJ75" s="64" t="str">
        <f aca="false">IF(COUNT(I75:K75)&gt;0,AF75/AD75,"")</f>
        <v/>
      </c>
      <c r="AK75" s="65" t="str">
        <f aca="false">IF(SUM(L75:N75)&gt;0,AVERAGE(L75:N75),"")</f>
        <v/>
      </c>
      <c r="AL75" s="66" t="str">
        <f aca="false">IF(SUM(L75:N75)&gt;0, ( IF(L75&gt;0,(L75-AK75)^2,0) + IF(M75&gt;0,(M75-AK75)^2,0) + IF(N75&gt;0,(N75-AK75)^2,0) ) / COUNT(L75:N75),"")</f>
        <v/>
      </c>
      <c r="AM75" s="63" t="str">
        <f aca="false">IF(SUM(L75:N75)&gt;0,SQRT(AL75),"")</f>
        <v/>
      </c>
      <c r="AN75" s="63" t="str">
        <f aca="false">IF(COUNT(L75:N75)&gt;0,VLOOKUP(COUNT(L75:N75),$AX$2:$AZ$5,3)*(AM75/SQRT(COUNT(L75:N75))),"")</f>
        <v/>
      </c>
      <c r="AO75" s="63" t="str">
        <f aca="false">IF(COUNT(L75:N75)&gt;0,AK75-AN75,"")</f>
        <v/>
      </c>
      <c r="AP75" s="63" t="str">
        <f aca="false">IF(COUNT(L75:N75)&gt;0,AK75+AN75,"")</f>
        <v/>
      </c>
      <c r="AQ75" s="64" t="str">
        <f aca="false">IF(COUNT(L75:N75)&gt;0,AM75/AK75,"")</f>
        <v/>
      </c>
    </row>
    <row r="76" customFormat="false" ht="12.8" hidden="false" customHeight="false" outlineLevel="0" collapsed="false">
      <c r="A76" s="56" t="s">
        <v>39</v>
      </c>
      <c r="B76" s="57" t="n">
        <v>15</v>
      </c>
      <c r="C76" s="56" t="n">
        <v>919</v>
      </c>
      <c r="D76" s="25"/>
      <c r="E76" s="57" t="n">
        <v>770</v>
      </c>
      <c r="F76" s="58"/>
      <c r="H76" s="59"/>
      <c r="I76" s="56"/>
      <c r="K76" s="57"/>
      <c r="L76" s="56"/>
      <c r="N76" s="57"/>
      <c r="O76" s="65" t="n">
        <f aca="false">IF(SUM(C76:E76)&gt;0,AVERAGE(C76:E76),"")</f>
        <v>844.5</v>
      </c>
      <c r="P76" s="66" t="n">
        <f aca="false">IF(SUM(C76:E76)&gt;0, ( IF(C76&gt;0,(C76-O76)^2,0) + IF(D76&gt;0,(D76-O76)^2,0) + IF(E76&gt;0,(E76-O76)^2,0) ) / COUNT(C76:E76),"")</f>
        <v>5550.25</v>
      </c>
      <c r="Q76" s="63" t="n">
        <f aca="false">IF(SUM(C76:E76)&gt;0,SQRT(P76),"")</f>
        <v>74.5</v>
      </c>
      <c r="R76" s="63" t="n">
        <f aca="false">IF(COUNT(C76:E76)&gt;0,VLOOKUP(COUNT(C76:E76),$AX$2:$AZ$5,3)*(Q76/SQRT(COUNT(C76:E76))),"")</f>
        <v>669.345157750842</v>
      </c>
      <c r="S76" s="63" t="n">
        <f aca="false">IF(COUNT(C76:E76)&gt;0,O76-R76,"")</f>
        <v>175.154842249158</v>
      </c>
      <c r="T76" s="63" t="n">
        <f aca="false">IF(COUNT(C76:E76)&gt;0,O76+R76,"")</f>
        <v>1513.84515775084</v>
      </c>
      <c r="U76" s="64" t="n">
        <f aca="false">IF(COUNT(C76:E76)&gt;0,Q76/O76,"")</f>
        <v>0.0882178804026051</v>
      </c>
      <c r="V76" s="65" t="str">
        <f aca="false">IF(SUM(F76:H76)&gt;0,AVERAGE(F76:H76),"")</f>
        <v/>
      </c>
      <c r="W76" s="66" t="str">
        <f aca="false">IF(SUM(F76:H76)&gt;0, ( IF(F76&gt;0,(F76-V76)^2,0) + IF(G76&gt;0,(G76-V76)^2,0) + IF(H76&gt;0,(H76-V76)^2,0) ) / COUNT(F76:H76),"")</f>
        <v/>
      </c>
      <c r="X76" s="63" t="str">
        <f aca="false">IF(SUM(F76:H76)&gt;0,SQRT(W76),"")</f>
        <v/>
      </c>
      <c r="Y76" s="63" t="str">
        <f aca="false">IF(COUNT(F76:H76)&gt;0,VLOOKUP(COUNT(F76:H76),$AX$2:$AZ$5,3)*(X76/SQRT(COUNT(F76:H76))),"")</f>
        <v/>
      </c>
      <c r="Z76" s="63" t="str">
        <f aca="false">IF(COUNT(F76:H76)&gt;0,V76-Y76,"")</f>
        <v/>
      </c>
      <c r="AA76" s="63" t="str">
        <f aca="false">IF(COUNT(F76:H76)&gt;0,V76+Y76,"")</f>
        <v/>
      </c>
      <c r="AB76" s="64" t="str">
        <f aca="false">IF(COUNT(F76:H76)&gt;0,X76/V76,"")</f>
        <v/>
      </c>
      <c r="AC76" s="26"/>
      <c r="AD76" s="65" t="str">
        <f aca="false">IF(SUM(I76:K76)&gt;0,AVERAGE(I76:K76),"")</f>
        <v/>
      </c>
      <c r="AE76" s="66" t="str">
        <f aca="false">IF(SUM(I76:K76)&gt;0, ( IF(I76&gt;0,(I76-AD76)^2,0) + IF(J76&gt;0,(J76-AD76)^2,0) + IF(K76&gt;0,(K76-AD76)^2,0) ) / COUNT(I76:K76),"")</f>
        <v/>
      </c>
      <c r="AF76" s="63" t="str">
        <f aca="false">IF(SUM(I76:K76)&gt;0,SQRT(AE76),"")</f>
        <v/>
      </c>
      <c r="AG76" s="63" t="str">
        <f aca="false">IF(COUNT(I76:K76)&gt;0,VLOOKUP(COUNT(I76:K76),$AX$2:$AZ$5,3)*(AF76/SQRT(COUNT(I76:K76))),"")</f>
        <v/>
      </c>
      <c r="AH76" s="63" t="str">
        <f aca="false">IF(COUNT(I76:K76)&gt;0,AD76-AG76,"")</f>
        <v/>
      </c>
      <c r="AI76" s="63" t="str">
        <f aca="false">IF(COUNT(I76:K76)&gt;0,AD76+AG76,"")</f>
        <v/>
      </c>
      <c r="AJ76" s="64" t="str">
        <f aca="false">IF(COUNT(I76:K76)&gt;0,AF76/AD76,"")</f>
        <v/>
      </c>
      <c r="AK76" s="65" t="str">
        <f aca="false">IF(SUM(L76:N76)&gt;0,AVERAGE(L76:N76),"")</f>
        <v/>
      </c>
      <c r="AL76" s="66" t="str">
        <f aca="false">IF(SUM(L76:N76)&gt;0, ( IF(L76&gt;0,(L76-AK76)^2,0) + IF(M76&gt;0,(M76-AK76)^2,0) + IF(N76&gt;0,(N76-AK76)^2,0) ) / COUNT(L76:N76),"")</f>
        <v/>
      </c>
      <c r="AM76" s="63" t="str">
        <f aca="false">IF(SUM(L76:N76)&gt;0,SQRT(AL76),"")</f>
        <v/>
      </c>
      <c r="AN76" s="63" t="str">
        <f aca="false">IF(COUNT(L76:N76)&gt;0,VLOOKUP(COUNT(L76:N76),$AX$2:$AZ$5,3)*(AM76/SQRT(COUNT(L76:N76))),"")</f>
        <v/>
      </c>
      <c r="AO76" s="63" t="str">
        <f aca="false">IF(COUNT(L76:N76)&gt;0,AK76-AN76,"")</f>
        <v/>
      </c>
      <c r="AP76" s="63" t="str">
        <f aca="false">IF(COUNT(L76:N76)&gt;0,AK76+AN76,"")</f>
        <v/>
      </c>
      <c r="AQ76" s="64" t="str">
        <f aca="false">IF(COUNT(L76:N76)&gt;0,AM76/AK76,"")</f>
        <v/>
      </c>
    </row>
    <row r="77" customFormat="false" ht="12.8" hidden="false" customHeight="false" outlineLevel="0" collapsed="false">
      <c r="A77" s="56" t="s">
        <v>39</v>
      </c>
      <c r="B77" s="57" t="n">
        <v>20</v>
      </c>
      <c r="C77" s="56" t="n">
        <v>795</v>
      </c>
      <c r="D77" s="25"/>
      <c r="E77" s="57" t="n">
        <v>728</v>
      </c>
      <c r="F77" s="58"/>
      <c r="H77" s="59"/>
      <c r="I77" s="56"/>
      <c r="K77" s="57"/>
      <c r="L77" s="56"/>
      <c r="N77" s="57"/>
      <c r="O77" s="65" t="n">
        <f aca="false">IF(SUM(C77:E77)&gt;0,AVERAGE(C77:E77),"")</f>
        <v>761.5</v>
      </c>
      <c r="P77" s="66" t="n">
        <f aca="false">IF(SUM(C77:E77)&gt;0, ( IF(C77&gt;0,(C77-O77)^2,0) + IF(D77&gt;0,(D77-O77)^2,0) + IF(E77&gt;0,(E77-O77)^2,0) ) / COUNT(C77:E77),"")</f>
        <v>1122.25</v>
      </c>
      <c r="Q77" s="63" t="n">
        <f aca="false">IF(SUM(C77:E77)&gt;0,SQRT(P77),"")</f>
        <v>33.5</v>
      </c>
      <c r="R77" s="63" t="n">
        <f aca="false">IF(COUNT(C77:E77)&gt;0,VLOOKUP(COUNT(C77:E77),$AX$2:$AZ$5,3)*(Q77/SQRT(COUNT(C77:E77))),"")</f>
        <v>300.980708518835</v>
      </c>
      <c r="S77" s="63" t="n">
        <f aca="false">IF(COUNT(C77:E77)&gt;0,O77-R77,"")</f>
        <v>460.519291481165</v>
      </c>
      <c r="T77" s="63" t="n">
        <f aca="false">IF(COUNT(C77:E77)&gt;0,O77+R77,"")</f>
        <v>1062.48070851884</v>
      </c>
      <c r="U77" s="64" t="n">
        <f aca="false">IF(COUNT(C77:E77)&gt;0,Q77/O77,"")</f>
        <v>0.0439921208141825</v>
      </c>
      <c r="V77" s="65" t="str">
        <f aca="false">IF(SUM(F77:H77)&gt;0,AVERAGE(F77:H77),"")</f>
        <v/>
      </c>
      <c r="W77" s="66" t="str">
        <f aca="false">IF(SUM(F77:H77)&gt;0, ( IF(F77&gt;0,(F77-V77)^2,0) + IF(G77&gt;0,(G77-V77)^2,0) + IF(H77&gt;0,(H77-V77)^2,0) ) / COUNT(F77:H77),"")</f>
        <v/>
      </c>
      <c r="X77" s="63" t="str">
        <f aca="false">IF(SUM(F77:H77)&gt;0,SQRT(W77),"")</f>
        <v/>
      </c>
      <c r="Y77" s="63" t="str">
        <f aca="false">IF(COUNT(F77:H77)&gt;0,VLOOKUP(COUNT(F77:H77),$AX$2:$AZ$5,3)*(X77/SQRT(COUNT(F77:H77))),"")</f>
        <v/>
      </c>
      <c r="Z77" s="63" t="str">
        <f aca="false">IF(COUNT(F77:H77)&gt;0,V77-Y77,"")</f>
        <v/>
      </c>
      <c r="AA77" s="63" t="str">
        <f aca="false">IF(COUNT(F77:H77)&gt;0,V77+Y77,"")</f>
        <v/>
      </c>
      <c r="AB77" s="64" t="str">
        <f aca="false">IF(COUNT(F77:H77)&gt;0,X77/V77,"")</f>
        <v/>
      </c>
      <c r="AC77" s="26"/>
      <c r="AD77" s="65" t="str">
        <f aca="false">IF(SUM(I77:K77)&gt;0,AVERAGE(I77:K77),"")</f>
        <v/>
      </c>
      <c r="AE77" s="66" t="str">
        <f aca="false">IF(SUM(I77:K77)&gt;0, ( IF(I77&gt;0,(I77-AD77)^2,0) + IF(J77&gt;0,(J77-AD77)^2,0) + IF(K77&gt;0,(K77-AD77)^2,0) ) / COUNT(I77:K77),"")</f>
        <v/>
      </c>
      <c r="AF77" s="63" t="str">
        <f aca="false">IF(SUM(I77:K77)&gt;0,SQRT(AE77),"")</f>
        <v/>
      </c>
      <c r="AG77" s="63" t="str">
        <f aca="false">IF(COUNT(I77:K77)&gt;0,VLOOKUP(COUNT(I77:K77),$AX$2:$AZ$5,3)*(AF77/SQRT(COUNT(I77:K77))),"")</f>
        <v/>
      </c>
      <c r="AH77" s="63" t="str">
        <f aca="false">IF(COUNT(I77:K77)&gt;0,AD77-AG77,"")</f>
        <v/>
      </c>
      <c r="AI77" s="63" t="str">
        <f aca="false">IF(COUNT(I77:K77)&gt;0,AD77+AG77,"")</f>
        <v/>
      </c>
      <c r="AJ77" s="64" t="str">
        <f aca="false">IF(COUNT(I77:K77)&gt;0,AF77/AD77,"")</f>
        <v/>
      </c>
      <c r="AK77" s="65" t="str">
        <f aca="false">IF(SUM(L77:N77)&gt;0,AVERAGE(L77:N77),"")</f>
        <v/>
      </c>
      <c r="AL77" s="66" t="str">
        <f aca="false">IF(SUM(L77:N77)&gt;0, ( IF(L77&gt;0,(L77-AK77)^2,0) + IF(M77&gt;0,(M77-AK77)^2,0) + IF(N77&gt;0,(N77-AK77)^2,0) ) / COUNT(L77:N77),"")</f>
        <v/>
      </c>
      <c r="AM77" s="63" t="str">
        <f aca="false">IF(SUM(L77:N77)&gt;0,SQRT(AL77),"")</f>
        <v/>
      </c>
      <c r="AN77" s="63" t="str">
        <f aca="false">IF(COUNT(L77:N77)&gt;0,VLOOKUP(COUNT(L77:N77),$AX$2:$AZ$5,3)*(AM77/SQRT(COUNT(L77:N77))),"")</f>
        <v/>
      </c>
      <c r="AO77" s="63" t="str">
        <f aca="false">IF(COUNT(L77:N77)&gt;0,AK77-AN77,"")</f>
        <v/>
      </c>
      <c r="AP77" s="63" t="str">
        <f aca="false">IF(COUNT(L77:N77)&gt;0,AK77+AN77,"")</f>
        <v/>
      </c>
      <c r="AQ77" s="64" t="str">
        <f aca="false">IF(COUNT(L77:N77)&gt;0,AM77/AK77,"")</f>
        <v/>
      </c>
    </row>
    <row r="78" customFormat="false" ht="12.8" hidden="false" customHeight="false" outlineLevel="0" collapsed="false">
      <c r="A78" s="56" t="s">
        <v>39</v>
      </c>
      <c r="B78" s="57" t="n">
        <v>30</v>
      </c>
      <c r="C78" s="56" t="n">
        <v>526</v>
      </c>
      <c r="D78" s="25"/>
      <c r="E78" s="57" t="n">
        <v>489</v>
      </c>
      <c r="F78" s="58"/>
      <c r="H78" s="59"/>
      <c r="I78" s="56"/>
      <c r="K78" s="57"/>
      <c r="L78" s="56"/>
      <c r="N78" s="57"/>
      <c r="O78" s="65" t="n">
        <f aca="false">IF(SUM(C78:E78)&gt;0,AVERAGE(C78:E78),"")</f>
        <v>507.5</v>
      </c>
      <c r="P78" s="66" t="n">
        <f aca="false">IF(SUM(C78:E78)&gt;0, ( IF(C78&gt;0,(C78-O78)^2,0) + IF(D78&gt;0,(D78-O78)^2,0) + IF(E78&gt;0,(E78-O78)^2,0) ) / COUNT(C78:E78),"")</f>
        <v>342.25</v>
      </c>
      <c r="Q78" s="63" t="n">
        <f aca="false">IF(SUM(C78:E78)&gt;0,SQRT(P78),"")</f>
        <v>18.5</v>
      </c>
      <c r="R78" s="63" t="n">
        <f aca="false">IF(COUNT(C78:E78)&gt;0,VLOOKUP(COUNT(C78:E78),$AX$2:$AZ$5,3)*(Q78/SQRT(COUNT(C78:E78))),"")</f>
        <v>166.213227092491</v>
      </c>
      <c r="S78" s="63" t="n">
        <f aca="false">IF(COUNT(C78:E78)&gt;0,O78-R78,"")</f>
        <v>341.286772907509</v>
      </c>
      <c r="T78" s="63" t="n">
        <f aca="false">IF(COUNT(C78:E78)&gt;0,O78+R78,"")</f>
        <v>673.713227092491</v>
      </c>
      <c r="U78" s="64" t="n">
        <f aca="false">IF(COUNT(C78:E78)&gt;0,Q78/O78,"")</f>
        <v>0.0364532019704434</v>
      </c>
      <c r="V78" s="65" t="str">
        <f aca="false">IF(SUM(F78:H78)&gt;0,AVERAGE(F78:H78),"")</f>
        <v/>
      </c>
      <c r="W78" s="66" t="str">
        <f aca="false">IF(SUM(F78:H78)&gt;0, ( IF(F78&gt;0,(F78-V78)^2,0) + IF(G78&gt;0,(G78-V78)^2,0) + IF(H78&gt;0,(H78-V78)^2,0) ) / COUNT(F78:H78),"")</f>
        <v/>
      </c>
      <c r="X78" s="63" t="str">
        <f aca="false">IF(SUM(F78:H78)&gt;0,SQRT(W78),"")</f>
        <v/>
      </c>
      <c r="Y78" s="63" t="str">
        <f aca="false">IF(COUNT(F78:H78)&gt;0,VLOOKUP(COUNT(F78:H78),$AX$2:$AZ$5,3)*(X78/SQRT(COUNT(F78:H78))),"")</f>
        <v/>
      </c>
      <c r="Z78" s="63" t="str">
        <f aca="false">IF(COUNT(F78:H78)&gt;0,V78-Y78,"")</f>
        <v/>
      </c>
      <c r="AA78" s="63" t="str">
        <f aca="false">IF(COUNT(F78:H78)&gt;0,V78+Y78,"")</f>
        <v/>
      </c>
      <c r="AB78" s="64" t="str">
        <f aca="false">IF(COUNT(F78:H78)&gt;0,X78/V78,"")</f>
        <v/>
      </c>
      <c r="AC78" s="26"/>
      <c r="AD78" s="65" t="str">
        <f aca="false">IF(SUM(I78:K78)&gt;0,AVERAGE(I78:K78),"")</f>
        <v/>
      </c>
      <c r="AE78" s="66" t="str">
        <f aca="false">IF(SUM(I78:K78)&gt;0, ( IF(I78&gt;0,(I78-AD78)^2,0) + IF(J78&gt;0,(J78-AD78)^2,0) + IF(K78&gt;0,(K78-AD78)^2,0) ) / COUNT(I78:K78),"")</f>
        <v/>
      </c>
      <c r="AF78" s="63" t="str">
        <f aca="false">IF(SUM(I78:K78)&gt;0,SQRT(AE78),"")</f>
        <v/>
      </c>
      <c r="AG78" s="63" t="str">
        <f aca="false">IF(COUNT(I78:K78)&gt;0,VLOOKUP(COUNT(I78:K78),$AX$2:$AZ$5,3)*(AF78/SQRT(COUNT(I78:K78))),"")</f>
        <v/>
      </c>
      <c r="AH78" s="63" t="str">
        <f aca="false">IF(COUNT(I78:K78)&gt;0,AD78-AG78,"")</f>
        <v/>
      </c>
      <c r="AI78" s="63" t="str">
        <f aca="false">IF(COUNT(I78:K78)&gt;0,AD78+AG78,"")</f>
        <v/>
      </c>
      <c r="AJ78" s="64" t="str">
        <f aca="false">IF(COUNT(I78:K78)&gt;0,AF78/AD78,"")</f>
        <v/>
      </c>
      <c r="AK78" s="65" t="str">
        <f aca="false">IF(SUM(L78:N78)&gt;0,AVERAGE(L78:N78),"")</f>
        <v/>
      </c>
      <c r="AL78" s="66" t="str">
        <f aca="false">IF(SUM(L78:N78)&gt;0, ( IF(L78&gt;0,(L78-AK78)^2,0) + IF(M78&gt;0,(M78-AK78)^2,0) + IF(N78&gt;0,(N78-AK78)^2,0) ) / COUNT(L78:N78),"")</f>
        <v/>
      </c>
      <c r="AM78" s="63" t="str">
        <f aca="false">IF(SUM(L78:N78)&gt;0,SQRT(AL78),"")</f>
        <v/>
      </c>
      <c r="AN78" s="63" t="str">
        <f aca="false">IF(COUNT(L78:N78)&gt;0,VLOOKUP(COUNT(L78:N78),$AX$2:$AZ$5,3)*(AM78/SQRT(COUNT(L78:N78))),"")</f>
        <v/>
      </c>
      <c r="AO78" s="63" t="str">
        <f aca="false">IF(COUNT(L78:N78)&gt;0,AK78-AN78,"")</f>
        <v/>
      </c>
      <c r="AP78" s="63" t="str">
        <f aca="false">IF(COUNT(L78:N78)&gt;0,AK78+AN78,"")</f>
        <v/>
      </c>
      <c r="AQ78" s="64" t="str">
        <f aca="false">IF(COUNT(L78:N78)&gt;0,AM78/AK78,"")</f>
        <v/>
      </c>
    </row>
    <row r="79" customFormat="false" ht="12.8" hidden="false" customHeight="false" outlineLevel="0" collapsed="false">
      <c r="A79" s="56" t="s">
        <v>39</v>
      </c>
      <c r="B79" s="57" t="n">
        <v>40</v>
      </c>
      <c r="C79" s="56" t="n">
        <v>596</v>
      </c>
      <c r="D79" s="25"/>
      <c r="E79" s="57" t="n">
        <v>353</v>
      </c>
      <c r="F79" s="58"/>
      <c r="H79" s="59"/>
      <c r="I79" s="56"/>
      <c r="K79" s="57"/>
      <c r="L79" s="56"/>
      <c r="N79" s="57"/>
      <c r="O79" s="65" t="n">
        <f aca="false">IF(SUM(C79:E79)&gt;0,AVERAGE(C79:E79),"")</f>
        <v>474.5</v>
      </c>
      <c r="P79" s="66" t="n">
        <f aca="false">IF(SUM(C79:E79)&gt;0, ( IF(C79&gt;0,(C79-O79)^2,0) + IF(D79&gt;0,(D79-O79)^2,0) + IF(E79&gt;0,(E79-O79)^2,0) ) / COUNT(C79:E79),"")</f>
        <v>14762.25</v>
      </c>
      <c r="Q79" s="63" t="n">
        <f aca="false">IF(SUM(C79:E79)&gt;0,SQRT(P79),"")</f>
        <v>121.5</v>
      </c>
      <c r="R79" s="63" t="n">
        <f aca="false">IF(COUNT(C79:E79)&gt;0,VLOOKUP(COUNT(C79:E79),$AX$2:$AZ$5,3)*(Q79/SQRT(COUNT(C79:E79))),"")</f>
        <v>1091.61659955339</v>
      </c>
      <c r="S79" s="63" t="n">
        <f aca="false">IF(COUNT(C79:E79)&gt;0,O79-R79,"")</f>
        <v>-617.116599553387</v>
      </c>
      <c r="T79" s="63" t="n">
        <f aca="false">IF(COUNT(C79:E79)&gt;0,O79+R79,"")</f>
        <v>1566.11659955339</v>
      </c>
      <c r="U79" s="64" t="n">
        <f aca="false">IF(COUNT(C79:E79)&gt;0,Q79/O79,"")</f>
        <v>0.256059009483667</v>
      </c>
      <c r="V79" s="65" t="str">
        <f aca="false">IF(SUM(F79:H79)&gt;0,AVERAGE(F79:H79),"")</f>
        <v/>
      </c>
      <c r="W79" s="66" t="str">
        <f aca="false">IF(SUM(F79:H79)&gt;0, ( IF(F79&gt;0,(F79-V79)^2,0) + IF(G79&gt;0,(G79-V79)^2,0) + IF(H79&gt;0,(H79-V79)^2,0) ) / COUNT(F79:H79),"")</f>
        <v/>
      </c>
      <c r="X79" s="63" t="str">
        <f aca="false">IF(SUM(F79:H79)&gt;0,SQRT(W79),"")</f>
        <v/>
      </c>
      <c r="Y79" s="63" t="str">
        <f aca="false">IF(COUNT(F79:H79)&gt;0,VLOOKUP(COUNT(F79:H79),$AX$2:$AZ$5,3)*(X79/SQRT(COUNT(F79:H79))),"")</f>
        <v/>
      </c>
      <c r="Z79" s="63" t="str">
        <f aca="false">IF(COUNT(F79:H79)&gt;0,V79-Y79,"")</f>
        <v/>
      </c>
      <c r="AA79" s="63" t="str">
        <f aca="false">IF(COUNT(F79:H79)&gt;0,V79+Y79,"")</f>
        <v/>
      </c>
      <c r="AB79" s="64" t="str">
        <f aca="false">IF(COUNT(F79:H79)&gt;0,X79/V79,"")</f>
        <v/>
      </c>
      <c r="AC79" s="26"/>
      <c r="AD79" s="65" t="str">
        <f aca="false">IF(SUM(I79:K79)&gt;0,AVERAGE(I79:K79),"")</f>
        <v/>
      </c>
      <c r="AE79" s="66" t="str">
        <f aca="false">IF(SUM(I79:K79)&gt;0, ( IF(I79&gt;0,(I79-AD79)^2,0) + IF(J79&gt;0,(J79-AD79)^2,0) + IF(K79&gt;0,(K79-AD79)^2,0) ) / COUNT(I79:K79),"")</f>
        <v/>
      </c>
      <c r="AF79" s="63" t="str">
        <f aca="false">IF(SUM(I79:K79)&gt;0,SQRT(AE79),"")</f>
        <v/>
      </c>
      <c r="AG79" s="63" t="str">
        <f aca="false">IF(COUNT(I79:K79)&gt;0,VLOOKUP(COUNT(I79:K79),$AX$2:$AZ$5,3)*(AF79/SQRT(COUNT(I79:K79))),"")</f>
        <v/>
      </c>
      <c r="AH79" s="63" t="str">
        <f aca="false">IF(COUNT(I79:K79)&gt;0,AD79-AG79,"")</f>
        <v/>
      </c>
      <c r="AI79" s="63" t="str">
        <f aca="false">IF(COUNT(I79:K79)&gt;0,AD79+AG79,"")</f>
        <v/>
      </c>
      <c r="AJ79" s="64" t="str">
        <f aca="false">IF(COUNT(I79:K79)&gt;0,AF79/AD79,"")</f>
        <v/>
      </c>
      <c r="AK79" s="65" t="str">
        <f aca="false">IF(SUM(L79:N79)&gt;0,AVERAGE(L79:N79),"")</f>
        <v/>
      </c>
      <c r="AL79" s="66" t="str">
        <f aca="false">IF(SUM(L79:N79)&gt;0, ( IF(L79&gt;0,(L79-AK79)^2,0) + IF(M79&gt;0,(M79-AK79)^2,0) + IF(N79&gt;0,(N79-AK79)^2,0) ) / COUNT(L79:N79),"")</f>
        <v/>
      </c>
      <c r="AM79" s="63" t="str">
        <f aca="false">IF(SUM(L79:N79)&gt;0,SQRT(AL79),"")</f>
        <v/>
      </c>
      <c r="AN79" s="63" t="str">
        <f aca="false">IF(COUNT(L79:N79)&gt;0,VLOOKUP(COUNT(L79:N79),$AX$2:$AZ$5,3)*(AM79/SQRT(COUNT(L79:N79))),"")</f>
        <v/>
      </c>
      <c r="AO79" s="63" t="str">
        <f aca="false">IF(COUNT(L79:N79)&gt;0,AK79-AN79,"")</f>
        <v/>
      </c>
      <c r="AP79" s="63" t="str">
        <f aca="false">IF(COUNT(L79:N79)&gt;0,AK79+AN79,"")</f>
        <v/>
      </c>
      <c r="AQ79" s="64" t="str">
        <f aca="false">IF(COUNT(L79:N79)&gt;0,AM79/AK79,"")</f>
        <v/>
      </c>
    </row>
    <row r="80" customFormat="false" ht="12.8" hidden="false" customHeight="false" outlineLevel="0" collapsed="false">
      <c r="A80" s="56" t="s">
        <v>39</v>
      </c>
      <c r="B80" s="57" t="n">
        <v>50</v>
      </c>
      <c r="C80" s="56" t="n">
        <v>357</v>
      </c>
      <c r="D80" s="25"/>
      <c r="E80" s="57" t="n">
        <v>335</v>
      </c>
      <c r="F80" s="58"/>
      <c r="H80" s="59"/>
      <c r="I80" s="56"/>
      <c r="K80" s="57"/>
      <c r="L80" s="56"/>
      <c r="N80" s="57"/>
      <c r="O80" s="65" t="n">
        <f aca="false">IF(SUM(C80:E80)&gt;0,AVERAGE(C80:E80),"")</f>
        <v>346</v>
      </c>
      <c r="P80" s="66" t="n">
        <f aca="false">IF(SUM(C80:E80)&gt;0, ( IF(C80&gt;0,(C80-O80)^2,0) + IF(D80&gt;0,(D80-O80)^2,0) + IF(E80&gt;0,(E80-O80)^2,0) ) / COUNT(C80:E80),"")</f>
        <v>121</v>
      </c>
      <c r="Q80" s="63" t="n">
        <f aca="false">IF(SUM(C80:E80)&gt;0,SQRT(P80),"")</f>
        <v>11</v>
      </c>
      <c r="R80" s="63" t="n">
        <f aca="false">IF(COUNT(C80:E80)&gt;0,VLOOKUP(COUNT(C80:E80),$AX$2:$AZ$5,3)*(Q80/SQRT(COUNT(C80:E80))),"")</f>
        <v>98.829486379319</v>
      </c>
      <c r="S80" s="63" t="n">
        <f aca="false">IF(COUNT(C80:E80)&gt;0,O80-R80,"")</f>
        <v>247.170513620681</v>
      </c>
      <c r="T80" s="63" t="n">
        <f aca="false">IF(COUNT(C80:E80)&gt;0,O80+R80,"")</f>
        <v>444.829486379319</v>
      </c>
      <c r="U80" s="64" t="n">
        <f aca="false">IF(COUNT(C80:E80)&gt;0,Q80/O80,"")</f>
        <v>0.0317919075144509</v>
      </c>
      <c r="V80" s="65" t="str">
        <f aca="false">IF(SUM(F80:H80)&gt;0,AVERAGE(F80:H80),"")</f>
        <v/>
      </c>
      <c r="W80" s="66" t="str">
        <f aca="false">IF(SUM(F80:H80)&gt;0, ( IF(F80&gt;0,(F80-V80)^2,0) + IF(G80&gt;0,(G80-V80)^2,0) + IF(H80&gt;0,(H80-V80)^2,0) ) / COUNT(F80:H80),"")</f>
        <v/>
      </c>
      <c r="X80" s="63" t="str">
        <f aca="false">IF(SUM(F80:H80)&gt;0,SQRT(W80),"")</f>
        <v/>
      </c>
      <c r="Y80" s="63" t="str">
        <f aca="false">IF(COUNT(F80:H80)&gt;0,VLOOKUP(COUNT(F80:H80),$AX$2:$AZ$5,3)*(X80/SQRT(COUNT(F80:H80))),"")</f>
        <v/>
      </c>
      <c r="Z80" s="63" t="str">
        <f aca="false">IF(COUNT(F80:H80)&gt;0,V80-Y80,"")</f>
        <v/>
      </c>
      <c r="AA80" s="63" t="str">
        <f aca="false">IF(COUNT(F80:H80)&gt;0,V80+Y80,"")</f>
        <v/>
      </c>
      <c r="AB80" s="64" t="str">
        <f aca="false">IF(COUNT(F80:H80)&gt;0,X80/V80,"")</f>
        <v/>
      </c>
      <c r="AC80" s="26"/>
      <c r="AD80" s="65" t="str">
        <f aca="false">IF(SUM(I80:K80)&gt;0,AVERAGE(I80:K80),"")</f>
        <v/>
      </c>
      <c r="AE80" s="66" t="str">
        <f aca="false">IF(SUM(I80:K80)&gt;0, ( IF(I80&gt;0,(I80-AD80)^2,0) + IF(J80&gt;0,(J80-AD80)^2,0) + IF(K80&gt;0,(K80-AD80)^2,0) ) / COUNT(I80:K80),"")</f>
        <v/>
      </c>
      <c r="AF80" s="63" t="str">
        <f aca="false">IF(SUM(I80:K80)&gt;0,SQRT(AE80),"")</f>
        <v/>
      </c>
      <c r="AG80" s="63" t="str">
        <f aca="false">IF(COUNT(I80:K80)&gt;0,VLOOKUP(COUNT(I80:K80),$AX$2:$AZ$5,3)*(AF80/SQRT(COUNT(I80:K80))),"")</f>
        <v/>
      </c>
      <c r="AH80" s="63" t="str">
        <f aca="false">IF(COUNT(I80:K80)&gt;0,AD80-AG80,"")</f>
        <v/>
      </c>
      <c r="AI80" s="63" t="str">
        <f aca="false">IF(COUNT(I80:K80)&gt;0,AD80+AG80,"")</f>
        <v/>
      </c>
      <c r="AJ80" s="64" t="str">
        <f aca="false">IF(COUNT(I80:K80)&gt;0,AF80/AD80,"")</f>
        <v/>
      </c>
      <c r="AK80" s="65" t="str">
        <f aca="false">IF(SUM(L80:N80)&gt;0,AVERAGE(L80:N80),"")</f>
        <v/>
      </c>
      <c r="AL80" s="66" t="str">
        <f aca="false">IF(SUM(L80:N80)&gt;0, ( IF(L80&gt;0,(L80-AK80)^2,0) + IF(M80&gt;0,(M80-AK80)^2,0) + IF(N80&gt;0,(N80-AK80)^2,0) ) / COUNT(L80:N80),"")</f>
        <v/>
      </c>
      <c r="AM80" s="63" t="str">
        <f aca="false">IF(SUM(L80:N80)&gt;0,SQRT(AL80),"")</f>
        <v/>
      </c>
      <c r="AN80" s="63" t="str">
        <f aca="false">IF(COUNT(L80:N80)&gt;0,VLOOKUP(COUNT(L80:N80),$AX$2:$AZ$5,3)*(AM80/SQRT(COUNT(L80:N80))),"")</f>
        <v/>
      </c>
      <c r="AO80" s="63" t="str">
        <f aca="false">IF(COUNT(L80:N80)&gt;0,AK80-AN80,"")</f>
        <v/>
      </c>
      <c r="AP80" s="63" t="str">
        <f aca="false">IF(COUNT(L80:N80)&gt;0,AK80+AN80,"")</f>
        <v/>
      </c>
      <c r="AQ80" s="64" t="str">
        <f aca="false">IF(COUNT(L80:N80)&gt;0,AM80/AK80,"")</f>
        <v/>
      </c>
    </row>
    <row r="81" customFormat="false" ht="12.8" hidden="false" customHeight="false" outlineLevel="0" collapsed="false">
      <c r="A81" s="56" t="s">
        <v>39</v>
      </c>
      <c r="B81" s="57" t="n">
        <v>64</v>
      </c>
      <c r="C81" s="56" t="n">
        <v>255</v>
      </c>
      <c r="D81" s="25"/>
      <c r="E81" s="57" t="n">
        <v>237</v>
      </c>
      <c r="F81" s="58"/>
      <c r="H81" s="59"/>
      <c r="I81" s="56"/>
      <c r="K81" s="57"/>
      <c r="L81" s="56"/>
      <c r="N81" s="57"/>
      <c r="O81" s="65" t="n">
        <f aca="false">IF(SUM(C81:E81)&gt;0,AVERAGE(C81:E81),"")</f>
        <v>246</v>
      </c>
      <c r="P81" s="66" t="n">
        <f aca="false">IF(SUM(C81:E81)&gt;0, ( IF(C81&gt;0,(C81-O81)^2,0) + IF(D81&gt;0,(D81-O81)^2,0) + IF(E81&gt;0,(E81-O81)^2,0) ) / COUNT(C81:E81),"")</f>
        <v>81</v>
      </c>
      <c r="Q81" s="63" t="n">
        <f aca="false">IF(SUM(C81:E81)&gt;0,SQRT(P81),"")</f>
        <v>9</v>
      </c>
      <c r="R81" s="63" t="n">
        <f aca="false">IF(COUNT(C81:E81)&gt;0,VLOOKUP(COUNT(C81:E81),$AX$2:$AZ$5,3)*(Q81/SQRT(COUNT(C81:E81))),"")</f>
        <v>80.8604888558065</v>
      </c>
      <c r="S81" s="63" t="n">
        <f aca="false">IF(COUNT(C81:E81)&gt;0,O81-R81,"")</f>
        <v>165.139511144194</v>
      </c>
      <c r="T81" s="63" t="n">
        <f aca="false">IF(COUNT(C81:E81)&gt;0,O81+R81,"")</f>
        <v>326.860488855806</v>
      </c>
      <c r="U81" s="64" t="n">
        <f aca="false">IF(COUNT(C81:E81)&gt;0,Q81/O81,"")</f>
        <v>0.0365853658536585</v>
      </c>
      <c r="V81" s="65" t="str">
        <f aca="false">IF(SUM(F81:H81)&gt;0,AVERAGE(F81:H81),"")</f>
        <v/>
      </c>
      <c r="W81" s="66" t="str">
        <f aca="false">IF(SUM(F81:H81)&gt;0, ( IF(F81&gt;0,(F81-V81)^2,0) + IF(G81&gt;0,(G81-V81)^2,0) + IF(H81&gt;0,(H81-V81)^2,0) ) / COUNT(F81:H81),"")</f>
        <v/>
      </c>
      <c r="X81" s="63" t="str">
        <f aca="false">IF(SUM(F81:H81)&gt;0,SQRT(W81),"")</f>
        <v/>
      </c>
      <c r="Y81" s="63" t="str">
        <f aca="false">IF(COUNT(F81:H81)&gt;0,VLOOKUP(COUNT(F81:H81),$AX$2:$AZ$5,3)*(X81/SQRT(COUNT(F81:H81))),"")</f>
        <v/>
      </c>
      <c r="Z81" s="63" t="str">
        <f aca="false">IF(COUNT(F81:H81)&gt;0,V81-Y81,"")</f>
        <v/>
      </c>
      <c r="AA81" s="63" t="str">
        <f aca="false">IF(COUNT(F81:H81)&gt;0,V81+Y81,"")</f>
        <v/>
      </c>
      <c r="AB81" s="64" t="str">
        <f aca="false">IF(COUNT(F81:H81)&gt;0,X81/V81,"")</f>
        <v/>
      </c>
      <c r="AC81" s="26"/>
      <c r="AD81" s="65" t="str">
        <f aca="false">IF(SUM(I81:K81)&gt;0,AVERAGE(I81:K81),"")</f>
        <v/>
      </c>
      <c r="AE81" s="66" t="str">
        <f aca="false">IF(SUM(I81:K81)&gt;0, ( IF(I81&gt;0,(I81-AD81)^2,0) + IF(J81&gt;0,(J81-AD81)^2,0) + IF(K81&gt;0,(K81-AD81)^2,0) ) / COUNT(I81:K81),"")</f>
        <v/>
      </c>
      <c r="AF81" s="63" t="str">
        <f aca="false">IF(SUM(I81:K81)&gt;0,SQRT(AE81),"")</f>
        <v/>
      </c>
      <c r="AG81" s="63" t="str">
        <f aca="false">IF(COUNT(I81:K81)&gt;0,VLOOKUP(COUNT(I81:K81),$AX$2:$AZ$5,3)*(AF81/SQRT(COUNT(I81:K81))),"")</f>
        <v/>
      </c>
      <c r="AH81" s="63" t="str">
        <f aca="false">IF(COUNT(I81:K81)&gt;0,AD81-AG81,"")</f>
        <v/>
      </c>
      <c r="AI81" s="63" t="str">
        <f aca="false">IF(COUNT(I81:K81)&gt;0,AD81+AG81,"")</f>
        <v/>
      </c>
      <c r="AJ81" s="64" t="str">
        <f aca="false">IF(COUNT(I81:K81)&gt;0,AF81/AD81,"")</f>
        <v/>
      </c>
      <c r="AK81" s="65" t="str">
        <f aca="false">IF(SUM(L81:N81)&gt;0,AVERAGE(L81:N81),"")</f>
        <v/>
      </c>
      <c r="AL81" s="66" t="str">
        <f aca="false">IF(SUM(L81:N81)&gt;0, ( IF(L81&gt;0,(L81-AK81)^2,0) + IF(M81&gt;0,(M81-AK81)^2,0) + IF(N81&gt;0,(N81-AK81)^2,0) ) / COUNT(L81:N81),"")</f>
        <v/>
      </c>
      <c r="AM81" s="63" t="str">
        <f aca="false">IF(SUM(L81:N81)&gt;0,SQRT(AL81),"")</f>
        <v/>
      </c>
      <c r="AN81" s="63" t="str">
        <f aca="false">IF(COUNT(L81:N81)&gt;0,VLOOKUP(COUNT(L81:N81),$AX$2:$AZ$5,3)*(AM81/SQRT(COUNT(L81:N81))),"")</f>
        <v/>
      </c>
      <c r="AO81" s="63" t="str">
        <f aca="false">IF(COUNT(L81:N81)&gt;0,AK81-AN81,"")</f>
        <v/>
      </c>
      <c r="AP81" s="63" t="str">
        <f aca="false">IF(COUNT(L81:N81)&gt;0,AK81+AN81,"")</f>
        <v/>
      </c>
      <c r="AQ81" s="64" t="str">
        <f aca="false">IF(COUNT(L81:N81)&gt;0,AM81/AK81,"")</f>
        <v/>
      </c>
    </row>
    <row r="82" customFormat="false" ht="12.8" hidden="false" customHeight="false" outlineLevel="0" collapsed="false">
      <c r="A82" s="56" t="s">
        <v>39</v>
      </c>
      <c r="B82" s="57" t="n">
        <v>82</v>
      </c>
      <c r="C82" s="56" t="n">
        <v>177</v>
      </c>
      <c r="D82" s="25"/>
      <c r="E82" s="57" t="n">
        <v>246</v>
      </c>
      <c r="F82" s="58"/>
      <c r="H82" s="59"/>
      <c r="I82" s="56"/>
      <c r="K82" s="57"/>
      <c r="L82" s="56"/>
      <c r="N82" s="57"/>
      <c r="O82" s="65" t="n">
        <f aca="false">IF(SUM(C82:E82)&gt;0,AVERAGE(C82:E82),"")</f>
        <v>211.5</v>
      </c>
      <c r="P82" s="66" t="n">
        <f aca="false">IF(SUM(C82:E82)&gt;0, ( IF(C82&gt;0,(C82-O82)^2,0) + IF(D82&gt;0,(D82-O82)^2,0) + IF(E82&gt;0,(E82-O82)^2,0) ) / COUNT(C82:E82),"")</f>
        <v>1190.25</v>
      </c>
      <c r="Q82" s="63" t="n">
        <f aca="false">IF(SUM(C82:E82)&gt;0,SQRT(P82),"")</f>
        <v>34.5</v>
      </c>
      <c r="R82" s="63" t="n">
        <f aca="false">IF(COUNT(C82:E82)&gt;0,VLOOKUP(COUNT(C82:E82),$AX$2:$AZ$5,3)*(Q82/SQRT(COUNT(C82:E82))),"")</f>
        <v>309.965207280591</v>
      </c>
      <c r="S82" s="63" t="n">
        <f aca="false">IF(COUNT(C82:E82)&gt;0,O82-R82,"")</f>
        <v>-98.4652072805914</v>
      </c>
      <c r="T82" s="63" t="n">
        <f aca="false">IF(COUNT(C82:E82)&gt;0,O82+R82,"")</f>
        <v>521.465207280591</v>
      </c>
      <c r="U82" s="64" t="n">
        <f aca="false">IF(COUNT(C82:E82)&gt;0,Q82/O82,"")</f>
        <v>0.163120567375887</v>
      </c>
      <c r="V82" s="65" t="str">
        <f aca="false">IF(SUM(F82:H82)&gt;0,AVERAGE(F82:H82),"")</f>
        <v/>
      </c>
      <c r="W82" s="66" t="str">
        <f aca="false">IF(SUM(F82:H82)&gt;0, ( IF(F82&gt;0,(F82-V82)^2,0) + IF(G82&gt;0,(G82-V82)^2,0) + IF(H82&gt;0,(H82-V82)^2,0) ) / COUNT(F82:H82),"")</f>
        <v/>
      </c>
      <c r="X82" s="63" t="str">
        <f aca="false">IF(SUM(F82:H82)&gt;0,SQRT(W82),"")</f>
        <v/>
      </c>
      <c r="Y82" s="63" t="str">
        <f aca="false">IF(COUNT(F82:H82)&gt;0,VLOOKUP(COUNT(F82:H82),$AX$2:$AZ$5,3)*(X82/SQRT(COUNT(F82:H82))),"")</f>
        <v/>
      </c>
      <c r="Z82" s="63" t="str">
        <f aca="false">IF(COUNT(F82:H82)&gt;0,V82-Y82,"")</f>
        <v/>
      </c>
      <c r="AA82" s="63" t="str">
        <f aca="false">IF(COUNT(F82:H82)&gt;0,V82+Y82,"")</f>
        <v/>
      </c>
      <c r="AB82" s="64" t="str">
        <f aca="false">IF(COUNT(F82:H82)&gt;0,X82/V82,"")</f>
        <v/>
      </c>
      <c r="AC82" s="26"/>
      <c r="AD82" s="65" t="str">
        <f aca="false">IF(SUM(I82:K82)&gt;0,AVERAGE(I82:K82),"")</f>
        <v/>
      </c>
      <c r="AE82" s="66" t="str">
        <f aca="false">IF(SUM(I82:K82)&gt;0, ( IF(I82&gt;0,(I82-AD82)^2,0) + IF(J82&gt;0,(J82-AD82)^2,0) + IF(K82&gt;0,(K82-AD82)^2,0) ) / COUNT(I82:K82),"")</f>
        <v/>
      </c>
      <c r="AF82" s="63" t="str">
        <f aca="false">IF(SUM(I82:K82)&gt;0,SQRT(AE82),"")</f>
        <v/>
      </c>
      <c r="AG82" s="63" t="str">
        <f aca="false">IF(COUNT(I82:K82)&gt;0,VLOOKUP(COUNT(I82:K82),$AX$2:$AZ$5,3)*(AF82/SQRT(COUNT(I82:K82))),"")</f>
        <v/>
      </c>
      <c r="AH82" s="63" t="str">
        <f aca="false">IF(COUNT(I82:K82)&gt;0,AD82-AG82,"")</f>
        <v/>
      </c>
      <c r="AI82" s="63" t="str">
        <f aca="false">IF(COUNT(I82:K82)&gt;0,AD82+AG82,"")</f>
        <v/>
      </c>
      <c r="AJ82" s="64" t="str">
        <f aca="false">IF(COUNT(I82:K82)&gt;0,AF82/AD82,"")</f>
        <v/>
      </c>
      <c r="AK82" s="65" t="str">
        <f aca="false">IF(SUM(L82:N82)&gt;0,AVERAGE(L82:N82),"")</f>
        <v/>
      </c>
      <c r="AL82" s="66" t="str">
        <f aca="false">IF(SUM(L82:N82)&gt;0, ( IF(L82&gt;0,(L82-AK82)^2,0) + IF(M82&gt;0,(M82-AK82)^2,0) + IF(N82&gt;0,(N82-AK82)^2,0) ) / COUNT(L82:N82),"")</f>
        <v/>
      </c>
      <c r="AM82" s="63" t="str">
        <f aca="false">IF(SUM(L82:N82)&gt;0,SQRT(AL82),"")</f>
        <v/>
      </c>
      <c r="AN82" s="63" t="str">
        <f aca="false">IF(COUNT(L82:N82)&gt;0,VLOOKUP(COUNT(L82:N82),$AX$2:$AZ$5,3)*(AM82/SQRT(COUNT(L82:N82))),"")</f>
        <v/>
      </c>
      <c r="AO82" s="63" t="str">
        <f aca="false">IF(COUNT(L82:N82)&gt;0,AK82-AN82,"")</f>
        <v/>
      </c>
      <c r="AP82" s="63" t="str">
        <f aca="false">IF(COUNT(L82:N82)&gt;0,AK82+AN82,"")</f>
        <v/>
      </c>
      <c r="AQ82" s="64" t="str">
        <f aca="false">IF(COUNT(L82:N82)&gt;0,AM82/AK82,"")</f>
        <v/>
      </c>
    </row>
    <row r="83" customFormat="false" ht="12.8" hidden="false" customHeight="false" outlineLevel="0" collapsed="false">
      <c r="A83" s="56" t="s">
        <v>39</v>
      </c>
      <c r="B83" s="57" t="n">
        <v>100</v>
      </c>
      <c r="C83" s="56" t="n">
        <v>178</v>
      </c>
      <c r="D83" s="25"/>
      <c r="E83" s="57" t="n">
        <v>192</v>
      </c>
      <c r="F83" s="58"/>
      <c r="H83" s="59"/>
      <c r="I83" s="56"/>
      <c r="K83" s="57"/>
      <c r="L83" s="56"/>
      <c r="N83" s="57"/>
      <c r="O83" s="65" t="n">
        <f aca="false">IF(SUM(C83:E83)&gt;0,AVERAGE(C83:E83),"")</f>
        <v>185</v>
      </c>
      <c r="P83" s="66" t="n">
        <f aca="false">IF(SUM(C83:E83)&gt;0, ( IF(C83&gt;0,(C83-O83)^2,0) + IF(D83&gt;0,(D83-O83)^2,0) + IF(E83&gt;0,(E83-O83)^2,0) ) / COUNT(C83:E83),"")</f>
        <v>49</v>
      </c>
      <c r="Q83" s="63" t="n">
        <f aca="false">IF(SUM(C83:E83)&gt;0,SQRT(P83),"")</f>
        <v>7</v>
      </c>
      <c r="R83" s="63" t="n">
        <f aca="false">IF(COUNT(C83:E83)&gt;0,VLOOKUP(COUNT(C83:E83),$AX$2:$AZ$5,3)*(Q83/SQRT(COUNT(C83:E83))),"")</f>
        <v>62.8914913322939</v>
      </c>
      <c r="S83" s="63" t="n">
        <f aca="false">IF(COUNT(C83:E83)&gt;0,O83-R83,"")</f>
        <v>122.108508667706</v>
      </c>
      <c r="T83" s="63" t="n">
        <f aca="false">IF(COUNT(C83:E83)&gt;0,O83+R83,"")</f>
        <v>247.891491332294</v>
      </c>
      <c r="U83" s="64" t="n">
        <f aca="false">IF(COUNT(C83:E83)&gt;0,Q83/O83,"")</f>
        <v>0.0378378378378378</v>
      </c>
      <c r="V83" s="65" t="str">
        <f aca="false">IF(SUM(F83:H83)&gt;0,AVERAGE(F83:H83),"")</f>
        <v/>
      </c>
      <c r="W83" s="66" t="str">
        <f aca="false">IF(SUM(F83:H83)&gt;0, ( IF(F83&gt;0,(F83-V83)^2,0) + IF(G83&gt;0,(G83-V83)^2,0) + IF(H83&gt;0,(H83-V83)^2,0) ) / COUNT(F83:H83),"")</f>
        <v/>
      </c>
      <c r="X83" s="63" t="str">
        <f aca="false">IF(SUM(F83:H83)&gt;0,SQRT(W83),"")</f>
        <v/>
      </c>
      <c r="Y83" s="63" t="str">
        <f aca="false">IF(COUNT(F83:H83)&gt;0,VLOOKUP(COUNT(F83:H83),$AX$2:$AZ$5,3)*(X83/SQRT(COUNT(F83:H83))),"")</f>
        <v/>
      </c>
      <c r="Z83" s="63" t="str">
        <f aca="false">IF(COUNT(F83:H83)&gt;0,V83-Y83,"")</f>
        <v/>
      </c>
      <c r="AA83" s="63" t="str">
        <f aca="false">IF(COUNT(F83:H83)&gt;0,V83+Y83,"")</f>
        <v/>
      </c>
      <c r="AB83" s="64" t="str">
        <f aca="false">IF(COUNT(F83:H83)&gt;0,X83/V83,"")</f>
        <v/>
      </c>
      <c r="AC83" s="26"/>
      <c r="AD83" s="65" t="str">
        <f aca="false">IF(SUM(I83:K83)&gt;0,AVERAGE(I83:K83),"")</f>
        <v/>
      </c>
      <c r="AE83" s="66" t="str">
        <f aca="false">IF(SUM(I83:K83)&gt;0, ( IF(I83&gt;0,(I83-AD83)^2,0) + IF(J83&gt;0,(J83-AD83)^2,0) + IF(K83&gt;0,(K83-AD83)^2,0) ) / COUNT(I83:K83),"")</f>
        <v/>
      </c>
      <c r="AF83" s="63" t="str">
        <f aca="false">IF(SUM(I83:K83)&gt;0,SQRT(AE83),"")</f>
        <v/>
      </c>
      <c r="AG83" s="63" t="str">
        <f aca="false">IF(COUNT(I83:K83)&gt;0,VLOOKUP(COUNT(I83:K83),$AX$2:$AZ$5,3)*(AF83/SQRT(COUNT(I83:K83))),"")</f>
        <v/>
      </c>
      <c r="AH83" s="63" t="str">
        <f aca="false">IF(COUNT(I83:K83)&gt;0,AD83-AG83,"")</f>
        <v/>
      </c>
      <c r="AI83" s="63" t="str">
        <f aca="false">IF(COUNT(I83:K83)&gt;0,AD83+AG83,"")</f>
        <v/>
      </c>
      <c r="AJ83" s="64" t="str">
        <f aca="false">IF(COUNT(I83:K83)&gt;0,AF83/AD83,"")</f>
        <v/>
      </c>
      <c r="AK83" s="65" t="str">
        <f aca="false">IF(SUM(L83:N83)&gt;0,AVERAGE(L83:N83),"")</f>
        <v/>
      </c>
      <c r="AL83" s="66" t="str">
        <f aca="false">IF(SUM(L83:N83)&gt;0, ( IF(L83&gt;0,(L83-AK83)^2,0) + IF(M83&gt;0,(M83-AK83)^2,0) + IF(N83&gt;0,(N83-AK83)^2,0) ) / COUNT(L83:N83),"")</f>
        <v/>
      </c>
      <c r="AM83" s="63" t="str">
        <f aca="false">IF(SUM(L83:N83)&gt;0,SQRT(AL83),"")</f>
        <v/>
      </c>
      <c r="AN83" s="63" t="str">
        <f aca="false">IF(COUNT(L83:N83)&gt;0,VLOOKUP(COUNT(L83:N83),$AX$2:$AZ$5,3)*(AM83/SQRT(COUNT(L83:N83))),"")</f>
        <v/>
      </c>
      <c r="AO83" s="63" t="str">
        <f aca="false">IF(COUNT(L83:N83)&gt;0,AK83-AN83,"")</f>
        <v/>
      </c>
      <c r="AP83" s="63" t="str">
        <f aca="false">IF(COUNT(L83:N83)&gt;0,AK83+AN83,"")</f>
        <v/>
      </c>
      <c r="AQ83" s="64" t="str">
        <f aca="false">IF(COUNT(L83:N83)&gt;0,AM83/AK83,"")</f>
        <v/>
      </c>
    </row>
    <row r="84" customFormat="false" ht="12.8" hidden="false" customHeight="false" outlineLevel="0" collapsed="false">
      <c r="A84" s="56" t="s">
        <v>41</v>
      </c>
      <c r="B84" s="57" t="n">
        <v>5</v>
      </c>
      <c r="C84" s="56" t="n">
        <v>182</v>
      </c>
      <c r="D84" s="25" t="n">
        <v>165</v>
      </c>
      <c r="E84" s="57" t="n">
        <v>174</v>
      </c>
      <c r="F84" s="58" t="n">
        <v>167</v>
      </c>
      <c r="G84" s="0" t="n">
        <v>193</v>
      </c>
      <c r="H84" s="59" t="n">
        <v>192</v>
      </c>
      <c r="I84" s="56" t="n">
        <v>173</v>
      </c>
      <c r="J84" s="0" t="n">
        <v>175</v>
      </c>
      <c r="K84" s="57" t="n">
        <v>101</v>
      </c>
      <c r="L84" s="56"/>
      <c r="M84" s="0" t="n">
        <v>165</v>
      </c>
      <c r="N84" s="57" t="n">
        <v>161</v>
      </c>
      <c r="O84" s="65" t="n">
        <f aca="false">IF(SUM(C84:E84)&gt;0,AVERAGE(C84:E84),"")</f>
        <v>173.666666666667</v>
      </c>
      <c r="P84" s="66" t="n">
        <f aca="false">IF(SUM(C84:E84)&gt;0, ( IF(C84&gt;0,(C84-O84)^2,0) + IF(D84&gt;0,(D84-O84)^2,0) + IF(E84&gt;0,(E84-O84)^2,0) ) / COUNT(C84:E84),"")</f>
        <v>48.2222222222222</v>
      </c>
      <c r="Q84" s="63" t="n">
        <f aca="false">IF(SUM(C84:E84)&gt;0,SQRT(P84),"")</f>
        <v>6.94422221866655</v>
      </c>
      <c r="R84" s="63" t="n">
        <f aca="false">IF(COUNT(C84:E84)&gt;0,VLOOKUP(COUNT(C84:E84),$AX$2:$AZ$5,3)*(Q84/SQRT(COUNT(C84:E84))),"")</f>
        <v>17.2517965849186</v>
      </c>
      <c r="S84" s="63" t="n">
        <f aca="false">IF(COUNT(C84:E84)&gt;0,O84-R84,"")</f>
        <v>156.414870081748</v>
      </c>
      <c r="T84" s="63" t="n">
        <f aca="false">IF(COUNT(C84:E84)&gt;0,O84+R84,"")</f>
        <v>190.918463251585</v>
      </c>
      <c r="U84" s="64" t="n">
        <f aca="false">IF(COUNT(C84:E84)&gt;0,Q84/O84,"")</f>
        <v>0.0399859244836846</v>
      </c>
      <c r="V84" s="65" t="n">
        <f aca="false">IF(SUM(F84:H84)&gt;0,AVERAGE(F84:H84),"")</f>
        <v>184</v>
      </c>
      <c r="W84" s="66" t="n">
        <f aca="false">IF(SUM(F84:H84)&gt;0, ( IF(F84&gt;0,(F84-V84)^2,0) + IF(G84&gt;0,(G84-V84)^2,0) + IF(H84&gt;0,(H84-V84)^2,0) ) / COUNT(F84:H84),"")</f>
        <v>144.666666666667</v>
      </c>
      <c r="X84" s="63" t="n">
        <f aca="false">IF(SUM(F84:H84)&gt;0,SQRT(W84),"")</f>
        <v>12.0277457017791</v>
      </c>
      <c r="Y84" s="63" t="n">
        <f aca="false">IF(COUNT(F84:H84)&gt;0,VLOOKUP(COUNT(F84:H84),$AX$2:$AZ$5,3)*(X84/SQRT(COUNT(F84:H84))),"")</f>
        <v>29.8809882069222</v>
      </c>
      <c r="Z84" s="63" t="n">
        <f aca="false">IF(COUNT(F84:H84)&gt;0,V84-Y84,"")</f>
        <v>154.119011793078</v>
      </c>
      <c r="AA84" s="63" t="n">
        <f aca="false">IF(COUNT(F84:H84)&gt;0,V84+Y84,"")</f>
        <v>213.880988206922</v>
      </c>
      <c r="AB84" s="64" t="n">
        <f aca="false">IF(COUNT(F84:H84)&gt;0,X84/V84,"")</f>
        <v>0.0653681831618432</v>
      </c>
      <c r="AC84" s="26"/>
      <c r="AD84" s="65" t="n">
        <f aca="false">IF(SUM(I84:K84)&gt;0,AVERAGE(I84:K84),"")</f>
        <v>149.666666666667</v>
      </c>
      <c r="AE84" s="66" t="n">
        <f aca="false">IF(SUM(I84:K84)&gt;0, ( IF(I84&gt;0,(I84-AD84)^2,0) + IF(J84&gt;0,(J84-AD84)^2,0) + IF(K84&gt;0,(K84-AD84)^2,0) ) / COUNT(I84:K84),"")</f>
        <v>1184.88888888889</v>
      </c>
      <c r="AF84" s="63" t="n">
        <f aca="false">IF(SUM(I84:K84)&gt;0,SQRT(AE84),"")</f>
        <v>34.4222150491349</v>
      </c>
      <c r="AG84" s="63" t="n">
        <f aca="false">IF(COUNT(I84:K84)&gt;0,VLOOKUP(COUNT(I84:K84),$AX$2:$AZ$5,3)*(AF84/SQRT(COUNT(I84:K84))),"")</f>
        <v>85.5164240616754</v>
      </c>
      <c r="AH84" s="63" t="n">
        <f aca="false">IF(COUNT(I84:K84)&gt;0,AD84-AG84,"")</f>
        <v>64.1502426049913</v>
      </c>
      <c r="AI84" s="63" t="n">
        <f aca="false">IF(COUNT(I84:K84)&gt;0,AD84+AG84,"")</f>
        <v>235.183090728342</v>
      </c>
      <c r="AJ84" s="64" t="n">
        <f aca="false">IF(COUNT(I84:K84)&gt;0,AF84/AD84,"")</f>
        <v>0.229992528167939</v>
      </c>
      <c r="AK84" s="65" t="n">
        <f aca="false">IF(SUM(L84:N84)&gt;0,AVERAGE(L84:N84),"")</f>
        <v>163</v>
      </c>
      <c r="AL84" s="66" t="n">
        <f aca="false">IF(SUM(L84:N84)&gt;0, ( IF(L84&gt;0,(L84-AK84)^2,0) + IF(M84&gt;0,(M84-AK84)^2,0) + IF(N84&gt;0,(N84-AK84)^2,0) ) / COUNT(L84:N84),"")</f>
        <v>4</v>
      </c>
      <c r="AM84" s="63" t="n">
        <f aca="false">IF(SUM(L84:N84)&gt;0,SQRT(AL84),"")</f>
        <v>2</v>
      </c>
      <c r="AN84" s="63" t="n">
        <f aca="false">IF(COUNT(L84:N84)&gt;0,VLOOKUP(COUNT(L84:N84),$AX$2:$AZ$5,3)*(AM84/SQRT(COUNT(L84:N84))),"")</f>
        <v>17.9689975235125</v>
      </c>
      <c r="AO84" s="63" t="n">
        <f aca="false">IF(COUNT(L84:N84)&gt;0,AK84-AN84,"")</f>
        <v>145.031002476487</v>
      </c>
      <c r="AP84" s="63" t="n">
        <f aca="false">IF(COUNT(L84:N84)&gt;0,AK84+AN84,"")</f>
        <v>180.968997523513</v>
      </c>
      <c r="AQ84" s="64" t="n">
        <f aca="false">IF(COUNT(L84:N84)&gt;0,AM84/AK84,"")</f>
        <v>0.0122699386503067</v>
      </c>
    </row>
    <row r="85" customFormat="false" ht="12.8" hidden="false" customHeight="false" outlineLevel="0" collapsed="false">
      <c r="A85" s="56" t="s">
        <v>41</v>
      </c>
      <c r="B85" s="57" t="n">
        <v>10</v>
      </c>
      <c r="C85" s="56" t="n">
        <v>95</v>
      </c>
      <c r="D85" s="25" t="n">
        <v>115</v>
      </c>
      <c r="E85" s="57" t="n">
        <v>109</v>
      </c>
      <c r="F85" s="58" t="n">
        <v>110</v>
      </c>
      <c r="G85" s="0" t="n">
        <v>101</v>
      </c>
      <c r="H85" s="59" t="n">
        <v>95</v>
      </c>
      <c r="I85" s="56" t="n">
        <v>81</v>
      </c>
      <c r="J85" s="0" t="n">
        <v>105</v>
      </c>
      <c r="K85" s="57" t="n">
        <v>78</v>
      </c>
      <c r="L85" s="56"/>
      <c r="M85" s="0" t="n">
        <v>115</v>
      </c>
      <c r="N85" s="57" t="n">
        <v>88</v>
      </c>
      <c r="O85" s="65" t="n">
        <f aca="false">IF(SUM(C85:E85)&gt;0,AVERAGE(C85:E85),"")</f>
        <v>106.333333333333</v>
      </c>
      <c r="P85" s="66" t="n">
        <f aca="false">IF(SUM(C85:E85)&gt;0, ( IF(C85&gt;0,(C85-O85)^2,0) + IF(D85&gt;0,(D85-O85)^2,0) + IF(E85&gt;0,(E85-O85)^2,0) ) / COUNT(C85:E85),"")</f>
        <v>70.2222222222222</v>
      </c>
      <c r="Q85" s="63" t="n">
        <f aca="false">IF(SUM(C85:E85)&gt;0,SQRT(P85),"")</f>
        <v>8.37987005998436</v>
      </c>
      <c r="R85" s="63" t="n">
        <f aca="false">IF(COUNT(C85:E85)&gt;0,VLOOKUP(COUNT(C85:E85),$AX$2:$AZ$5,3)*(Q85/SQRT(COUNT(C85:E85))),"")</f>
        <v>20.8184313708008</v>
      </c>
      <c r="S85" s="63" t="n">
        <f aca="false">IF(COUNT(C85:E85)&gt;0,O85-R85,"")</f>
        <v>85.5149019625326</v>
      </c>
      <c r="T85" s="63" t="n">
        <f aca="false">IF(COUNT(C85:E85)&gt;0,O85+R85,"")</f>
        <v>127.151764704134</v>
      </c>
      <c r="U85" s="64" t="n">
        <f aca="false">IF(COUNT(C85:E85)&gt;0,Q85/O85,"")</f>
        <v>0.0788075554230504</v>
      </c>
      <c r="V85" s="65" t="n">
        <f aca="false">IF(SUM(F85:H85)&gt;0,AVERAGE(F85:H85),"")</f>
        <v>102</v>
      </c>
      <c r="W85" s="66" t="n">
        <f aca="false">IF(SUM(F85:H85)&gt;0, ( IF(F85&gt;0,(F85-V85)^2,0) + IF(G85&gt;0,(G85-V85)^2,0) + IF(H85&gt;0,(H85-V85)^2,0) ) / COUNT(F85:H85),"")</f>
        <v>38</v>
      </c>
      <c r="X85" s="63" t="n">
        <f aca="false">IF(SUM(F85:H85)&gt;0,SQRT(W85),"")</f>
        <v>6.16441400296898</v>
      </c>
      <c r="Y85" s="63" t="n">
        <f aca="false">IF(COUNT(F85:H85)&gt;0,VLOOKUP(COUNT(F85:H85),$AX$2:$AZ$5,3)*(X85/SQRT(COUNT(F85:H85))),"")</f>
        <v>15.3144892394969</v>
      </c>
      <c r="Z85" s="63" t="n">
        <f aca="false">IF(COUNT(F85:H85)&gt;0,V85-Y85,"")</f>
        <v>86.6855107605031</v>
      </c>
      <c r="AA85" s="63" t="n">
        <f aca="false">IF(COUNT(F85:H85)&gt;0,V85+Y85,"")</f>
        <v>117.314489239497</v>
      </c>
      <c r="AB85" s="64" t="n">
        <f aca="false">IF(COUNT(F85:H85)&gt;0,X85/V85,"")</f>
        <v>0.0604354314016566</v>
      </c>
      <c r="AC85" s="26"/>
      <c r="AD85" s="65" t="n">
        <f aca="false">IF(SUM(I85:K85)&gt;0,AVERAGE(I85:K85),"")</f>
        <v>88</v>
      </c>
      <c r="AE85" s="66" t="n">
        <f aca="false">IF(SUM(I85:K85)&gt;0, ( IF(I85&gt;0,(I85-AD85)^2,0) + IF(J85&gt;0,(J85-AD85)^2,0) + IF(K85&gt;0,(K85-AD85)^2,0) ) / COUNT(I85:K85),"")</f>
        <v>146</v>
      </c>
      <c r="AF85" s="63" t="n">
        <f aca="false">IF(SUM(I85:K85)&gt;0,SQRT(AE85),"")</f>
        <v>12.0830459735946</v>
      </c>
      <c r="AG85" s="63" t="n">
        <f aca="false">IF(COUNT(I85:K85)&gt;0,VLOOKUP(COUNT(I85:K85),$AX$2:$AZ$5,3)*(AF85/SQRT(COUNT(I85:K85))),"")</f>
        <v>30.0183727851239</v>
      </c>
      <c r="AH85" s="63" t="n">
        <f aca="false">IF(COUNT(I85:K85)&gt;0,AD85-AG85,"")</f>
        <v>57.9816272148761</v>
      </c>
      <c r="AI85" s="63" t="n">
        <f aca="false">IF(COUNT(I85:K85)&gt;0,AD85+AG85,"")</f>
        <v>118.018372785124</v>
      </c>
      <c r="AJ85" s="64" t="n">
        <f aca="false">IF(COUNT(I85:K85)&gt;0,AF85/AD85,"")</f>
        <v>0.137307340609029</v>
      </c>
      <c r="AK85" s="65" t="n">
        <f aca="false">IF(SUM(L85:N85)&gt;0,AVERAGE(L85:N85),"")</f>
        <v>101.5</v>
      </c>
      <c r="AL85" s="66" t="n">
        <f aca="false">IF(SUM(L85:N85)&gt;0, ( IF(L85&gt;0,(L85-AK85)^2,0) + IF(M85&gt;0,(M85-AK85)^2,0) + IF(N85&gt;0,(N85-AK85)^2,0) ) / COUNT(L85:N85),"")</f>
        <v>182.25</v>
      </c>
      <c r="AM85" s="63" t="n">
        <f aca="false">IF(SUM(L85:N85)&gt;0,SQRT(AL85),"")</f>
        <v>13.5</v>
      </c>
      <c r="AN85" s="63" t="n">
        <f aca="false">IF(COUNT(L85:N85)&gt;0,VLOOKUP(COUNT(L85:N85),$AX$2:$AZ$5,3)*(AM85/SQRT(COUNT(L85:N85))),"")</f>
        <v>121.29073328371</v>
      </c>
      <c r="AO85" s="63" t="n">
        <f aca="false">IF(COUNT(L85:N85)&gt;0,AK85-AN85,"")</f>
        <v>-19.7907332837097</v>
      </c>
      <c r="AP85" s="63" t="n">
        <f aca="false">IF(COUNT(L85:N85)&gt;0,AK85+AN85,"")</f>
        <v>222.79073328371</v>
      </c>
      <c r="AQ85" s="64" t="n">
        <f aca="false">IF(COUNT(L85:N85)&gt;0,AM85/AK85,"")</f>
        <v>0.133004926108374</v>
      </c>
    </row>
    <row r="86" customFormat="false" ht="12.8" hidden="false" customHeight="false" outlineLevel="0" collapsed="false">
      <c r="A86" s="56" t="s">
        <v>41</v>
      </c>
      <c r="B86" s="57" t="n">
        <v>15</v>
      </c>
      <c r="C86" s="56" t="n">
        <v>78</v>
      </c>
      <c r="D86" s="25" t="n">
        <v>91</v>
      </c>
      <c r="E86" s="57" t="n">
        <v>79</v>
      </c>
      <c r="F86" s="58" t="n">
        <v>73</v>
      </c>
      <c r="G86" s="0" t="n">
        <v>68</v>
      </c>
      <c r="H86" s="59" t="n">
        <v>74</v>
      </c>
      <c r="I86" s="56" t="n">
        <v>76</v>
      </c>
      <c r="J86" s="0" t="n">
        <v>91</v>
      </c>
      <c r="K86" s="57" t="n">
        <v>62</v>
      </c>
      <c r="L86" s="56"/>
      <c r="M86" s="0" t="n">
        <v>92</v>
      </c>
      <c r="N86" s="57" t="n">
        <v>82</v>
      </c>
      <c r="O86" s="65" t="n">
        <f aca="false">IF(SUM(C86:E86)&gt;0,AVERAGE(C86:E86),"")</f>
        <v>82.6666666666667</v>
      </c>
      <c r="P86" s="66" t="n">
        <f aca="false">IF(SUM(C86:E86)&gt;0, ( IF(C86&gt;0,(C86-O86)^2,0) + IF(D86&gt;0,(D86-O86)^2,0) + IF(E86&gt;0,(E86-O86)^2,0) ) / COUNT(C86:E86),"")</f>
        <v>34.8888888888889</v>
      </c>
      <c r="Q86" s="63" t="n">
        <f aca="false">IF(SUM(C86:E86)&gt;0,SQRT(P86),"")</f>
        <v>5.90668171555645</v>
      </c>
      <c r="R86" s="63" t="n">
        <f aca="false">IF(COUNT(C86:E86)&gt;0,VLOOKUP(COUNT(C86:E86),$AX$2:$AZ$5,3)*(Q86/SQRT(COUNT(C86:E86))),"")</f>
        <v>14.6741950703595</v>
      </c>
      <c r="S86" s="63" t="n">
        <f aca="false">IF(COUNT(C86:E86)&gt;0,O86-R86,"")</f>
        <v>67.9924715963072</v>
      </c>
      <c r="T86" s="63" t="n">
        <f aca="false">IF(COUNT(C86:E86)&gt;0,O86+R86,"")</f>
        <v>97.3408617370262</v>
      </c>
      <c r="U86" s="64" t="n">
        <f aca="false">IF(COUNT(C86:E86)&gt;0,Q86/O86,"")</f>
        <v>0.0714517949462474</v>
      </c>
      <c r="V86" s="65" t="n">
        <f aca="false">IF(SUM(F86:H86)&gt;0,AVERAGE(F86:H86),"")</f>
        <v>71.6666666666667</v>
      </c>
      <c r="W86" s="66" t="n">
        <f aca="false">IF(SUM(F86:H86)&gt;0, ( IF(F86&gt;0,(F86-V86)^2,0) + IF(G86&gt;0,(G86-V86)^2,0) + IF(H86&gt;0,(H86-V86)^2,0) ) / COUNT(F86:H86),"")</f>
        <v>6.88888888888889</v>
      </c>
      <c r="X86" s="63" t="n">
        <f aca="false">IF(SUM(F86:H86)&gt;0,SQRT(W86),"")</f>
        <v>2.62466929133727</v>
      </c>
      <c r="Y86" s="63" t="n">
        <f aca="false">IF(COUNT(F86:H86)&gt;0,VLOOKUP(COUNT(F86:H86),$AX$2:$AZ$5,3)*(X86/SQRT(COUNT(F86:H86))),"")</f>
        <v>6.52056620468113</v>
      </c>
      <c r="Z86" s="63" t="n">
        <f aca="false">IF(COUNT(F86:H86)&gt;0,V86-Y86,"")</f>
        <v>65.1461004619855</v>
      </c>
      <c r="AA86" s="63" t="n">
        <f aca="false">IF(COUNT(F86:H86)&gt;0,V86+Y86,"")</f>
        <v>78.1872328713478</v>
      </c>
      <c r="AB86" s="64" t="n">
        <f aca="false">IF(COUNT(F86:H86)&gt;0,X86/V86,"")</f>
        <v>0.0366232924372642</v>
      </c>
      <c r="AC86" s="26"/>
      <c r="AD86" s="65" t="n">
        <f aca="false">IF(SUM(I86:K86)&gt;0,AVERAGE(I86:K86),"")</f>
        <v>76.3333333333333</v>
      </c>
      <c r="AE86" s="66" t="n">
        <f aca="false">IF(SUM(I86:K86)&gt;0, ( IF(I86&gt;0,(I86-AD86)^2,0) + IF(J86&gt;0,(J86-AD86)^2,0) + IF(K86&gt;0,(K86-AD86)^2,0) ) / COUNT(I86:K86),"")</f>
        <v>140.222222222222</v>
      </c>
      <c r="AF86" s="63" t="n">
        <f aca="false">IF(SUM(I86:K86)&gt;0,SQRT(AE86),"")</f>
        <v>11.8415464455544</v>
      </c>
      <c r="AG86" s="63" t="n">
        <f aca="false">IF(COUNT(I86:K86)&gt;0,VLOOKUP(COUNT(I86:K86),$AX$2:$AZ$5,3)*(AF86/SQRT(COUNT(I86:K86))),"")</f>
        <v>29.4184062803218</v>
      </c>
      <c r="AH86" s="63" t="n">
        <f aca="false">IF(COUNT(I86:K86)&gt;0,AD86-AG86,"")</f>
        <v>46.9149270530116</v>
      </c>
      <c r="AI86" s="63" t="n">
        <f aca="false">IF(COUNT(I86:K86)&gt;0,AD86+AG86,"")</f>
        <v>105.751739613655</v>
      </c>
      <c r="AJ86" s="64" t="n">
        <f aca="false">IF(COUNT(I86:K86)&gt;0,AF86/AD86,"")</f>
        <v>0.155129429417743</v>
      </c>
      <c r="AK86" s="65" t="n">
        <f aca="false">IF(SUM(L86:N86)&gt;0,AVERAGE(L86:N86),"")</f>
        <v>87</v>
      </c>
      <c r="AL86" s="66" t="n">
        <f aca="false">IF(SUM(L86:N86)&gt;0, ( IF(L86&gt;0,(L86-AK86)^2,0) + IF(M86&gt;0,(M86-AK86)^2,0) + IF(N86&gt;0,(N86-AK86)^2,0) ) / COUNT(L86:N86),"")</f>
        <v>25</v>
      </c>
      <c r="AM86" s="63" t="n">
        <f aca="false">IF(SUM(L86:N86)&gt;0,SQRT(AL86),"")</f>
        <v>5</v>
      </c>
      <c r="AN86" s="63" t="n">
        <f aca="false">IF(COUNT(L86:N86)&gt;0,VLOOKUP(COUNT(L86:N86),$AX$2:$AZ$5,3)*(AM86/SQRT(COUNT(L86:N86))),"")</f>
        <v>44.9224938087814</v>
      </c>
      <c r="AO86" s="63" t="n">
        <f aca="false">IF(COUNT(L86:N86)&gt;0,AK86-AN86,"")</f>
        <v>42.0775061912186</v>
      </c>
      <c r="AP86" s="63" t="n">
        <f aca="false">IF(COUNT(L86:N86)&gt;0,AK86+AN86,"")</f>
        <v>131.922493808781</v>
      </c>
      <c r="AQ86" s="64" t="n">
        <f aca="false">IF(COUNT(L86:N86)&gt;0,AM86/AK86,"")</f>
        <v>0.0574712643678161</v>
      </c>
    </row>
    <row r="87" customFormat="false" ht="12.8" hidden="false" customHeight="false" outlineLevel="0" collapsed="false">
      <c r="A87" s="56" t="s">
        <v>41</v>
      </c>
      <c r="B87" s="57" t="n">
        <v>20</v>
      </c>
      <c r="C87" s="56" t="n">
        <v>61</v>
      </c>
      <c r="D87" s="25" t="n">
        <v>75</v>
      </c>
      <c r="E87" s="57" t="n">
        <v>62</v>
      </c>
      <c r="F87" s="58" t="n">
        <v>65</v>
      </c>
      <c r="G87" s="0" t="n">
        <v>68</v>
      </c>
      <c r="H87" s="59" t="n">
        <v>66</v>
      </c>
      <c r="I87" s="56" t="n">
        <v>73</v>
      </c>
      <c r="J87" s="0" t="n">
        <v>71</v>
      </c>
      <c r="K87" s="57" t="n">
        <v>53</v>
      </c>
      <c r="L87" s="56"/>
      <c r="M87" s="0" t="n">
        <v>67</v>
      </c>
      <c r="N87" s="57" t="n">
        <v>59</v>
      </c>
      <c r="O87" s="65" t="n">
        <f aca="false">IF(SUM(C87:E87)&gt;0,AVERAGE(C87:E87),"")</f>
        <v>66</v>
      </c>
      <c r="P87" s="66" t="n">
        <f aca="false">IF(SUM(C87:E87)&gt;0, ( IF(C87&gt;0,(C87-O87)^2,0) + IF(D87&gt;0,(D87-O87)^2,0) + IF(E87&gt;0,(E87-O87)^2,0) ) / COUNT(C87:E87),"")</f>
        <v>40.6666666666667</v>
      </c>
      <c r="Q87" s="63" t="n">
        <f aca="false">IF(SUM(C87:E87)&gt;0,SQRT(P87),"")</f>
        <v>6.37704215656966</v>
      </c>
      <c r="R87" s="63" t="n">
        <f aca="false">IF(COUNT(C87:E87)&gt;0,VLOOKUP(COUNT(C87:E87),$AX$2:$AZ$5,3)*(Q87/SQRT(COUNT(C87:E87))),"")</f>
        <v>15.8427294856523</v>
      </c>
      <c r="S87" s="63" t="n">
        <f aca="false">IF(COUNT(C87:E87)&gt;0,O87-R87,"")</f>
        <v>50.1572705143477</v>
      </c>
      <c r="T87" s="63" t="n">
        <f aca="false">IF(COUNT(C87:E87)&gt;0,O87+R87,"")</f>
        <v>81.8427294856523</v>
      </c>
      <c r="U87" s="64" t="n">
        <f aca="false">IF(COUNT(C87:E87)&gt;0,Q87/O87,"")</f>
        <v>0.0966218508571161</v>
      </c>
      <c r="V87" s="65" t="n">
        <f aca="false">IF(SUM(F87:H87)&gt;0,AVERAGE(F87:H87),"")</f>
        <v>66.3333333333333</v>
      </c>
      <c r="W87" s="66" t="n">
        <f aca="false">IF(SUM(F87:H87)&gt;0, ( IF(F87&gt;0,(F87-V87)^2,0) + IF(G87&gt;0,(G87-V87)^2,0) + IF(H87&gt;0,(H87-V87)^2,0) ) / COUNT(F87:H87),"")</f>
        <v>1.55555555555556</v>
      </c>
      <c r="X87" s="63" t="n">
        <f aca="false">IF(SUM(F87:H87)&gt;0,SQRT(W87),"")</f>
        <v>1.24721912892465</v>
      </c>
      <c r="Y87" s="63" t="n">
        <f aca="false">IF(COUNT(F87:H87)&gt;0,VLOOKUP(COUNT(F87:H87),$AX$2:$AZ$5,3)*(X87/SQRT(COUNT(F87:H87))),"")</f>
        <v>3.09851413613878</v>
      </c>
      <c r="Z87" s="63" t="n">
        <f aca="false">IF(COUNT(F87:H87)&gt;0,V87-Y87,"")</f>
        <v>63.2348191971946</v>
      </c>
      <c r="AA87" s="63" t="n">
        <f aca="false">IF(COUNT(F87:H87)&gt;0,V87+Y87,"")</f>
        <v>69.4318474694721</v>
      </c>
      <c r="AB87" s="64" t="n">
        <f aca="false">IF(COUNT(F87:H87)&gt;0,X87/V87,"")</f>
        <v>0.0188022984259997</v>
      </c>
      <c r="AC87" s="26"/>
      <c r="AD87" s="65" t="n">
        <f aca="false">IF(SUM(I87:K87)&gt;0,AVERAGE(I87:K87),"")</f>
        <v>65.6666666666667</v>
      </c>
      <c r="AE87" s="66" t="n">
        <f aca="false">IF(SUM(I87:K87)&gt;0, ( IF(I87&gt;0,(I87-AD87)^2,0) + IF(J87&gt;0,(J87-AD87)^2,0) + IF(K87&gt;0,(K87-AD87)^2,0) ) / COUNT(I87:K87),"")</f>
        <v>80.8888888888889</v>
      </c>
      <c r="AF87" s="63" t="n">
        <f aca="false">IF(SUM(I87:K87)&gt;0,SQRT(AE87),"")</f>
        <v>8.9938250421547</v>
      </c>
      <c r="AG87" s="63" t="n">
        <f aca="false">IF(COUNT(I87:K87)&gt;0,VLOOKUP(COUNT(I87:K87),$AX$2:$AZ$5,3)*(AF87/SQRT(COUNT(I87:K87))),"")</f>
        <v>22.3437031911968</v>
      </c>
      <c r="AH87" s="63" t="n">
        <f aca="false">IF(COUNT(I87:K87)&gt;0,AD87-AG87,"")</f>
        <v>43.3229634754699</v>
      </c>
      <c r="AI87" s="63" t="n">
        <f aca="false">IF(COUNT(I87:K87)&gt;0,AD87+AG87,"")</f>
        <v>88.0103698578634</v>
      </c>
      <c r="AJ87" s="64" t="n">
        <f aca="false">IF(COUNT(I87:K87)&gt;0,AF87/AD87,"")</f>
        <v>0.136961802672407</v>
      </c>
      <c r="AK87" s="65" t="n">
        <f aca="false">IF(SUM(L87:N87)&gt;0,AVERAGE(L87:N87),"")</f>
        <v>63</v>
      </c>
      <c r="AL87" s="66" t="n">
        <f aca="false">IF(SUM(L87:N87)&gt;0, ( IF(L87&gt;0,(L87-AK87)^2,0) + IF(M87&gt;0,(M87-AK87)^2,0) + IF(N87&gt;0,(N87-AK87)^2,0) ) / COUNT(L87:N87),"")</f>
        <v>16</v>
      </c>
      <c r="AM87" s="63" t="n">
        <f aca="false">IF(SUM(L87:N87)&gt;0,SQRT(AL87),"")</f>
        <v>4</v>
      </c>
      <c r="AN87" s="63" t="n">
        <f aca="false">IF(COUNT(L87:N87)&gt;0,VLOOKUP(COUNT(L87:N87),$AX$2:$AZ$5,3)*(AM87/SQRT(COUNT(L87:N87))),"")</f>
        <v>35.9379950470251</v>
      </c>
      <c r="AO87" s="63" t="n">
        <f aca="false">IF(COUNT(L87:N87)&gt;0,AK87-AN87,"")</f>
        <v>27.0620049529749</v>
      </c>
      <c r="AP87" s="63" t="n">
        <f aca="false">IF(COUNT(L87:N87)&gt;0,AK87+AN87,"")</f>
        <v>98.9379950470251</v>
      </c>
      <c r="AQ87" s="64" t="n">
        <f aca="false">IF(COUNT(L87:N87)&gt;0,AM87/AK87,"")</f>
        <v>0.0634920634920635</v>
      </c>
    </row>
    <row r="88" customFormat="false" ht="12.8" hidden="false" customHeight="false" outlineLevel="0" collapsed="false">
      <c r="A88" s="56" t="s">
        <v>41</v>
      </c>
      <c r="B88" s="57" t="n">
        <v>30</v>
      </c>
      <c r="C88" s="56" t="n">
        <v>49</v>
      </c>
      <c r="D88" s="25" t="n">
        <v>57</v>
      </c>
      <c r="E88" s="57" t="n">
        <v>56</v>
      </c>
      <c r="F88" s="58" t="n">
        <v>52</v>
      </c>
      <c r="G88" s="0" t="n">
        <v>56</v>
      </c>
      <c r="H88" s="59" t="n">
        <v>46</v>
      </c>
      <c r="I88" s="56" t="n">
        <v>57</v>
      </c>
      <c r="J88" s="0" t="n">
        <v>52</v>
      </c>
      <c r="K88" s="57" t="n">
        <v>42</v>
      </c>
      <c r="L88" s="56"/>
      <c r="M88" s="0" t="n">
        <v>53</v>
      </c>
      <c r="N88" s="57" t="n">
        <v>51</v>
      </c>
      <c r="O88" s="65" t="n">
        <f aca="false">IF(SUM(C88:E88)&gt;0,AVERAGE(C88:E88),"")</f>
        <v>54</v>
      </c>
      <c r="P88" s="66" t="n">
        <f aca="false">IF(SUM(C88:E88)&gt;0, ( IF(C88&gt;0,(C88-O88)^2,0) + IF(D88&gt;0,(D88-O88)^2,0) + IF(E88&gt;0,(E88-O88)^2,0) ) / COUNT(C88:E88),"")</f>
        <v>12.6666666666667</v>
      </c>
      <c r="Q88" s="63" t="n">
        <f aca="false">IF(SUM(C88:E88)&gt;0,SQRT(P88),"")</f>
        <v>3.55902608401044</v>
      </c>
      <c r="R88" s="63" t="n">
        <f aca="false">IF(COUNT(C88:E88)&gt;0,VLOOKUP(COUNT(C88:E88),$AX$2:$AZ$5,3)*(Q88/SQRT(COUNT(C88:E88))),"")</f>
        <v>8.84182448492517</v>
      </c>
      <c r="S88" s="63" t="n">
        <f aca="false">IF(COUNT(C88:E88)&gt;0,O88-R88,"")</f>
        <v>45.1581755150748</v>
      </c>
      <c r="T88" s="63" t="n">
        <f aca="false">IF(COUNT(C88:E88)&gt;0,O88+R88,"")</f>
        <v>62.8418244849252</v>
      </c>
      <c r="U88" s="64" t="n">
        <f aca="false">IF(COUNT(C88:E88)&gt;0,Q88/O88,"")</f>
        <v>0.0659078904446377</v>
      </c>
      <c r="V88" s="65" t="n">
        <f aca="false">IF(SUM(F88:H88)&gt;0,AVERAGE(F88:H88),"")</f>
        <v>51.3333333333333</v>
      </c>
      <c r="W88" s="66" t="n">
        <f aca="false">IF(SUM(F88:H88)&gt;0, ( IF(F88&gt;0,(F88-V88)^2,0) + IF(G88&gt;0,(G88-V88)^2,0) + IF(H88&gt;0,(H88-V88)^2,0) ) / COUNT(F88:H88),"")</f>
        <v>16.8888888888889</v>
      </c>
      <c r="X88" s="63" t="n">
        <f aca="false">IF(SUM(F88:H88)&gt;0,SQRT(W88),"")</f>
        <v>4.10960933531265</v>
      </c>
      <c r="Y88" s="63" t="n">
        <f aca="false">IF(COUNT(F88:H88)&gt;0,VLOOKUP(COUNT(F88:H88),$AX$2:$AZ$5,3)*(X88/SQRT(COUNT(F88:H88))),"")</f>
        <v>10.2096594929979</v>
      </c>
      <c r="Z88" s="63" t="n">
        <f aca="false">IF(COUNT(F88:H88)&gt;0,V88-Y88,"")</f>
        <v>41.1236738403354</v>
      </c>
      <c r="AA88" s="63" t="n">
        <f aca="false">IF(COUNT(F88:H88)&gt;0,V88+Y88,"")</f>
        <v>61.5429928263313</v>
      </c>
      <c r="AB88" s="64" t="n">
        <f aca="false">IF(COUNT(F88:H88)&gt;0,X88/V88,"")</f>
        <v>0.0800573247138828</v>
      </c>
      <c r="AC88" s="26"/>
      <c r="AD88" s="65" t="n">
        <f aca="false">IF(SUM(I88:K88)&gt;0,AVERAGE(I88:K88),"")</f>
        <v>50.3333333333333</v>
      </c>
      <c r="AE88" s="66" t="n">
        <f aca="false">IF(SUM(I88:K88)&gt;0, ( IF(I88&gt;0,(I88-AD88)^2,0) + IF(J88&gt;0,(J88-AD88)^2,0) + IF(K88&gt;0,(K88-AD88)^2,0) ) / COUNT(I88:K88),"")</f>
        <v>38.8888888888889</v>
      </c>
      <c r="AF88" s="63" t="n">
        <f aca="false">IF(SUM(I88:K88)&gt;0,SQRT(AE88),"")</f>
        <v>6.23609564462324</v>
      </c>
      <c r="AG88" s="63" t="n">
        <f aca="false">IF(COUNT(I88:K88)&gt;0,VLOOKUP(COUNT(I88:K88),$AX$2:$AZ$5,3)*(AF88/SQRT(COUNT(I88:K88))),"")</f>
        <v>15.4925706806939</v>
      </c>
      <c r="AH88" s="63" t="n">
        <f aca="false">IF(COUNT(I88:K88)&gt;0,AD88-AG88,"")</f>
        <v>34.8407626526394</v>
      </c>
      <c r="AI88" s="63" t="n">
        <f aca="false">IF(COUNT(I88:K88)&gt;0,AD88+AG88,"")</f>
        <v>65.8259040140272</v>
      </c>
      <c r="AJ88" s="64" t="n">
        <f aca="false">IF(COUNT(I88:K88)&gt;0,AF88/AD88,"")</f>
        <v>0.123895939959402</v>
      </c>
      <c r="AK88" s="65" t="n">
        <f aca="false">IF(SUM(L88:N88)&gt;0,AVERAGE(L88:N88),"")</f>
        <v>52</v>
      </c>
      <c r="AL88" s="66" t="n">
        <f aca="false">IF(SUM(L88:N88)&gt;0, ( IF(L88&gt;0,(L88-AK88)^2,0) + IF(M88&gt;0,(M88-AK88)^2,0) + IF(N88&gt;0,(N88-AK88)^2,0) ) / COUNT(L88:N88),"")</f>
        <v>1</v>
      </c>
      <c r="AM88" s="63" t="n">
        <f aca="false">IF(SUM(L88:N88)&gt;0,SQRT(AL88),"")</f>
        <v>1</v>
      </c>
      <c r="AN88" s="63" t="n">
        <f aca="false">IF(COUNT(L88:N88)&gt;0,VLOOKUP(COUNT(L88:N88),$AX$2:$AZ$5,3)*(AM88/SQRT(COUNT(L88:N88))),"")</f>
        <v>8.98449876175627</v>
      </c>
      <c r="AO88" s="63" t="n">
        <f aca="false">IF(COUNT(L88:N88)&gt;0,AK88-AN88,"")</f>
        <v>43.0155012382437</v>
      </c>
      <c r="AP88" s="63" t="n">
        <f aca="false">IF(COUNT(L88:N88)&gt;0,AK88+AN88,"")</f>
        <v>60.9844987617563</v>
      </c>
      <c r="AQ88" s="64" t="n">
        <f aca="false">IF(COUNT(L88:N88)&gt;0,AM88/AK88,"")</f>
        <v>0.0192307692307692</v>
      </c>
    </row>
    <row r="89" customFormat="false" ht="12.8" hidden="false" customHeight="false" outlineLevel="0" collapsed="false">
      <c r="A89" s="56" t="s">
        <v>41</v>
      </c>
      <c r="B89" s="57" t="n">
        <v>40</v>
      </c>
      <c r="C89" s="56" t="n">
        <v>55</v>
      </c>
      <c r="D89" s="25" t="n">
        <v>43</v>
      </c>
      <c r="E89" s="57" t="n">
        <v>44</v>
      </c>
      <c r="F89" s="58" t="n">
        <v>41</v>
      </c>
      <c r="G89" s="0" t="n">
        <v>47</v>
      </c>
      <c r="H89" s="59" t="n">
        <v>41</v>
      </c>
      <c r="I89" s="56" t="n">
        <v>44</v>
      </c>
      <c r="J89" s="0" t="n">
        <v>44</v>
      </c>
      <c r="K89" s="57" t="n">
        <v>39</v>
      </c>
      <c r="L89" s="56"/>
      <c r="M89" s="0" t="n">
        <v>38</v>
      </c>
      <c r="N89" s="57" t="n">
        <v>40</v>
      </c>
      <c r="O89" s="65" t="n">
        <f aca="false">IF(SUM(C89:E89)&gt;0,AVERAGE(C89:E89),"")</f>
        <v>47.3333333333333</v>
      </c>
      <c r="P89" s="66" t="n">
        <f aca="false">IF(SUM(C89:E89)&gt;0, ( IF(C89&gt;0,(C89-O89)^2,0) + IF(D89&gt;0,(D89-O89)^2,0) + IF(E89&gt;0,(E89-O89)^2,0) ) / COUNT(C89:E89),"")</f>
        <v>29.5555555555556</v>
      </c>
      <c r="Q89" s="63" t="n">
        <f aca="false">IF(SUM(C89:E89)&gt;0,SQRT(P89),"")</f>
        <v>5.43650214343336</v>
      </c>
      <c r="R89" s="63" t="n">
        <f aca="false">IF(COUNT(C89:E89)&gt;0,VLOOKUP(COUNT(C89:E89),$AX$2:$AZ$5,3)*(Q89/SQRT(COUNT(C89:E89))),"")</f>
        <v>13.5061099945612</v>
      </c>
      <c r="S89" s="63" t="n">
        <f aca="false">IF(COUNT(C89:E89)&gt;0,O89-R89,"")</f>
        <v>33.8272233387722</v>
      </c>
      <c r="T89" s="63" t="n">
        <f aca="false">IF(COUNT(C89:E89)&gt;0,O89+R89,"")</f>
        <v>60.8394433278945</v>
      </c>
      <c r="U89" s="64" t="n">
        <f aca="false">IF(COUNT(C89:E89)&gt;0,Q89/O89,"")</f>
        <v>0.11485567908662</v>
      </c>
      <c r="V89" s="65" t="n">
        <f aca="false">IF(SUM(F89:H89)&gt;0,AVERAGE(F89:H89),"")</f>
        <v>43</v>
      </c>
      <c r="W89" s="66" t="n">
        <f aca="false">IF(SUM(F89:H89)&gt;0, ( IF(F89&gt;0,(F89-V89)^2,0) + IF(G89&gt;0,(G89-V89)^2,0) + IF(H89&gt;0,(H89-V89)^2,0) ) / COUNT(F89:H89),"")</f>
        <v>8</v>
      </c>
      <c r="X89" s="63" t="n">
        <f aca="false">IF(SUM(F89:H89)&gt;0,SQRT(W89),"")</f>
        <v>2.82842712474619</v>
      </c>
      <c r="Y89" s="63" t="n">
        <f aca="false">IF(COUNT(F89:H89)&gt;0,VLOOKUP(COUNT(F89:H89),$AX$2:$AZ$5,3)*(X89/SQRT(COUNT(F89:H89))),"")</f>
        <v>7.02676957546401</v>
      </c>
      <c r="Z89" s="63" t="n">
        <f aca="false">IF(COUNT(F89:H89)&gt;0,V89-Y89,"")</f>
        <v>35.973230424536</v>
      </c>
      <c r="AA89" s="63" t="n">
        <f aca="false">IF(COUNT(F89:H89)&gt;0,V89+Y89,"")</f>
        <v>50.026769575464</v>
      </c>
      <c r="AB89" s="64" t="n">
        <f aca="false">IF(COUNT(F89:H89)&gt;0,X89/V89,"")</f>
        <v>0.0657773749940974</v>
      </c>
      <c r="AC89" s="26"/>
      <c r="AD89" s="65" t="n">
        <f aca="false">IF(SUM(I89:K89)&gt;0,AVERAGE(I89:K89),"")</f>
        <v>42.3333333333333</v>
      </c>
      <c r="AE89" s="66" t="n">
        <f aca="false">IF(SUM(I89:K89)&gt;0, ( IF(I89&gt;0,(I89-AD89)^2,0) + IF(J89&gt;0,(J89-AD89)^2,0) + IF(K89&gt;0,(K89-AD89)^2,0) ) / COUNT(I89:K89),"")</f>
        <v>5.55555555555555</v>
      </c>
      <c r="AF89" s="63" t="n">
        <f aca="false">IF(SUM(I89:K89)&gt;0,SQRT(AE89),"")</f>
        <v>2.35702260395516</v>
      </c>
      <c r="AG89" s="63" t="n">
        <f aca="false">IF(COUNT(I89:K89)&gt;0,VLOOKUP(COUNT(I89:K89),$AX$2:$AZ$5,3)*(AF89/SQRT(COUNT(I89:K89))),"")</f>
        <v>5.85564131288667</v>
      </c>
      <c r="AH89" s="63" t="n">
        <f aca="false">IF(COUNT(I89:K89)&gt;0,AD89-AG89,"")</f>
        <v>36.4776920204467</v>
      </c>
      <c r="AI89" s="63" t="n">
        <f aca="false">IF(COUNT(I89:K89)&gt;0,AD89+AG89,"")</f>
        <v>48.18897464622</v>
      </c>
      <c r="AJ89" s="64" t="n">
        <f aca="false">IF(COUNT(I89:K89)&gt;0,AF89/AD89,"")</f>
        <v>0.0556776993060274</v>
      </c>
      <c r="AK89" s="65" t="n">
        <f aca="false">IF(SUM(L89:N89)&gt;0,AVERAGE(L89:N89),"")</f>
        <v>39</v>
      </c>
      <c r="AL89" s="66" t="n">
        <f aca="false">IF(SUM(L89:N89)&gt;0, ( IF(L89&gt;0,(L89-AK89)^2,0) + IF(M89&gt;0,(M89-AK89)^2,0) + IF(N89&gt;0,(N89-AK89)^2,0) ) / COUNT(L89:N89),"")</f>
        <v>1</v>
      </c>
      <c r="AM89" s="63" t="n">
        <f aca="false">IF(SUM(L89:N89)&gt;0,SQRT(AL89),"")</f>
        <v>1</v>
      </c>
      <c r="AN89" s="63" t="n">
        <f aca="false">IF(COUNT(L89:N89)&gt;0,VLOOKUP(COUNT(L89:N89),$AX$2:$AZ$5,3)*(AM89/SQRT(COUNT(L89:N89))),"")</f>
        <v>8.98449876175627</v>
      </c>
      <c r="AO89" s="63" t="n">
        <f aca="false">IF(COUNT(L89:N89)&gt;0,AK89-AN89,"")</f>
        <v>30.0155012382437</v>
      </c>
      <c r="AP89" s="63" t="n">
        <f aca="false">IF(COUNT(L89:N89)&gt;0,AK89+AN89,"")</f>
        <v>47.9844987617563</v>
      </c>
      <c r="AQ89" s="64" t="n">
        <f aca="false">IF(COUNT(L89:N89)&gt;0,AM89/AK89,"")</f>
        <v>0.0256410256410256</v>
      </c>
    </row>
    <row r="90" customFormat="false" ht="12.8" hidden="false" customHeight="false" outlineLevel="0" collapsed="false">
      <c r="A90" s="56" t="s">
        <v>41</v>
      </c>
      <c r="B90" s="57" t="n">
        <v>50</v>
      </c>
      <c r="C90" s="56" t="n">
        <v>38</v>
      </c>
      <c r="D90" s="25" t="n">
        <v>31</v>
      </c>
      <c r="E90" s="57" t="n">
        <v>37</v>
      </c>
      <c r="F90" s="58" t="n">
        <v>34</v>
      </c>
      <c r="G90" s="0" t="n">
        <v>40</v>
      </c>
      <c r="H90" s="59" t="n">
        <v>37</v>
      </c>
      <c r="I90" s="56" t="n">
        <v>38</v>
      </c>
      <c r="J90" s="0" t="n">
        <v>47</v>
      </c>
      <c r="K90" s="57" t="n">
        <v>35</v>
      </c>
      <c r="L90" s="56"/>
      <c r="M90" s="0" t="n">
        <v>30</v>
      </c>
      <c r="N90" s="57" t="n">
        <v>33</v>
      </c>
      <c r="O90" s="65" t="n">
        <f aca="false">IF(SUM(C90:E90)&gt;0,AVERAGE(C90:E90),"")</f>
        <v>35.3333333333333</v>
      </c>
      <c r="P90" s="66" t="n">
        <f aca="false">IF(SUM(C90:E90)&gt;0, ( IF(C90&gt;0,(C90-O90)^2,0) + IF(D90&gt;0,(D90-O90)^2,0) + IF(E90&gt;0,(E90-O90)^2,0) ) / COUNT(C90:E90),"")</f>
        <v>9.55555555555556</v>
      </c>
      <c r="Q90" s="63" t="n">
        <f aca="false">IF(SUM(C90:E90)&gt;0,SQRT(P90),"")</f>
        <v>3.09120616516524</v>
      </c>
      <c r="R90" s="63" t="n">
        <f aca="false">IF(COUNT(C90:E90)&gt;0,VLOOKUP(COUNT(C90:E90),$AX$2:$AZ$5,3)*(Q90/SQRT(COUNT(C90:E90))),"")</f>
        <v>7.67960158592349</v>
      </c>
      <c r="S90" s="63" t="n">
        <f aca="false">IF(COUNT(C90:E90)&gt;0,O90-R90,"")</f>
        <v>27.6537317474099</v>
      </c>
      <c r="T90" s="63" t="n">
        <f aca="false">IF(COUNT(C90:E90)&gt;0,O90+R90,"")</f>
        <v>43.0129349192568</v>
      </c>
      <c r="U90" s="64" t="n">
        <f aca="false">IF(COUNT(C90:E90)&gt;0,Q90/O90,"")</f>
        <v>0.0874869669386387</v>
      </c>
      <c r="V90" s="65" t="n">
        <f aca="false">IF(SUM(F90:H90)&gt;0,AVERAGE(F90:H90),"")</f>
        <v>37</v>
      </c>
      <c r="W90" s="66" t="n">
        <f aca="false">IF(SUM(F90:H90)&gt;0, ( IF(F90&gt;0,(F90-V90)^2,0) + IF(G90&gt;0,(G90-V90)^2,0) + IF(H90&gt;0,(H90-V90)^2,0) ) / COUNT(F90:H90),"")</f>
        <v>6</v>
      </c>
      <c r="X90" s="63" t="n">
        <f aca="false">IF(SUM(F90:H90)&gt;0,SQRT(W90),"")</f>
        <v>2.44948974278318</v>
      </c>
      <c r="Y90" s="63" t="n">
        <f aca="false">IF(COUNT(F90:H90)&gt;0,VLOOKUP(COUNT(F90:H90),$AX$2:$AZ$5,3)*(X90/SQRT(COUNT(F90:H90))),"")</f>
        <v>6.08536095889143</v>
      </c>
      <c r="Z90" s="63" t="n">
        <f aca="false">IF(COUNT(F90:H90)&gt;0,V90-Y90,"")</f>
        <v>30.9146390411086</v>
      </c>
      <c r="AA90" s="63" t="n">
        <f aca="false">IF(COUNT(F90:H90)&gt;0,V90+Y90,"")</f>
        <v>43.0853609588914</v>
      </c>
      <c r="AB90" s="64" t="n">
        <f aca="false">IF(COUNT(F90:H90)&gt;0,X90/V90,"")</f>
        <v>0.0662024254806264</v>
      </c>
      <c r="AC90" s="26"/>
      <c r="AD90" s="65" t="n">
        <f aca="false">IF(SUM(I90:K90)&gt;0,AVERAGE(I90:K90),"")</f>
        <v>40</v>
      </c>
      <c r="AE90" s="66" t="n">
        <f aca="false">IF(SUM(I90:K90)&gt;0, ( IF(I90&gt;0,(I90-AD90)^2,0) + IF(J90&gt;0,(J90-AD90)^2,0) + IF(K90&gt;0,(K90-AD90)^2,0) ) / COUNT(I90:K90),"")</f>
        <v>26</v>
      </c>
      <c r="AF90" s="63" t="n">
        <f aca="false">IF(SUM(I90:K90)&gt;0,SQRT(AE90),"")</f>
        <v>5.09901951359278</v>
      </c>
      <c r="AG90" s="63" t="n">
        <f aca="false">IF(COUNT(I90:K90)&gt;0,VLOOKUP(COUNT(I90:K90),$AX$2:$AZ$5,3)*(AF90/SQRT(COUNT(I90:K90))),"")</f>
        <v>12.6676890026029</v>
      </c>
      <c r="AH90" s="63" t="n">
        <f aca="false">IF(COUNT(I90:K90)&gt;0,AD90-AG90,"")</f>
        <v>27.3323109973971</v>
      </c>
      <c r="AI90" s="63" t="n">
        <f aca="false">IF(COUNT(I90:K90)&gt;0,AD90+AG90,"")</f>
        <v>52.6676890026029</v>
      </c>
      <c r="AJ90" s="64" t="n">
        <f aca="false">IF(COUNT(I90:K90)&gt;0,AF90/AD90,"")</f>
        <v>0.12747548783982</v>
      </c>
      <c r="AK90" s="65" t="n">
        <f aca="false">IF(SUM(L90:N90)&gt;0,AVERAGE(L90:N90),"")</f>
        <v>31.5</v>
      </c>
      <c r="AL90" s="66" t="n">
        <f aca="false">IF(SUM(L90:N90)&gt;0, ( IF(L90&gt;0,(L90-AK90)^2,0) + IF(M90&gt;0,(M90-AK90)^2,0) + IF(N90&gt;0,(N90-AK90)^2,0) ) / COUNT(L90:N90),"")</f>
        <v>2.25</v>
      </c>
      <c r="AM90" s="63" t="n">
        <f aca="false">IF(SUM(L90:N90)&gt;0,SQRT(AL90),"")</f>
        <v>1.5</v>
      </c>
      <c r="AN90" s="63" t="n">
        <f aca="false">IF(COUNT(L90:N90)&gt;0,VLOOKUP(COUNT(L90:N90),$AX$2:$AZ$5,3)*(AM90/SQRT(COUNT(L90:N90))),"")</f>
        <v>13.4767481426344</v>
      </c>
      <c r="AO90" s="63" t="n">
        <f aca="false">IF(COUNT(L90:N90)&gt;0,AK90-AN90,"")</f>
        <v>18.0232518573656</v>
      </c>
      <c r="AP90" s="63" t="n">
        <f aca="false">IF(COUNT(L90:N90)&gt;0,AK90+AN90,"")</f>
        <v>44.9767481426344</v>
      </c>
      <c r="AQ90" s="64" t="n">
        <f aca="false">IF(COUNT(L90:N90)&gt;0,AM90/AK90,"")</f>
        <v>0.0476190476190476</v>
      </c>
    </row>
    <row r="91" customFormat="false" ht="12.8" hidden="false" customHeight="false" outlineLevel="0" collapsed="false">
      <c r="A91" s="56" t="s">
        <v>41</v>
      </c>
      <c r="B91" s="57" t="n">
        <v>64</v>
      </c>
      <c r="C91" s="56" t="n">
        <v>39</v>
      </c>
      <c r="D91" s="25" t="n">
        <v>33</v>
      </c>
      <c r="E91" s="57" t="n">
        <v>37</v>
      </c>
      <c r="F91" s="58" t="n">
        <v>34</v>
      </c>
      <c r="G91" s="0" t="n">
        <v>36</v>
      </c>
      <c r="H91" s="59" t="n">
        <v>36</v>
      </c>
      <c r="I91" s="56" t="n">
        <v>32</v>
      </c>
      <c r="J91" s="0" t="n">
        <v>32</v>
      </c>
      <c r="K91" s="57" t="n">
        <v>28</v>
      </c>
      <c r="L91" s="56"/>
      <c r="M91" s="0" t="n">
        <v>32</v>
      </c>
      <c r="N91" s="57" t="n">
        <v>29</v>
      </c>
      <c r="O91" s="65" t="n">
        <f aca="false">IF(SUM(C91:E91)&gt;0,AVERAGE(C91:E91),"")</f>
        <v>36.3333333333333</v>
      </c>
      <c r="P91" s="66" t="n">
        <f aca="false">IF(SUM(C91:E91)&gt;0, ( IF(C91&gt;0,(C91-O91)^2,0) + IF(D91&gt;0,(D91-O91)^2,0) + IF(E91&gt;0,(E91-O91)^2,0) ) / COUNT(C91:E91),"")</f>
        <v>6.22222222222222</v>
      </c>
      <c r="Q91" s="63" t="n">
        <f aca="false">IF(SUM(C91:E91)&gt;0,SQRT(P91),"")</f>
        <v>2.49443825784929</v>
      </c>
      <c r="R91" s="63" t="n">
        <f aca="false">IF(COUNT(C91:E91)&gt;0,VLOOKUP(COUNT(C91:E91),$AX$2:$AZ$5,3)*(Q91/SQRT(COUNT(C91:E91))),"")</f>
        <v>6.19702827227756</v>
      </c>
      <c r="S91" s="63" t="n">
        <f aca="false">IF(COUNT(C91:E91)&gt;0,O91-R91,"")</f>
        <v>30.1363050610558</v>
      </c>
      <c r="T91" s="63" t="n">
        <f aca="false">IF(COUNT(C91:E91)&gt;0,O91+R91,"")</f>
        <v>42.5303616056109</v>
      </c>
      <c r="U91" s="64" t="n">
        <f aca="false">IF(COUNT(C91:E91)&gt;0,Q91/O91,"")</f>
        <v>0.0686542639775035</v>
      </c>
      <c r="V91" s="65" t="n">
        <f aca="false">IF(SUM(F91:H91)&gt;0,AVERAGE(F91:H91),"")</f>
        <v>35.3333333333333</v>
      </c>
      <c r="W91" s="66" t="n">
        <f aca="false">IF(SUM(F91:H91)&gt;0, ( IF(F91&gt;0,(F91-V91)^2,0) + IF(G91&gt;0,(G91-V91)^2,0) + IF(H91&gt;0,(H91-V91)^2,0) ) / COUNT(F91:H91),"")</f>
        <v>0.888888888888889</v>
      </c>
      <c r="X91" s="63" t="n">
        <f aca="false">IF(SUM(F91:H91)&gt;0,SQRT(W91),"")</f>
        <v>0.942809041582063</v>
      </c>
      <c r="Y91" s="63" t="n">
        <f aca="false">IF(COUNT(F91:H91)&gt;0,VLOOKUP(COUNT(F91:H91),$AX$2:$AZ$5,3)*(X91/SQRT(COUNT(F91:H91))),"")</f>
        <v>2.34225652515467</v>
      </c>
      <c r="Z91" s="63" t="n">
        <f aca="false">IF(COUNT(F91:H91)&gt;0,V91-Y91,"")</f>
        <v>32.9910768081787</v>
      </c>
      <c r="AA91" s="63" t="n">
        <f aca="false">IF(COUNT(F91:H91)&gt;0,V91+Y91,"")</f>
        <v>37.675589858488</v>
      </c>
      <c r="AB91" s="64" t="n">
        <f aca="false">IF(COUNT(F91:H91)&gt;0,X91/V91,"")</f>
        <v>0.0266832747617565</v>
      </c>
      <c r="AC91" s="26"/>
      <c r="AD91" s="65" t="n">
        <f aca="false">IF(SUM(I91:K91)&gt;0,AVERAGE(I91:K91),"")</f>
        <v>30.6666666666667</v>
      </c>
      <c r="AE91" s="66" t="n">
        <f aca="false">IF(SUM(I91:K91)&gt;0, ( IF(I91&gt;0,(I91-AD91)^2,0) + IF(J91&gt;0,(J91-AD91)^2,0) + IF(K91&gt;0,(K91-AD91)^2,0) ) / COUNT(I91:K91),"")</f>
        <v>3.55555555555556</v>
      </c>
      <c r="AF91" s="63" t="n">
        <f aca="false">IF(SUM(I91:K91)&gt;0,SQRT(AE91),"")</f>
        <v>1.88561808316413</v>
      </c>
      <c r="AG91" s="63" t="n">
        <f aca="false">IF(COUNT(I91:K91)&gt;0,VLOOKUP(COUNT(I91:K91),$AX$2:$AZ$5,3)*(AF91/SQRT(COUNT(I91:K91))),"")</f>
        <v>4.68451305030934</v>
      </c>
      <c r="AH91" s="63" t="n">
        <f aca="false">IF(COUNT(I91:K91)&gt;0,AD91-AG91,"")</f>
        <v>25.9821536163573</v>
      </c>
      <c r="AI91" s="63" t="n">
        <f aca="false">IF(COUNT(I91:K91)&gt;0,AD91+AG91,"")</f>
        <v>35.351179716976</v>
      </c>
      <c r="AJ91" s="64" t="n">
        <f aca="false">IF(COUNT(I91:K91)&gt;0,AF91/AD91,"")</f>
        <v>0.0614875461901346</v>
      </c>
      <c r="AK91" s="65" t="n">
        <f aca="false">IF(SUM(L91:N91)&gt;0,AVERAGE(L91:N91),"")</f>
        <v>30.5</v>
      </c>
      <c r="AL91" s="66" t="n">
        <f aca="false">IF(SUM(L91:N91)&gt;0, ( IF(L91&gt;0,(L91-AK91)^2,0) + IF(M91&gt;0,(M91-AK91)^2,0) + IF(N91&gt;0,(N91-AK91)^2,0) ) / COUNT(L91:N91),"")</f>
        <v>2.25</v>
      </c>
      <c r="AM91" s="63" t="n">
        <f aca="false">IF(SUM(L91:N91)&gt;0,SQRT(AL91),"")</f>
        <v>1.5</v>
      </c>
      <c r="AN91" s="63" t="n">
        <f aca="false">IF(COUNT(L91:N91)&gt;0,VLOOKUP(COUNT(L91:N91),$AX$2:$AZ$5,3)*(AM91/SQRT(COUNT(L91:N91))),"")</f>
        <v>13.4767481426344</v>
      </c>
      <c r="AO91" s="63" t="n">
        <f aca="false">IF(COUNT(L91:N91)&gt;0,AK91-AN91,"")</f>
        <v>17.0232518573656</v>
      </c>
      <c r="AP91" s="63" t="n">
        <f aca="false">IF(COUNT(L91:N91)&gt;0,AK91+AN91,"")</f>
        <v>43.9767481426344</v>
      </c>
      <c r="AQ91" s="64" t="n">
        <f aca="false">IF(COUNT(L91:N91)&gt;0,AM91/AK91,"")</f>
        <v>0.0491803278688525</v>
      </c>
    </row>
    <row r="92" customFormat="false" ht="12.8" hidden="false" customHeight="false" outlineLevel="0" collapsed="false">
      <c r="A92" s="56" t="s">
        <v>41</v>
      </c>
      <c r="B92" s="57" t="n">
        <v>82</v>
      </c>
      <c r="C92" s="56" t="n">
        <v>31</v>
      </c>
      <c r="D92" s="25" t="n">
        <v>30</v>
      </c>
      <c r="E92" s="57" t="n">
        <v>29</v>
      </c>
      <c r="F92" s="58" t="n">
        <v>28</v>
      </c>
      <c r="G92" s="0" t="n">
        <v>30</v>
      </c>
      <c r="H92" s="59" t="n">
        <v>27</v>
      </c>
      <c r="I92" s="56" t="n">
        <v>33</v>
      </c>
      <c r="J92" s="0" t="n">
        <v>28</v>
      </c>
      <c r="K92" s="57" t="n">
        <v>31</v>
      </c>
      <c r="L92" s="56"/>
      <c r="M92" s="0" t="n">
        <v>27</v>
      </c>
      <c r="N92" s="57" t="n">
        <v>29</v>
      </c>
      <c r="O92" s="65" t="n">
        <f aca="false">IF(SUM(C92:E92)&gt;0,AVERAGE(C92:E92),"")</f>
        <v>30</v>
      </c>
      <c r="P92" s="66" t="n">
        <f aca="false">IF(SUM(C92:E92)&gt;0, ( IF(C92&gt;0,(C92-O92)^2,0) + IF(D92&gt;0,(D92-O92)^2,0) + IF(E92&gt;0,(E92-O92)^2,0) ) / COUNT(C92:E92),"")</f>
        <v>0.666666666666667</v>
      </c>
      <c r="Q92" s="63" t="n">
        <f aca="false">IF(SUM(C92:E92)&gt;0,SQRT(P92),"")</f>
        <v>0.816496580927726</v>
      </c>
      <c r="R92" s="63" t="n">
        <f aca="false">IF(COUNT(C92:E92)&gt;0,VLOOKUP(COUNT(C92:E92),$AX$2:$AZ$5,3)*(Q92/SQRT(COUNT(C92:E92))),"")</f>
        <v>2.02845365296381</v>
      </c>
      <c r="S92" s="63" t="n">
        <f aca="false">IF(COUNT(C92:E92)&gt;0,O92-R92,"")</f>
        <v>27.9715463470362</v>
      </c>
      <c r="T92" s="63" t="n">
        <f aca="false">IF(COUNT(C92:E92)&gt;0,O92+R92,"")</f>
        <v>32.0284536529638</v>
      </c>
      <c r="U92" s="64" t="n">
        <f aca="false">IF(COUNT(C92:E92)&gt;0,Q92/O92,"")</f>
        <v>0.0272165526975909</v>
      </c>
      <c r="V92" s="65" t="n">
        <f aca="false">IF(SUM(F92:H92)&gt;0,AVERAGE(F92:H92),"")</f>
        <v>28.3333333333333</v>
      </c>
      <c r="W92" s="66" t="n">
        <f aca="false">IF(SUM(F92:H92)&gt;0, ( IF(F92&gt;0,(F92-V92)^2,0) + IF(G92&gt;0,(G92-V92)^2,0) + IF(H92&gt;0,(H92-V92)^2,0) ) / COUNT(F92:H92),"")</f>
        <v>1.55555555555556</v>
      </c>
      <c r="X92" s="63" t="n">
        <f aca="false">IF(SUM(F92:H92)&gt;0,SQRT(W92),"")</f>
        <v>1.24721912892465</v>
      </c>
      <c r="Y92" s="63" t="n">
        <f aca="false">IF(COUNT(F92:H92)&gt;0,VLOOKUP(COUNT(F92:H92),$AX$2:$AZ$5,3)*(X92/SQRT(COUNT(F92:H92))),"")</f>
        <v>3.09851413613878</v>
      </c>
      <c r="Z92" s="63" t="n">
        <f aca="false">IF(COUNT(F92:H92)&gt;0,V92-Y92,"")</f>
        <v>25.2348191971946</v>
      </c>
      <c r="AA92" s="63" t="n">
        <f aca="false">IF(COUNT(F92:H92)&gt;0,V92+Y92,"")</f>
        <v>31.4318474694721</v>
      </c>
      <c r="AB92" s="64" t="n">
        <f aca="false">IF(COUNT(F92:H92)&gt;0,X92/V92,"")</f>
        <v>0.0440194986679287</v>
      </c>
      <c r="AC92" s="26"/>
      <c r="AD92" s="65" t="n">
        <f aca="false">IF(SUM(I92:K92)&gt;0,AVERAGE(I92:K92),"")</f>
        <v>30.6666666666667</v>
      </c>
      <c r="AE92" s="66" t="n">
        <f aca="false">IF(SUM(I92:K92)&gt;0, ( IF(I92&gt;0,(I92-AD92)^2,0) + IF(J92&gt;0,(J92-AD92)^2,0) + IF(K92&gt;0,(K92-AD92)^2,0) ) / COUNT(I92:K92),"")</f>
        <v>4.22222222222222</v>
      </c>
      <c r="AF92" s="63" t="n">
        <f aca="false">IF(SUM(I92:K92)&gt;0,SQRT(AE92),"")</f>
        <v>2.05480466765633</v>
      </c>
      <c r="AG92" s="63" t="n">
        <f aca="false">IF(COUNT(I92:K92)&gt;0,VLOOKUP(COUNT(I92:K92),$AX$2:$AZ$5,3)*(AF92/SQRT(COUNT(I92:K92))),"")</f>
        <v>5.10482974649897</v>
      </c>
      <c r="AH92" s="63" t="n">
        <f aca="false">IF(COUNT(I92:K92)&gt;0,AD92-AG92,"")</f>
        <v>25.5618369201677</v>
      </c>
      <c r="AI92" s="63" t="n">
        <f aca="false">IF(COUNT(I92:K92)&gt;0,AD92+AG92,"")</f>
        <v>35.7714964131656</v>
      </c>
      <c r="AJ92" s="64" t="n">
        <f aca="false">IF(COUNT(I92:K92)&gt;0,AF92/AD92,"")</f>
        <v>0.0670045000322715</v>
      </c>
      <c r="AK92" s="65" t="n">
        <f aca="false">IF(SUM(L92:N92)&gt;0,AVERAGE(L92:N92),"")</f>
        <v>28</v>
      </c>
      <c r="AL92" s="66" t="n">
        <f aca="false">IF(SUM(L92:N92)&gt;0, ( IF(L92&gt;0,(L92-AK92)^2,0) + IF(M92&gt;0,(M92-AK92)^2,0) + IF(N92&gt;0,(N92-AK92)^2,0) ) / COUNT(L92:N92),"")</f>
        <v>1</v>
      </c>
      <c r="AM92" s="63" t="n">
        <f aca="false">IF(SUM(L92:N92)&gt;0,SQRT(AL92),"")</f>
        <v>1</v>
      </c>
      <c r="AN92" s="63" t="n">
        <f aca="false">IF(COUNT(L92:N92)&gt;0,VLOOKUP(COUNT(L92:N92),$AX$2:$AZ$5,3)*(AM92/SQRT(COUNT(L92:N92))),"")</f>
        <v>8.98449876175627</v>
      </c>
      <c r="AO92" s="63" t="n">
        <f aca="false">IF(COUNT(L92:N92)&gt;0,AK92-AN92,"")</f>
        <v>19.0155012382437</v>
      </c>
      <c r="AP92" s="63" t="n">
        <f aca="false">IF(COUNT(L92:N92)&gt;0,AK92+AN92,"")</f>
        <v>36.9844987617563</v>
      </c>
      <c r="AQ92" s="64" t="n">
        <f aca="false">IF(COUNT(L92:N92)&gt;0,AM92/AK92,"")</f>
        <v>0.0357142857142857</v>
      </c>
    </row>
    <row r="93" customFormat="false" ht="12.8" hidden="false" customHeight="false" outlineLevel="0" collapsed="false">
      <c r="A93" s="56" t="s">
        <v>41</v>
      </c>
      <c r="B93" s="57" t="n">
        <v>100</v>
      </c>
      <c r="C93" s="56" t="n">
        <v>31</v>
      </c>
      <c r="D93" s="25" t="n">
        <v>29</v>
      </c>
      <c r="E93" s="57" t="n">
        <v>27</v>
      </c>
      <c r="F93" s="58" t="n">
        <v>28</v>
      </c>
      <c r="G93" s="0" t="n">
        <v>28</v>
      </c>
      <c r="H93" s="59" t="n">
        <v>33</v>
      </c>
      <c r="I93" s="56" t="n">
        <v>27</v>
      </c>
      <c r="J93" s="0" t="n">
        <v>30</v>
      </c>
      <c r="K93" s="57"/>
      <c r="L93" s="56"/>
      <c r="M93" s="0" t="n">
        <v>32</v>
      </c>
      <c r="N93" s="57" t="n">
        <v>27</v>
      </c>
      <c r="O93" s="65" t="n">
        <f aca="false">IF(SUM(C93:E93)&gt;0,AVERAGE(C93:E93),"")</f>
        <v>29</v>
      </c>
      <c r="P93" s="66" t="n">
        <f aca="false">IF(SUM(C93:E93)&gt;0, ( IF(C93&gt;0,(C93-O93)^2,0) + IF(D93&gt;0,(D93-O93)^2,0) + IF(E93&gt;0,(E93-O93)^2,0) ) / COUNT(C93:E93),"")</f>
        <v>2.66666666666667</v>
      </c>
      <c r="Q93" s="63" t="n">
        <f aca="false">IF(SUM(C93:E93)&gt;0,SQRT(P93),"")</f>
        <v>1.63299316185545</v>
      </c>
      <c r="R93" s="63" t="n">
        <f aca="false">IF(COUNT(C93:E93)&gt;0,VLOOKUP(COUNT(C93:E93),$AX$2:$AZ$5,3)*(Q93/SQRT(COUNT(C93:E93))),"")</f>
        <v>4.05690730592762</v>
      </c>
      <c r="S93" s="63" t="n">
        <f aca="false">IF(COUNT(C93:E93)&gt;0,O93-R93,"")</f>
        <v>24.9430926940724</v>
      </c>
      <c r="T93" s="63" t="n">
        <f aca="false">IF(COUNT(C93:E93)&gt;0,O93+R93,"")</f>
        <v>33.0569073059276</v>
      </c>
      <c r="U93" s="64" t="n">
        <f aca="false">IF(COUNT(C93:E93)&gt;0,Q93/O93,"")</f>
        <v>0.0563101090294983</v>
      </c>
      <c r="V93" s="65" t="n">
        <f aca="false">IF(SUM(F93:H93)&gt;0,AVERAGE(F93:H93),"")</f>
        <v>29.6666666666667</v>
      </c>
      <c r="W93" s="66" t="n">
        <f aca="false">IF(SUM(F93:H93)&gt;0, ( IF(F93&gt;0,(F93-V93)^2,0) + IF(G93&gt;0,(G93-V93)^2,0) + IF(H93&gt;0,(H93-V93)^2,0) ) / COUNT(F93:H93),"")</f>
        <v>5.55555555555556</v>
      </c>
      <c r="X93" s="63" t="n">
        <f aca="false">IF(SUM(F93:H93)&gt;0,SQRT(W93),"")</f>
        <v>2.35702260395516</v>
      </c>
      <c r="Y93" s="63" t="n">
        <f aca="false">IF(COUNT(F93:H93)&gt;0,VLOOKUP(COUNT(F93:H93),$AX$2:$AZ$5,3)*(X93/SQRT(COUNT(F93:H93))),"")</f>
        <v>5.85564131288668</v>
      </c>
      <c r="Z93" s="63" t="n">
        <f aca="false">IF(COUNT(F93:H93)&gt;0,V93-Y93,"")</f>
        <v>23.81102535378</v>
      </c>
      <c r="AA93" s="63" t="n">
        <f aca="false">IF(COUNT(F93:H93)&gt;0,V93+Y93,"")</f>
        <v>35.5223079795534</v>
      </c>
      <c r="AB93" s="64" t="n">
        <f aca="false">IF(COUNT(F93:H93)&gt;0,X93/V93,"")</f>
        <v>0.07945020013332</v>
      </c>
      <c r="AC93" s="26"/>
      <c r="AD93" s="65" t="n">
        <f aca="false">IF(SUM(I93:K93)&gt;0,AVERAGE(I93:K93),"")</f>
        <v>28.5</v>
      </c>
      <c r="AE93" s="66" t="n">
        <f aca="false">IF(SUM(I93:K93)&gt;0, ( IF(I93&gt;0,(I93-AD93)^2,0) + IF(J93&gt;0,(J93-AD93)^2,0) + IF(K93&gt;0,(K93-AD93)^2,0) ) / COUNT(I93:K93),"")</f>
        <v>2.25</v>
      </c>
      <c r="AF93" s="63" t="n">
        <f aca="false">IF(SUM(I93:K93)&gt;0,SQRT(AE93),"")</f>
        <v>1.5</v>
      </c>
      <c r="AG93" s="63" t="n">
        <f aca="false">IF(COUNT(I93:K93)&gt;0,VLOOKUP(COUNT(I93:K93),$AX$2:$AZ$5,3)*(AF93/SQRT(COUNT(I93:K93))),"")</f>
        <v>13.4767481426344</v>
      </c>
      <c r="AH93" s="63" t="n">
        <f aca="false">IF(COUNT(I93:K93)&gt;0,AD93-AG93,"")</f>
        <v>15.0232518573656</v>
      </c>
      <c r="AI93" s="63" t="n">
        <f aca="false">IF(COUNT(I93:K93)&gt;0,AD93+AG93,"")</f>
        <v>41.9767481426344</v>
      </c>
      <c r="AJ93" s="64" t="n">
        <f aca="false">IF(COUNT(I93:K93)&gt;0,AF93/AD93,"")</f>
        <v>0.0526315789473684</v>
      </c>
      <c r="AK93" s="65" t="n">
        <f aca="false">IF(SUM(L93:N93)&gt;0,AVERAGE(L93:N93),"")</f>
        <v>29.5</v>
      </c>
      <c r="AL93" s="66" t="n">
        <f aca="false">IF(SUM(L93:N93)&gt;0, ( IF(L93&gt;0,(L93-AK93)^2,0) + IF(M93&gt;0,(M93-AK93)^2,0) + IF(N93&gt;0,(N93-AK93)^2,0) ) / COUNT(L93:N93),"")</f>
        <v>6.25</v>
      </c>
      <c r="AM93" s="63" t="n">
        <f aca="false">IF(SUM(L93:N93)&gt;0,SQRT(AL93),"")</f>
        <v>2.5</v>
      </c>
      <c r="AN93" s="63" t="n">
        <f aca="false">IF(COUNT(L93:N93)&gt;0,VLOOKUP(COUNT(L93:N93),$AX$2:$AZ$5,3)*(AM93/SQRT(COUNT(L93:N93))),"")</f>
        <v>22.4612469043907</v>
      </c>
      <c r="AO93" s="63" t="n">
        <f aca="false">IF(COUNT(L93:N93)&gt;0,AK93-AN93,"")</f>
        <v>7.03875309560932</v>
      </c>
      <c r="AP93" s="63" t="n">
        <f aca="false">IF(COUNT(L93:N93)&gt;0,AK93+AN93,"")</f>
        <v>51.9612469043907</v>
      </c>
      <c r="AQ93" s="64" t="n">
        <f aca="false">IF(COUNT(L93:N93)&gt;0,AM93/AK93,"")</f>
        <v>0.0847457627118644</v>
      </c>
    </row>
    <row r="94" customFormat="false" ht="12.8" hidden="false" customHeight="false" outlineLevel="0" collapsed="false">
      <c r="A94" s="56" t="s">
        <v>42</v>
      </c>
      <c r="B94" s="57" t="n">
        <v>5</v>
      </c>
      <c r="C94" s="56"/>
      <c r="D94" s="25"/>
      <c r="E94" s="57"/>
      <c r="F94" s="58"/>
      <c r="H94" s="59"/>
      <c r="I94" s="56"/>
      <c r="K94" s="57" t="n">
        <v>483</v>
      </c>
      <c r="L94" s="56"/>
      <c r="N94" s="57"/>
      <c r="O94" s="65" t="str">
        <f aca="false">IF(SUM(C94:E94)&gt;0,AVERAGE(C94:E94),"")</f>
        <v/>
      </c>
      <c r="P94" s="66" t="str">
        <f aca="false">IF(SUM(C94:E94)&gt;0, ( IF(C94&gt;0,(C94-O94)^2,0) + IF(D94&gt;0,(D94-O94)^2,0) + IF(E94&gt;0,(E94-O94)^2,0) ) / COUNT(C94:E94),"")</f>
        <v/>
      </c>
      <c r="Q94" s="63" t="str">
        <f aca="false">IF(SUM(C94:E94)&gt;0,SQRT(P94),"")</f>
        <v/>
      </c>
      <c r="R94" s="63" t="str">
        <f aca="false">IF(COUNT(C94:E94)&gt;0,VLOOKUP(COUNT(C94:E94),$AX$2:$AZ$5,3)*(Q94/SQRT(COUNT(C94:E94))),"")</f>
        <v/>
      </c>
      <c r="S94" s="63" t="str">
        <f aca="false">IF(COUNT(C94:E94)&gt;0,O94-R94,"")</f>
        <v/>
      </c>
      <c r="T94" s="63" t="str">
        <f aca="false">IF(COUNT(C94:E94)&gt;0,O94+R94,"")</f>
        <v/>
      </c>
      <c r="U94" s="64" t="str">
        <f aca="false">IF(COUNT(C94:E94)&gt;0,Q94/O94,"")</f>
        <v/>
      </c>
      <c r="V94" s="65" t="str">
        <f aca="false">IF(SUM(F94:H94)&gt;0,AVERAGE(F94:H94),"")</f>
        <v/>
      </c>
      <c r="W94" s="66" t="str">
        <f aca="false">IF(SUM(F94:H94)&gt;0, ( IF(F94&gt;0,(F94-V94)^2,0) + IF(G94&gt;0,(G94-V94)^2,0) + IF(H94&gt;0,(H94-V94)^2,0) ) / COUNT(F94:H94),"")</f>
        <v/>
      </c>
      <c r="X94" s="63" t="str">
        <f aca="false">IF(SUM(F94:H94)&gt;0,SQRT(W94),"")</f>
        <v/>
      </c>
      <c r="Y94" s="63" t="str">
        <f aca="false">IF(COUNT(F94:H94)&gt;0,VLOOKUP(COUNT(F94:H94),$AX$2:$AZ$5,3)*(X94/SQRT(COUNT(F94:H94))),"")</f>
        <v/>
      </c>
      <c r="Z94" s="63" t="str">
        <f aca="false">IF(COUNT(F94:H94)&gt;0,V94-Y94,"")</f>
        <v/>
      </c>
      <c r="AA94" s="63" t="str">
        <f aca="false">IF(COUNT(F94:H94)&gt;0,V94+Y94,"")</f>
        <v/>
      </c>
      <c r="AB94" s="64" t="str">
        <f aca="false">IF(COUNT(F94:H94)&gt;0,X94/V94,"")</f>
        <v/>
      </c>
      <c r="AC94" s="26"/>
      <c r="AD94" s="65" t="n">
        <f aca="false">IF(SUM(I94:K94)&gt;0,AVERAGE(I94:K94),"")</f>
        <v>483</v>
      </c>
      <c r="AE94" s="66" t="n">
        <f aca="false">IF(SUM(I94:K94)&gt;0, ( IF(I94&gt;0,(I94-AD94)^2,0) + IF(J94&gt;0,(J94-AD94)^2,0) + IF(K94&gt;0,(K94-AD94)^2,0) ) / COUNT(I94:K94),"")</f>
        <v>0</v>
      </c>
      <c r="AF94" s="63" t="n">
        <f aca="false">IF(SUM(I94:K94)&gt;0,SQRT(AE94),"")</f>
        <v>0</v>
      </c>
      <c r="AG94" s="63" t="n">
        <f aca="false">IF(COUNT(I94:K94)&gt;0,VLOOKUP(COUNT(I94:K94),$AX$2:$AZ$5,3)*(AF94/SQRT(COUNT(I94:K94))),"")</f>
        <v>0</v>
      </c>
      <c r="AH94" s="63" t="n">
        <f aca="false">IF(COUNT(I94:K94)&gt;0,AD94-AG94,"")</f>
        <v>483</v>
      </c>
      <c r="AI94" s="63" t="n">
        <f aca="false">IF(COUNT(I94:K94)&gt;0,AD94+AG94,"")</f>
        <v>483</v>
      </c>
      <c r="AJ94" s="64" t="n">
        <f aca="false">IF(COUNT(I94:K94)&gt;0,AF94/AD94,"")</f>
        <v>0</v>
      </c>
      <c r="AK94" s="65" t="str">
        <f aca="false">IF(SUM(L94:N94)&gt;0,AVERAGE(L94:N94),"")</f>
        <v/>
      </c>
      <c r="AL94" s="66" t="str">
        <f aca="false">IF(SUM(L94:N94)&gt;0, ( IF(L94&gt;0,(L94-AK94)^2,0) + IF(M94&gt;0,(M94-AK94)^2,0) + IF(N94&gt;0,(N94-AK94)^2,0) ) / COUNT(L94:N94),"")</f>
        <v/>
      </c>
      <c r="AM94" s="63" t="str">
        <f aca="false">IF(SUM(L94:N94)&gt;0,SQRT(AL94),"")</f>
        <v/>
      </c>
      <c r="AN94" s="63" t="str">
        <f aca="false">IF(COUNT(L94:N94)&gt;0,VLOOKUP(COUNT(L94:N94),$AX$2:$AZ$5,3)*(AM94/SQRT(COUNT(L94:N94))),"")</f>
        <v/>
      </c>
      <c r="AO94" s="63" t="str">
        <f aca="false">IF(COUNT(L94:N94)&gt;0,AK94-AN94,"")</f>
        <v/>
      </c>
      <c r="AP94" s="63" t="str">
        <f aca="false">IF(COUNT(L94:N94)&gt;0,AK94+AN94,"")</f>
        <v/>
      </c>
      <c r="AQ94" s="64" t="str">
        <f aca="false">IF(COUNT(L94:N94)&gt;0,AM94/AK94,"")</f>
        <v/>
      </c>
    </row>
    <row r="95" customFormat="false" ht="12.8" hidden="false" customHeight="false" outlineLevel="0" collapsed="false">
      <c r="A95" s="56" t="s">
        <v>42</v>
      </c>
      <c r="B95" s="57" t="n">
        <v>10</v>
      </c>
      <c r="C95" s="56" t="n">
        <v>488</v>
      </c>
      <c r="D95" s="25" t="n">
        <v>449</v>
      </c>
      <c r="E95" s="57" t="n">
        <v>730</v>
      </c>
      <c r="F95" s="58" t="n">
        <v>512</v>
      </c>
      <c r="H95" s="59" t="n">
        <v>490</v>
      </c>
      <c r="I95" s="56" t="n">
        <v>403</v>
      </c>
      <c r="J95" s="0" t="n">
        <v>488</v>
      </c>
      <c r="K95" s="57" t="n">
        <v>342</v>
      </c>
      <c r="L95" s="56"/>
      <c r="M95" s="0" t="n">
        <v>449</v>
      </c>
      <c r="N95" s="57" t="n">
        <v>514</v>
      </c>
      <c r="O95" s="65" t="n">
        <f aca="false">IF(SUM(C95:E95)&gt;0,AVERAGE(C95:E95),"")</f>
        <v>555.666666666667</v>
      </c>
      <c r="P95" s="66" t="n">
        <f aca="false">IF(SUM(C95:E95)&gt;0, ( IF(C95&gt;0,(C95-O95)^2,0) + IF(D95&gt;0,(D95-O95)^2,0) + IF(E95&gt;0,(E95-O95)^2,0) ) / COUNT(C95:E95),"")</f>
        <v>15449.5555555556</v>
      </c>
      <c r="Q95" s="63" t="n">
        <f aca="false">IF(SUM(C95:E95)&gt;0,SQRT(P95),"")</f>
        <v>124.296241115955</v>
      </c>
      <c r="R95" s="63" t="n">
        <f aca="false">IF(COUNT(C95:E95)&gt;0,VLOOKUP(COUNT(C95:E95),$AX$2:$AZ$5,3)*(Q95/SQRT(COUNT(C95:E95))),"")</f>
        <v>308.79390095529</v>
      </c>
      <c r="S95" s="63" t="n">
        <f aca="false">IF(COUNT(C95:E95)&gt;0,O95-R95,"")</f>
        <v>246.872765711377</v>
      </c>
      <c r="T95" s="63" t="n">
        <f aca="false">IF(COUNT(C95:E95)&gt;0,O95+R95,"")</f>
        <v>864.460567621956</v>
      </c>
      <c r="U95" s="64" t="n">
        <f aca="false">IF(COUNT(C95:E95)&gt;0,Q95/O95,"")</f>
        <v>0.223688496309457</v>
      </c>
      <c r="V95" s="65" t="n">
        <f aca="false">IF(SUM(F95:H95)&gt;0,AVERAGE(F95:H95),"")</f>
        <v>501</v>
      </c>
      <c r="W95" s="66" t="n">
        <f aca="false">IF(SUM(F95:H95)&gt;0, ( IF(F95&gt;0,(F95-V95)^2,0) + IF(G95&gt;0,(G95-V95)^2,0) + IF(H95&gt;0,(H95-V95)^2,0) ) / COUNT(F95:H95),"")</f>
        <v>121</v>
      </c>
      <c r="X95" s="63" t="n">
        <f aca="false">IF(SUM(F95:H95)&gt;0,SQRT(W95),"")</f>
        <v>11</v>
      </c>
      <c r="Y95" s="63" t="n">
        <f aca="false">IF(COUNT(F95:H95)&gt;0,VLOOKUP(COUNT(F95:H95),$AX$2:$AZ$5,3)*(X95/SQRT(COUNT(F95:H95))),"")</f>
        <v>98.829486379319</v>
      </c>
      <c r="Z95" s="63" t="n">
        <f aca="false">IF(COUNT(F95:H95)&gt;0,V95-Y95,"")</f>
        <v>402.170513620681</v>
      </c>
      <c r="AA95" s="63" t="n">
        <f aca="false">IF(COUNT(F95:H95)&gt;0,V95+Y95,"")</f>
        <v>599.829486379319</v>
      </c>
      <c r="AB95" s="64" t="n">
        <f aca="false">IF(COUNT(F95:H95)&gt;0,X95/V95,"")</f>
        <v>0.0219560878243513</v>
      </c>
      <c r="AC95" s="26"/>
      <c r="AD95" s="65" t="n">
        <f aca="false">IF(SUM(I95:K95)&gt;0,AVERAGE(I95:K95),"")</f>
        <v>411</v>
      </c>
      <c r="AE95" s="66" t="n">
        <f aca="false">IF(SUM(I95:K95)&gt;0, ( IF(I95&gt;0,(I95-AD95)^2,0) + IF(J95&gt;0,(J95-AD95)^2,0) + IF(K95&gt;0,(K95-AD95)^2,0) ) / COUNT(I95:K95),"")</f>
        <v>3584.66666666667</v>
      </c>
      <c r="AF95" s="63" t="n">
        <f aca="false">IF(SUM(I95:K95)&gt;0,SQRT(AE95),"")</f>
        <v>59.8720858720211</v>
      </c>
      <c r="AG95" s="63" t="n">
        <f aca="false">IF(COUNT(I95:K95)&gt;0,VLOOKUP(COUNT(I95:K95),$AX$2:$AZ$5,3)*(AF95/SQRT(COUNT(I95:K95))),"")</f>
        <v>148.742510543855</v>
      </c>
      <c r="AH95" s="63" t="n">
        <f aca="false">IF(COUNT(I95:K95)&gt;0,AD95-AG95,"")</f>
        <v>262.257489456145</v>
      </c>
      <c r="AI95" s="63" t="n">
        <f aca="false">IF(COUNT(I95:K95)&gt;0,AD95+AG95,"")</f>
        <v>559.742510543855</v>
      </c>
      <c r="AJ95" s="64" t="n">
        <f aca="false">IF(COUNT(I95:K95)&gt;0,AF95/AD95,"")</f>
        <v>0.145674174871098</v>
      </c>
      <c r="AK95" s="65" t="n">
        <f aca="false">IF(SUM(L95:N95)&gt;0,AVERAGE(L95:N95),"")</f>
        <v>481.5</v>
      </c>
      <c r="AL95" s="66" t="n">
        <f aca="false">IF(SUM(L95:N95)&gt;0, ( IF(L95&gt;0,(L95-AK95)^2,0) + IF(M95&gt;0,(M95-AK95)^2,0) + IF(N95&gt;0,(N95-AK95)^2,0) ) / COUNT(L95:N95),"")</f>
        <v>1056.25</v>
      </c>
      <c r="AM95" s="63" t="n">
        <f aca="false">IF(SUM(L95:N95)&gt;0,SQRT(AL95),"")</f>
        <v>32.5</v>
      </c>
      <c r="AN95" s="63" t="n">
        <f aca="false">IF(COUNT(L95:N95)&gt;0,VLOOKUP(COUNT(L95:N95),$AX$2:$AZ$5,3)*(AM95/SQRT(COUNT(L95:N95))),"")</f>
        <v>291.996209757079</v>
      </c>
      <c r="AO95" s="63" t="n">
        <f aca="false">IF(COUNT(L95:N95)&gt;0,AK95-AN95,"")</f>
        <v>189.503790242921</v>
      </c>
      <c r="AP95" s="63" t="n">
        <f aca="false">IF(COUNT(L95:N95)&gt;0,AK95+AN95,"")</f>
        <v>773.496209757079</v>
      </c>
      <c r="AQ95" s="64" t="n">
        <f aca="false">IF(COUNT(L95:N95)&gt;0,AM95/AK95,"")</f>
        <v>0.0674974039460021</v>
      </c>
    </row>
    <row r="96" customFormat="false" ht="12.8" hidden="false" customHeight="false" outlineLevel="0" collapsed="false">
      <c r="A96" s="56" t="s">
        <v>42</v>
      </c>
      <c r="B96" s="57" t="n">
        <v>15</v>
      </c>
      <c r="C96" s="56" t="n">
        <v>365</v>
      </c>
      <c r="D96" s="25" t="n">
        <v>403</v>
      </c>
      <c r="E96" s="57" t="n">
        <v>357</v>
      </c>
      <c r="F96" s="58" t="n">
        <v>340</v>
      </c>
      <c r="G96" s="0" t="n">
        <v>340</v>
      </c>
      <c r="H96" s="59" t="n">
        <v>368</v>
      </c>
      <c r="I96" s="56" t="n">
        <v>340</v>
      </c>
      <c r="J96" s="0" t="n">
        <v>338</v>
      </c>
      <c r="K96" s="57" t="n">
        <v>302</v>
      </c>
      <c r="L96" s="56"/>
      <c r="M96" s="0" t="n">
        <v>393</v>
      </c>
      <c r="N96" s="57" t="n">
        <v>357</v>
      </c>
      <c r="O96" s="65" t="n">
        <f aca="false">IF(SUM(C96:E96)&gt;0,AVERAGE(C96:E96),"")</f>
        <v>375</v>
      </c>
      <c r="P96" s="66" t="n">
        <f aca="false">IF(SUM(C96:E96)&gt;0, ( IF(C96&gt;0,(C96-O96)^2,0) + IF(D96&gt;0,(D96-O96)^2,0) + IF(E96&gt;0,(E96-O96)^2,0) ) / COUNT(C96:E96),"")</f>
        <v>402.666666666667</v>
      </c>
      <c r="Q96" s="63" t="n">
        <f aca="false">IF(SUM(C96:E96)&gt;0,SQRT(P96),"")</f>
        <v>20.0665559243899</v>
      </c>
      <c r="R96" s="63" t="n">
        <f aca="false">IF(COUNT(C96:E96)&gt;0,VLOOKUP(COUNT(C96:E96),$AX$2:$AZ$5,3)*(Q96/SQRT(COUNT(C96:E96))),"")</f>
        <v>49.8521115924112</v>
      </c>
      <c r="S96" s="63" t="n">
        <f aca="false">IF(COUNT(C96:E96)&gt;0,O96-R96,"")</f>
        <v>325.147888407589</v>
      </c>
      <c r="T96" s="63" t="n">
        <f aca="false">IF(COUNT(C96:E96)&gt;0,O96+R96,"")</f>
        <v>424.852111592411</v>
      </c>
      <c r="U96" s="64" t="n">
        <f aca="false">IF(COUNT(C96:E96)&gt;0,Q96/O96,"")</f>
        <v>0.053510815798373</v>
      </c>
      <c r="V96" s="65" t="n">
        <f aca="false">IF(SUM(F96:H96)&gt;0,AVERAGE(F96:H96),"")</f>
        <v>349.333333333333</v>
      </c>
      <c r="W96" s="66" t="n">
        <f aca="false">IF(SUM(F96:H96)&gt;0, ( IF(F96&gt;0,(F96-V96)^2,0) + IF(G96&gt;0,(G96-V96)^2,0) + IF(H96&gt;0,(H96-V96)^2,0) ) / COUNT(F96:H96),"")</f>
        <v>174.222222222222</v>
      </c>
      <c r="X96" s="63" t="n">
        <f aca="false">IF(SUM(F96:H96)&gt;0,SQRT(W96),"")</f>
        <v>13.1993265821489</v>
      </c>
      <c r="Y96" s="63" t="n">
        <f aca="false">IF(COUNT(F96:H96)&gt;0,VLOOKUP(COUNT(F96:H96),$AX$2:$AZ$5,3)*(X96/SQRT(COUNT(F96:H96))),"")</f>
        <v>32.7915913521654</v>
      </c>
      <c r="Z96" s="63" t="n">
        <f aca="false">IF(COUNT(F96:H96)&gt;0,V96-Y96,"")</f>
        <v>316.541741981168</v>
      </c>
      <c r="AA96" s="63" t="n">
        <f aca="false">IF(COUNT(F96:H96)&gt;0,V96+Y96,"")</f>
        <v>382.124924685499</v>
      </c>
      <c r="AB96" s="64" t="n">
        <f aca="false">IF(COUNT(F96:H96)&gt;0,X96/V96,"")</f>
        <v>0.0377843318191285</v>
      </c>
      <c r="AC96" s="26"/>
      <c r="AD96" s="65" t="n">
        <f aca="false">IF(SUM(I96:K96)&gt;0,AVERAGE(I96:K96),"")</f>
        <v>326.666666666667</v>
      </c>
      <c r="AE96" s="66" t="n">
        <f aca="false">IF(SUM(I96:K96)&gt;0, ( IF(I96&gt;0,(I96-AD96)^2,0) + IF(J96&gt;0,(J96-AD96)^2,0) + IF(K96&gt;0,(K96-AD96)^2,0) ) / COUNT(I96:K96),"")</f>
        <v>304.888888888889</v>
      </c>
      <c r="AF96" s="63" t="n">
        <f aca="false">IF(SUM(I96:K96)&gt;0,SQRT(AE96),"")</f>
        <v>17.4610678049451</v>
      </c>
      <c r="AG96" s="63" t="n">
        <f aca="false">IF(COUNT(I96:K96)&gt;0,VLOOKUP(COUNT(I96:K96),$AX$2:$AZ$5,3)*(AF96/SQRT(COUNT(I96:K96))),"")</f>
        <v>43.3791979059429</v>
      </c>
      <c r="AH96" s="63" t="n">
        <f aca="false">IF(COUNT(I96:K96)&gt;0,AD96-AG96,"")</f>
        <v>283.287468760724</v>
      </c>
      <c r="AI96" s="63" t="n">
        <f aca="false">IF(COUNT(I96:K96)&gt;0,AD96+AG96,"")</f>
        <v>370.04586457261</v>
      </c>
      <c r="AJ96" s="64" t="n">
        <f aca="false">IF(COUNT(I96:K96)&gt;0,AF96/AD96,"")</f>
        <v>0.0534522483824849</v>
      </c>
      <c r="AK96" s="65" t="n">
        <f aca="false">IF(SUM(L96:N96)&gt;0,AVERAGE(L96:N96),"")</f>
        <v>375</v>
      </c>
      <c r="AL96" s="66" t="n">
        <f aca="false">IF(SUM(L96:N96)&gt;0, ( IF(L96&gt;0,(L96-AK96)^2,0) + IF(M96&gt;0,(M96-AK96)^2,0) + IF(N96&gt;0,(N96-AK96)^2,0) ) / COUNT(L96:N96),"")</f>
        <v>324</v>
      </c>
      <c r="AM96" s="63" t="n">
        <f aca="false">IF(SUM(L96:N96)&gt;0,SQRT(AL96),"")</f>
        <v>18</v>
      </c>
      <c r="AN96" s="63" t="n">
        <f aca="false">IF(COUNT(L96:N96)&gt;0,VLOOKUP(COUNT(L96:N96),$AX$2:$AZ$5,3)*(AM96/SQRT(COUNT(L96:N96))),"")</f>
        <v>161.720977711613</v>
      </c>
      <c r="AO96" s="63" t="n">
        <f aca="false">IF(COUNT(L96:N96)&gt;0,AK96-AN96,"")</f>
        <v>213.279022288387</v>
      </c>
      <c r="AP96" s="63" t="n">
        <f aca="false">IF(COUNT(L96:N96)&gt;0,AK96+AN96,"")</f>
        <v>536.720977711613</v>
      </c>
      <c r="AQ96" s="64" t="n">
        <f aca="false">IF(COUNT(L96:N96)&gt;0,AM96/AK96,"")</f>
        <v>0.048</v>
      </c>
    </row>
    <row r="97" customFormat="false" ht="12.8" hidden="false" customHeight="false" outlineLevel="0" collapsed="false">
      <c r="A97" s="56" t="s">
        <v>42</v>
      </c>
      <c r="B97" s="57" t="n">
        <v>20</v>
      </c>
      <c r="C97" s="56" t="n">
        <v>276</v>
      </c>
      <c r="D97" s="25" t="n">
        <v>272</v>
      </c>
      <c r="E97" s="57" t="n">
        <v>296</v>
      </c>
      <c r="F97" s="58" t="n">
        <v>233</v>
      </c>
      <c r="G97" s="0" t="n">
        <v>311</v>
      </c>
      <c r="H97" s="59" t="n">
        <v>233</v>
      </c>
      <c r="I97" s="56" t="n">
        <v>312</v>
      </c>
      <c r="J97" s="0" t="n">
        <v>289</v>
      </c>
      <c r="K97" s="57" t="n">
        <v>209</v>
      </c>
      <c r="L97" s="56"/>
      <c r="M97" s="0" t="n">
        <v>272</v>
      </c>
      <c r="N97" s="57" t="n">
        <v>278</v>
      </c>
      <c r="O97" s="65" t="n">
        <f aca="false">IF(SUM(C97:E97)&gt;0,AVERAGE(C97:E97),"")</f>
        <v>281.333333333333</v>
      </c>
      <c r="P97" s="66" t="n">
        <f aca="false">IF(SUM(C97:E97)&gt;0, ( IF(C97&gt;0,(C97-O97)^2,0) + IF(D97&gt;0,(D97-O97)^2,0) + IF(E97&gt;0,(E97-O97)^2,0) ) / COUNT(C97:E97),"")</f>
        <v>110.222222222222</v>
      </c>
      <c r="Q97" s="63" t="n">
        <f aca="false">IF(SUM(C97:E97)&gt;0,SQRT(P97),"")</f>
        <v>10.4986771653491</v>
      </c>
      <c r="R97" s="63" t="n">
        <f aca="false">IF(COUNT(C97:E97)&gt;0,VLOOKUP(COUNT(C97:E97),$AX$2:$AZ$5,3)*(Q97/SQRT(COUNT(C97:E97))),"")</f>
        <v>26.0822648187245</v>
      </c>
      <c r="S97" s="63" t="n">
        <f aca="false">IF(COUNT(C97:E97)&gt;0,O97-R97,"")</f>
        <v>255.251068514609</v>
      </c>
      <c r="T97" s="63" t="n">
        <f aca="false">IF(COUNT(C97:E97)&gt;0,O97+R97,"")</f>
        <v>307.415598152058</v>
      </c>
      <c r="U97" s="64" t="n">
        <f aca="false">IF(COUNT(C97:E97)&gt;0,Q97/O97,"")</f>
        <v>0.0373175728626152</v>
      </c>
      <c r="V97" s="65" t="n">
        <f aca="false">IF(SUM(F97:H97)&gt;0,AVERAGE(F97:H97),"")</f>
        <v>259</v>
      </c>
      <c r="W97" s="66" t="n">
        <f aca="false">IF(SUM(F97:H97)&gt;0, ( IF(F97&gt;0,(F97-V97)^2,0) + IF(G97&gt;0,(G97-V97)^2,0) + IF(H97&gt;0,(H97-V97)^2,0) ) / COUNT(F97:H97),"")</f>
        <v>1352</v>
      </c>
      <c r="X97" s="63" t="n">
        <f aca="false">IF(SUM(F97:H97)&gt;0,SQRT(W97),"")</f>
        <v>36.7695526217005</v>
      </c>
      <c r="Y97" s="63" t="n">
        <f aca="false">IF(COUNT(F97:H97)&gt;0,VLOOKUP(COUNT(F97:H97),$AX$2:$AZ$5,3)*(X97/SQRT(COUNT(F97:H97))),"")</f>
        <v>91.3480044810321</v>
      </c>
      <c r="Z97" s="63" t="n">
        <f aca="false">IF(COUNT(F97:H97)&gt;0,V97-Y97,"")</f>
        <v>167.651995518968</v>
      </c>
      <c r="AA97" s="63" t="n">
        <f aca="false">IF(COUNT(F97:H97)&gt;0,V97+Y97,"")</f>
        <v>350.348004481032</v>
      </c>
      <c r="AB97" s="64" t="n">
        <f aca="false">IF(COUNT(F97:H97)&gt;0,X97/V97,"")</f>
        <v>0.14196738463977</v>
      </c>
      <c r="AC97" s="26"/>
      <c r="AD97" s="65" t="n">
        <f aca="false">IF(SUM(I97:K97)&gt;0,AVERAGE(I97:K97),"")</f>
        <v>270</v>
      </c>
      <c r="AE97" s="66" t="n">
        <f aca="false">IF(SUM(I97:K97)&gt;0, ( IF(I97&gt;0,(I97-AD97)^2,0) + IF(J97&gt;0,(J97-AD97)^2,0) + IF(K97&gt;0,(K97-AD97)^2,0) ) / COUNT(I97:K97),"")</f>
        <v>1948.66666666667</v>
      </c>
      <c r="AF97" s="63" t="n">
        <f aca="false">IF(SUM(I97:K97)&gt;0,SQRT(AE97),"")</f>
        <v>44.1437047229463</v>
      </c>
      <c r="AG97" s="63" t="n">
        <f aca="false">IF(COUNT(I97:K97)&gt;0,VLOOKUP(COUNT(I97:K97),$AX$2:$AZ$5,3)*(AF97/SQRT(COUNT(I97:K97))),"")</f>
        <v>109.667892300142</v>
      </c>
      <c r="AH97" s="63" t="n">
        <f aca="false">IF(COUNT(I97:K97)&gt;0,AD97-AG97,"")</f>
        <v>160.332107699858</v>
      </c>
      <c r="AI97" s="63" t="n">
        <f aca="false">IF(COUNT(I97:K97)&gt;0,AD97+AG97,"")</f>
        <v>379.667892300142</v>
      </c>
      <c r="AJ97" s="64" t="n">
        <f aca="false">IF(COUNT(I97:K97)&gt;0,AF97/AD97,"")</f>
        <v>0.163495202677579</v>
      </c>
      <c r="AK97" s="65" t="n">
        <f aca="false">IF(SUM(L97:N97)&gt;0,AVERAGE(L97:N97),"")</f>
        <v>275</v>
      </c>
      <c r="AL97" s="66" t="n">
        <f aca="false">IF(SUM(L97:N97)&gt;0, ( IF(L97&gt;0,(L97-AK97)^2,0) + IF(M97&gt;0,(M97-AK97)^2,0) + IF(N97&gt;0,(N97-AK97)^2,0) ) / COUNT(L97:N97),"")</f>
        <v>9</v>
      </c>
      <c r="AM97" s="63" t="n">
        <f aca="false">IF(SUM(L97:N97)&gt;0,SQRT(AL97),"")</f>
        <v>3</v>
      </c>
      <c r="AN97" s="63" t="n">
        <f aca="false">IF(COUNT(L97:N97)&gt;0,VLOOKUP(COUNT(L97:N97),$AX$2:$AZ$5,3)*(AM97/SQRT(COUNT(L97:N97))),"")</f>
        <v>26.9534962852688</v>
      </c>
      <c r="AO97" s="63" t="n">
        <f aca="false">IF(COUNT(L97:N97)&gt;0,AK97-AN97,"")</f>
        <v>248.046503714731</v>
      </c>
      <c r="AP97" s="63" t="n">
        <f aca="false">IF(COUNT(L97:N97)&gt;0,AK97+AN97,"")</f>
        <v>301.953496285269</v>
      </c>
      <c r="AQ97" s="64" t="n">
        <f aca="false">IF(COUNT(L97:N97)&gt;0,AM97/AK97,"")</f>
        <v>0.0109090909090909</v>
      </c>
    </row>
    <row r="98" customFormat="false" ht="12.8" hidden="false" customHeight="false" outlineLevel="0" collapsed="false">
      <c r="A98" s="56" t="s">
        <v>42</v>
      </c>
      <c r="B98" s="57" t="n">
        <v>30</v>
      </c>
      <c r="C98" s="56" t="n">
        <v>247</v>
      </c>
      <c r="D98" s="25" t="n">
        <v>212</v>
      </c>
      <c r="E98" s="57" t="n">
        <v>233</v>
      </c>
      <c r="F98" s="58" t="n">
        <v>224</v>
      </c>
      <c r="G98" s="0" t="n">
        <v>222</v>
      </c>
      <c r="H98" s="59" t="n">
        <v>195</v>
      </c>
      <c r="I98" s="56" t="n">
        <v>227</v>
      </c>
      <c r="J98" s="0" t="n">
        <v>200</v>
      </c>
      <c r="K98" s="57" t="n">
        <v>200</v>
      </c>
      <c r="L98" s="56"/>
      <c r="M98" s="0" t="n">
        <v>218</v>
      </c>
      <c r="N98" s="57" t="n">
        <v>204</v>
      </c>
      <c r="O98" s="65" t="n">
        <f aca="false">IF(SUM(C98:E98)&gt;0,AVERAGE(C98:E98),"")</f>
        <v>230.666666666667</v>
      </c>
      <c r="P98" s="66" t="n">
        <f aca="false">IF(SUM(C98:E98)&gt;0, ( IF(C98&gt;0,(C98-O98)^2,0) + IF(D98&gt;0,(D98-O98)^2,0) + IF(E98&gt;0,(E98-O98)^2,0) ) / COUNT(C98:E98),"")</f>
        <v>206.888888888889</v>
      </c>
      <c r="Q98" s="63" t="n">
        <f aca="false">IF(SUM(C98:E98)&gt;0,SQRT(P98),"")</f>
        <v>14.3836326735943</v>
      </c>
      <c r="R98" s="63" t="n">
        <f aca="false">IF(COUNT(C98:E98)&gt;0,VLOOKUP(COUNT(C98:E98),$AX$2:$AZ$5,3)*(Q98/SQRT(COUNT(C98:E98))),"")</f>
        <v>35.7338082254928</v>
      </c>
      <c r="S98" s="63" t="n">
        <f aca="false">IF(COUNT(C98:E98)&gt;0,O98-R98,"")</f>
        <v>194.932858441174</v>
      </c>
      <c r="T98" s="63" t="n">
        <f aca="false">IF(COUNT(C98:E98)&gt;0,O98+R98,"")</f>
        <v>266.400474892159</v>
      </c>
      <c r="U98" s="64" t="n">
        <f aca="false">IF(COUNT(C98:E98)&gt;0,Q98/O98,"")</f>
        <v>0.062356789047374</v>
      </c>
      <c r="V98" s="65" t="n">
        <f aca="false">IF(SUM(F98:H98)&gt;0,AVERAGE(F98:H98),"")</f>
        <v>213.666666666667</v>
      </c>
      <c r="W98" s="66" t="n">
        <f aca="false">IF(SUM(F98:H98)&gt;0, ( IF(F98&gt;0,(F98-V98)^2,0) + IF(G98&gt;0,(G98-V98)^2,0) + IF(H98&gt;0,(H98-V98)^2,0) ) / COUNT(F98:H98),"")</f>
        <v>174.888888888889</v>
      </c>
      <c r="X98" s="63" t="n">
        <f aca="false">IF(SUM(F98:H98)&gt;0,SQRT(W98),"")</f>
        <v>13.2245562832516</v>
      </c>
      <c r="Y98" s="63" t="n">
        <f aca="false">IF(COUNT(F98:H98)&gt;0,VLOOKUP(COUNT(F98:H98),$AX$2:$AZ$5,3)*(X98/SQRT(COUNT(F98:H98))),"")</f>
        <v>32.8542704625994</v>
      </c>
      <c r="Z98" s="63" t="n">
        <f aca="false">IF(COUNT(F98:H98)&gt;0,V98-Y98,"")</f>
        <v>180.812396204067</v>
      </c>
      <c r="AA98" s="63" t="n">
        <f aca="false">IF(COUNT(F98:H98)&gt;0,V98+Y98,"")</f>
        <v>246.520937129266</v>
      </c>
      <c r="AB98" s="64" t="n">
        <f aca="false">IF(COUNT(F98:H98)&gt;0,X98/V98,"")</f>
        <v>0.0618933991415831</v>
      </c>
      <c r="AC98" s="26"/>
      <c r="AD98" s="65" t="n">
        <f aca="false">IF(SUM(I98:K98)&gt;0,AVERAGE(I98:K98),"")</f>
        <v>209</v>
      </c>
      <c r="AE98" s="66" t="n">
        <f aca="false">IF(SUM(I98:K98)&gt;0, ( IF(I98&gt;0,(I98-AD98)^2,0) + IF(J98&gt;0,(J98-AD98)^2,0) + IF(K98&gt;0,(K98-AD98)^2,0) ) / COUNT(I98:K98),"")</f>
        <v>162</v>
      </c>
      <c r="AF98" s="63" t="n">
        <f aca="false">IF(SUM(I98:K98)&gt;0,SQRT(AE98),"")</f>
        <v>12.7279220613579</v>
      </c>
      <c r="AG98" s="63" t="n">
        <f aca="false">IF(COUNT(I98:K98)&gt;0,VLOOKUP(COUNT(I98:K98),$AX$2:$AZ$5,3)*(AF98/SQRT(COUNT(I98:K98))),"")</f>
        <v>31.620463089588</v>
      </c>
      <c r="AH98" s="63" t="n">
        <f aca="false">IF(COUNT(I98:K98)&gt;0,AD98-AG98,"")</f>
        <v>177.379536910412</v>
      </c>
      <c r="AI98" s="63" t="n">
        <f aca="false">IF(COUNT(I98:K98)&gt;0,AD98+AG98,"")</f>
        <v>240.620463089588</v>
      </c>
      <c r="AJ98" s="64" t="n">
        <f aca="false">IF(COUNT(I98:K98)&gt;0,AF98/AD98,"")</f>
        <v>0.0608991486189371</v>
      </c>
      <c r="AK98" s="65" t="n">
        <f aca="false">IF(SUM(L98:N98)&gt;0,AVERAGE(L98:N98),"")</f>
        <v>211</v>
      </c>
      <c r="AL98" s="66" t="n">
        <f aca="false">IF(SUM(L98:N98)&gt;0, ( IF(L98&gt;0,(L98-AK98)^2,0) + IF(M98&gt;0,(M98-AK98)^2,0) + IF(N98&gt;0,(N98-AK98)^2,0) ) / COUNT(L98:N98),"")</f>
        <v>49</v>
      </c>
      <c r="AM98" s="63" t="n">
        <f aca="false">IF(SUM(L98:N98)&gt;0,SQRT(AL98),"")</f>
        <v>7</v>
      </c>
      <c r="AN98" s="63" t="n">
        <f aca="false">IF(COUNT(L98:N98)&gt;0,VLOOKUP(COUNT(L98:N98),$AX$2:$AZ$5,3)*(AM98/SQRT(COUNT(L98:N98))),"")</f>
        <v>62.8914913322939</v>
      </c>
      <c r="AO98" s="63" t="n">
        <f aca="false">IF(COUNT(L98:N98)&gt;0,AK98-AN98,"")</f>
        <v>148.108508667706</v>
      </c>
      <c r="AP98" s="63" t="n">
        <f aca="false">IF(COUNT(L98:N98)&gt;0,AK98+AN98,"")</f>
        <v>273.891491332294</v>
      </c>
      <c r="AQ98" s="64" t="n">
        <f aca="false">IF(COUNT(L98:N98)&gt;0,AM98/AK98,"")</f>
        <v>0.033175355450237</v>
      </c>
    </row>
    <row r="99" customFormat="false" ht="12.8" hidden="false" customHeight="false" outlineLevel="0" collapsed="false">
      <c r="A99" s="56" t="s">
        <v>42</v>
      </c>
      <c r="B99" s="57" t="n">
        <v>40</v>
      </c>
      <c r="C99" s="56" t="n">
        <v>187</v>
      </c>
      <c r="D99" s="25" t="n">
        <v>190</v>
      </c>
      <c r="E99" s="57" t="n">
        <v>162</v>
      </c>
      <c r="F99" s="58" t="n">
        <v>189</v>
      </c>
      <c r="G99" s="0" t="n">
        <v>186</v>
      </c>
      <c r="H99" s="59" t="n">
        <v>210</v>
      </c>
      <c r="I99" s="56" t="n">
        <v>184</v>
      </c>
      <c r="J99" s="0" t="n">
        <v>182</v>
      </c>
      <c r="K99" s="57" t="n">
        <v>183</v>
      </c>
      <c r="L99" s="56"/>
      <c r="M99" s="0" t="n">
        <v>160</v>
      </c>
      <c r="N99" s="57" t="n">
        <v>177</v>
      </c>
      <c r="O99" s="65" t="n">
        <f aca="false">IF(SUM(C99:E99)&gt;0,AVERAGE(C99:E99),"")</f>
        <v>179.666666666667</v>
      </c>
      <c r="P99" s="66" t="n">
        <f aca="false">IF(SUM(C99:E99)&gt;0, ( IF(C99&gt;0,(C99-O99)^2,0) + IF(D99&gt;0,(D99-O99)^2,0) + IF(E99&gt;0,(E99-O99)^2,0) ) / COUNT(C99:E99),"")</f>
        <v>157.555555555556</v>
      </c>
      <c r="Q99" s="63" t="n">
        <f aca="false">IF(SUM(C99:E99)&gt;0,SQRT(P99),"")</f>
        <v>12.5521135891752</v>
      </c>
      <c r="R99" s="63" t="n">
        <f aca="false">IF(COUNT(C99:E99)&gt;0,VLOOKUP(COUNT(C99:E99),$AX$2:$AZ$5,3)*(Q99/SQRT(COUNT(C99:E99))),"")</f>
        <v>31.1836953847977</v>
      </c>
      <c r="S99" s="63" t="n">
        <f aca="false">IF(COUNT(C99:E99)&gt;0,O99-R99,"")</f>
        <v>148.482971281869</v>
      </c>
      <c r="T99" s="63" t="n">
        <f aca="false">IF(COUNT(C99:E99)&gt;0,O99+R99,"")</f>
        <v>210.850362051464</v>
      </c>
      <c r="U99" s="64" t="n">
        <f aca="false">IF(COUNT(C99:E99)&gt;0,Q99/O99,"")</f>
        <v>0.0698633409416057</v>
      </c>
      <c r="V99" s="65" t="n">
        <f aca="false">IF(SUM(F99:H99)&gt;0,AVERAGE(F99:H99),"")</f>
        <v>195</v>
      </c>
      <c r="W99" s="66" t="n">
        <f aca="false">IF(SUM(F99:H99)&gt;0, ( IF(F99&gt;0,(F99-V99)^2,0) + IF(G99&gt;0,(G99-V99)^2,0) + IF(H99&gt;0,(H99-V99)^2,0) ) / COUNT(F99:H99),"")</f>
        <v>114</v>
      </c>
      <c r="X99" s="63" t="n">
        <f aca="false">IF(SUM(F99:H99)&gt;0,SQRT(W99),"")</f>
        <v>10.6770782520313</v>
      </c>
      <c r="Y99" s="63" t="n">
        <f aca="false">IF(COUNT(F99:H99)&gt;0,VLOOKUP(COUNT(F99:H99),$AX$2:$AZ$5,3)*(X99/SQRT(COUNT(F99:H99))),"")</f>
        <v>26.5254734547755</v>
      </c>
      <c r="Z99" s="63" t="n">
        <f aca="false">IF(COUNT(F99:H99)&gt;0,V99-Y99,"")</f>
        <v>168.474526545224</v>
      </c>
      <c r="AA99" s="63" t="n">
        <f aca="false">IF(COUNT(F99:H99)&gt;0,V99+Y99,"")</f>
        <v>221.525473454776</v>
      </c>
      <c r="AB99" s="64" t="n">
        <f aca="false">IF(COUNT(F99:H99)&gt;0,X99/V99,"")</f>
        <v>0.0547542474463144</v>
      </c>
      <c r="AC99" s="26"/>
      <c r="AD99" s="65" t="n">
        <f aca="false">IF(SUM(I99:K99)&gt;0,AVERAGE(I99:K99),"")</f>
        <v>183</v>
      </c>
      <c r="AE99" s="66" t="n">
        <f aca="false">IF(SUM(I99:K99)&gt;0, ( IF(I99&gt;0,(I99-AD99)^2,0) + IF(J99&gt;0,(J99-AD99)^2,0) + IF(K99&gt;0,(K99-AD99)^2,0) ) / COUNT(I99:K99),"")</f>
        <v>0.666666666666667</v>
      </c>
      <c r="AF99" s="63" t="n">
        <f aca="false">IF(SUM(I99:K99)&gt;0,SQRT(AE99),"")</f>
        <v>0.816496580927726</v>
      </c>
      <c r="AG99" s="63" t="n">
        <f aca="false">IF(COUNT(I99:K99)&gt;0,VLOOKUP(COUNT(I99:K99),$AX$2:$AZ$5,3)*(AF99/SQRT(COUNT(I99:K99))),"")</f>
        <v>2.02845365296381</v>
      </c>
      <c r="AH99" s="63" t="n">
        <f aca="false">IF(COUNT(I99:K99)&gt;0,AD99-AG99,"")</f>
        <v>180.971546347036</v>
      </c>
      <c r="AI99" s="63" t="n">
        <f aca="false">IF(COUNT(I99:K99)&gt;0,AD99+AG99,"")</f>
        <v>185.028453652964</v>
      </c>
      <c r="AJ99" s="64" t="n">
        <f aca="false">IF(COUNT(I99:K99)&gt;0,AF99/AD99,"")</f>
        <v>0.00446172995042473</v>
      </c>
      <c r="AK99" s="65" t="n">
        <f aca="false">IF(SUM(L99:N99)&gt;0,AVERAGE(L99:N99),"")</f>
        <v>168.5</v>
      </c>
      <c r="AL99" s="66" t="n">
        <f aca="false">IF(SUM(L99:N99)&gt;0, ( IF(L99&gt;0,(L99-AK99)^2,0) + IF(M99&gt;0,(M99-AK99)^2,0) + IF(N99&gt;0,(N99-AK99)^2,0) ) / COUNT(L99:N99),"")</f>
        <v>72.25</v>
      </c>
      <c r="AM99" s="63" t="n">
        <f aca="false">IF(SUM(L99:N99)&gt;0,SQRT(AL99),"")</f>
        <v>8.5</v>
      </c>
      <c r="AN99" s="63" t="n">
        <f aca="false">IF(COUNT(L99:N99)&gt;0,VLOOKUP(COUNT(L99:N99),$AX$2:$AZ$5,3)*(AM99/SQRT(COUNT(L99:N99))),"")</f>
        <v>76.3682394749283</v>
      </c>
      <c r="AO99" s="63" t="n">
        <f aca="false">IF(COUNT(L99:N99)&gt;0,AK99-AN99,"")</f>
        <v>92.1317605250717</v>
      </c>
      <c r="AP99" s="63" t="n">
        <f aca="false">IF(COUNT(L99:N99)&gt;0,AK99+AN99,"")</f>
        <v>244.868239474928</v>
      </c>
      <c r="AQ99" s="64" t="n">
        <f aca="false">IF(COUNT(L99:N99)&gt;0,AM99/AK99,"")</f>
        <v>0.0504451038575668</v>
      </c>
    </row>
    <row r="100" customFormat="false" ht="12.8" hidden="false" customHeight="false" outlineLevel="0" collapsed="false">
      <c r="A100" s="56" t="s">
        <v>42</v>
      </c>
      <c r="B100" s="57" t="n">
        <v>50</v>
      </c>
      <c r="C100" s="56" t="n">
        <v>179</v>
      </c>
      <c r="D100" s="25" t="n">
        <v>156</v>
      </c>
      <c r="E100" s="57" t="n">
        <v>168</v>
      </c>
      <c r="F100" s="58" t="n">
        <v>182</v>
      </c>
      <c r="G100" s="0" t="n">
        <v>172</v>
      </c>
      <c r="H100" s="59" t="n">
        <v>151</v>
      </c>
      <c r="I100" s="56" t="n">
        <v>184</v>
      </c>
      <c r="J100" s="0" t="n">
        <v>149</v>
      </c>
      <c r="K100" s="57" t="n">
        <v>145</v>
      </c>
      <c r="L100" s="56"/>
      <c r="M100" s="0" t="n">
        <v>182</v>
      </c>
      <c r="N100" s="57" t="n">
        <v>164</v>
      </c>
      <c r="O100" s="65" t="n">
        <f aca="false">IF(SUM(C100:E100)&gt;0,AVERAGE(C100:E100),"")</f>
        <v>167.666666666667</v>
      </c>
      <c r="P100" s="66" t="n">
        <f aca="false">IF(SUM(C100:E100)&gt;0, ( IF(C100&gt;0,(C100-O100)^2,0) + IF(D100&gt;0,(D100-O100)^2,0) + IF(E100&gt;0,(E100-O100)^2,0) ) / COUNT(C100:E100),"")</f>
        <v>88.2222222222222</v>
      </c>
      <c r="Q100" s="63" t="n">
        <f aca="false">IF(SUM(C100:E100)&gt;0,SQRT(P100),"")</f>
        <v>9.39266853573692</v>
      </c>
      <c r="R100" s="63" t="n">
        <f aca="false">IF(COUNT(C100:E100)&gt;0,VLOOKUP(COUNT(C100:E100),$AX$2:$AZ$5,3)*(Q100/SQRT(COUNT(C100:E100))),"")</f>
        <v>23.3345653214441</v>
      </c>
      <c r="S100" s="63" t="n">
        <f aca="false">IF(COUNT(C100:E100)&gt;0,O100-R100,"")</f>
        <v>144.332101345223</v>
      </c>
      <c r="T100" s="63" t="n">
        <f aca="false">IF(COUNT(C100:E100)&gt;0,O100+R100,"")</f>
        <v>191.001231988111</v>
      </c>
      <c r="U100" s="64" t="n">
        <f aca="false">IF(COUNT(C100:E100)&gt;0,Q100/O100,"")</f>
        <v>0.056019891863242</v>
      </c>
      <c r="V100" s="65" t="n">
        <f aca="false">IF(SUM(F100:H100)&gt;0,AVERAGE(F100:H100),"")</f>
        <v>168.333333333333</v>
      </c>
      <c r="W100" s="66" t="n">
        <f aca="false">IF(SUM(F100:H100)&gt;0, ( IF(F100&gt;0,(F100-V100)^2,0) + IF(G100&gt;0,(G100-V100)^2,0) + IF(H100&gt;0,(H100-V100)^2,0) ) / COUNT(F100:H100),"")</f>
        <v>166.888888888889</v>
      </c>
      <c r="X100" s="63" t="n">
        <f aca="false">IF(SUM(F100:H100)&gt;0,SQRT(W100),"")</f>
        <v>12.9185482500507</v>
      </c>
      <c r="Y100" s="63" t="n">
        <f aca="false">IF(COUNT(F100:H100)&gt;0,VLOOKUP(COUNT(F100:H100),$AX$2:$AZ$5,3)*(X100/SQRT(COUNT(F100:H100))),"")</f>
        <v>32.0940430136647</v>
      </c>
      <c r="Z100" s="63" t="n">
        <f aca="false">IF(COUNT(F100:H100)&gt;0,V100-Y100,"")</f>
        <v>136.239290319669</v>
      </c>
      <c r="AA100" s="63" t="n">
        <f aca="false">IF(COUNT(F100:H100)&gt;0,V100+Y100,"")</f>
        <v>200.427376346998</v>
      </c>
      <c r="AB100" s="64" t="n">
        <f aca="false">IF(COUNT(F100:H100)&gt;0,X100/V100,"")</f>
        <v>0.0767438509904004</v>
      </c>
      <c r="AC100" s="26"/>
      <c r="AD100" s="65" t="n">
        <f aca="false">IF(SUM(I100:K100)&gt;0,AVERAGE(I100:K100),"")</f>
        <v>159.333333333333</v>
      </c>
      <c r="AE100" s="66" t="n">
        <f aca="false">IF(SUM(I100:K100)&gt;0, ( IF(I100&gt;0,(I100-AD100)^2,0) + IF(J100&gt;0,(J100-AD100)^2,0) + IF(K100&gt;0,(K100-AD100)^2,0) ) / COUNT(I100:K100),"")</f>
        <v>306.888888888889</v>
      </c>
      <c r="AF100" s="63" t="n">
        <f aca="false">IF(SUM(I100:K100)&gt;0,SQRT(AE100),"")</f>
        <v>17.5182444579612</v>
      </c>
      <c r="AG100" s="63" t="n">
        <f aca="false">IF(COUNT(I100:K100)&gt;0,VLOOKUP(COUNT(I100:K100),$AX$2:$AZ$5,3)*(AF100/SQRT(COUNT(I100:K100))),"")</f>
        <v>43.521244049655</v>
      </c>
      <c r="AH100" s="63" t="n">
        <f aca="false">IF(COUNT(I100:K100)&gt;0,AD100-AG100,"")</f>
        <v>115.812089283678</v>
      </c>
      <c r="AI100" s="63" t="n">
        <f aca="false">IF(COUNT(I100:K100)&gt;0,AD100+AG100,"")</f>
        <v>202.854577382988</v>
      </c>
      <c r="AJ100" s="64" t="n">
        <f aca="false">IF(COUNT(I100:K100)&gt;0,AF100/AD100,"")</f>
        <v>0.109947140949547</v>
      </c>
      <c r="AK100" s="65" t="n">
        <f aca="false">IF(SUM(L100:N100)&gt;0,AVERAGE(L100:N100),"")</f>
        <v>173</v>
      </c>
      <c r="AL100" s="66" t="n">
        <f aca="false">IF(SUM(L100:N100)&gt;0, ( IF(L100&gt;0,(L100-AK100)^2,0) + IF(M100&gt;0,(M100-AK100)^2,0) + IF(N100&gt;0,(N100-AK100)^2,0) ) / COUNT(L100:N100),"")</f>
        <v>81</v>
      </c>
      <c r="AM100" s="63" t="n">
        <f aca="false">IF(SUM(L100:N100)&gt;0,SQRT(AL100),"")</f>
        <v>9</v>
      </c>
      <c r="AN100" s="63" t="n">
        <f aca="false">IF(COUNT(L100:N100)&gt;0,VLOOKUP(COUNT(L100:N100),$AX$2:$AZ$5,3)*(AM100/SQRT(COUNT(L100:N100))),"")</f>
        <v>80.8604888558065</v>
      </c>
      <c r="AO100" s="63" t="n">
        <f aca="false">IF(COUNT(L100:N100)&gt;0,AK100-AN100,"")</f>
        <v>92.1395111441936</v>
      </c>
      <c r="AP100" s="63" t="n">
        <f aca="false">IF(COUNT(L100:N100)&gt;0,AK100+AN100,"")</f>
        <v>253.860488855806</v>
      </c>
      <c r="AQ100" s="64" t="n">
        <f aca="false">IF(COUNT(L100:N100)&gt;0,AM100/AK100,"")</f>
        <v>0.0520231213872832</v>
      </c>
    </row>
    <row r="101" customFormat="false" ht="12.8" hidden="false" customHeight="false" outlineLevel="0" collapsed="false">
      <c r="A101" s="56" t="s">
        <v>42</v>
      </c>
      <c r="B101" s="57" t="n">
        <v>64</v>
      </c>
      <c r="C101" s="56" t="n">
        <v>140</v>
      </c>
      <c r="D101" s="25" t="n">
        <v>147</v>
      </c>
      <c r="E101" s="57" t="n">
        <v>139</v>
      </c>
      <c r="F101" s="58" t="n">
        <v>132</v>
      </c>
      <c r="G101" s="0" t="n">
        <v>148</v>
      </c>
      <c r="H101" s="59" t="n">
        <v>128</v>
      </c>
      <c r="I101" s="56" t="n">
        <v>145</v>
      </c>
      <c r="J101" s="0" t="n">
        <v>129</v>
      </c>
      <c r="K101" s="57" t="n">
        <v>113</v>
      </c>
      <c r="L101" s="56"/>
      <c r="M101" s="0" t="n">
        <v>147</v>
      </c>
      <c r="N101" s="57" t="n">
        <v>148</v>
      </c>
      <c r="O101" s="65" t="n">
        <f aca="false">IF(SUM(C101:E101)&gt;0,AVERAGE(C101:E101),"")</f>
        <v>142</v>
      </c>
      <c r="P101" s="66" t="n">
        <f aca="false">IF(SUM(C101:E101)&gt;0, ( IF(C101&gt;0,(C101-O101)^2,0) + IF(D101&gt;0,(D101-O101)^2,0) + IF(E101&gt;0,(E101-O101)^2,0) ) / COUNT(C101:E101),"")</f>
        <v>12.6666666666667</v>
      </c>
      <c r="Q101" s="63" t="n">
        <f aca="false">IF(SUM(C101:E101)&gt;0,SQRT(P101),"")</f>
        <v>3.55902608401044</v>
      </c>
      <c r="R101" s="63" t="n">
        <f aca="false">IF(COUNT(C101:E101)&gt;0,VLOOKUP(COUNT(C101:E101),$AX$2:$AZ$5,3)*(Q101/SQRT(COUNT(C101:E101))),"")</f>
        <v>8.84182448492517</v>
      </c>
      <c r="S101" s="63" t="n">
        <f aca="false">IF(COUNT(C101:E101)&gt;0,O101-R101,"")</f>
        <v>133.158175515075</v>
      </c>
      <c r="T101" s="63" t="n">
        <f aca="false">IF(COUNT(C101:E101)&gt;0,O101+R101,"")</f>
        <v>150.841824484925</v>
      </c>
      <c r="U101" s="64" t="n">
        <f aca="false">IF(COUNT(C101:E101)&gt;0,Q101/O101,"")</f>
        <v>0.0250635639719045</v>
      </c>
      <c r="V101" s="65" t="n">
        <f aca="false">IF(SUM(F101:H101)&gt;0,AVERAGE(F101:H101),"")</f>
        <v>136</v>
      </c>
      <c r="W101" s="66" t="n">
        <f aca="false">IF(SUM(F101:H101)&gt;0, ( IF(F101&gt;0,(F101-V101)^2,0) + IF(G101&gt;0,(G101-V101)^2,0) + IF(H101&gt;0,(H101-V101)^2,0) ) / COUNT(F101:H101),"")</f>
        <v>74.6666666666667</v>
      </c>
      <c r="X101" s="63" t="n">
        <f aca="false">IF(SUM(F101:H101)&gt;0,SQRT(W101),"")</f>
        <v>8.64098759787715</v>
      </c>
      <c r="Y101" s="63" t="n">
        <f aca="false">IF(COUNT(F101:H101)&gt;0,VLOOKUP(COUNT(F101:H101),$AX$2:$AZ$5,3)*(X101/SQRT(COUNT(F101:H101))),"")</f>
        <v>21.467135647051</v>
      </c>
      <c r="Z101" s="63" t="n">
        <f aca="false">IF(COUNT(F101:H101)&gt;0,V101-Y101,"")</f>
        <v>114.532864352949</v>
      </c>
      <c r="AA101" s="63" t="n">
        <f aca="false">IF(COUNT(F101:H101)&gt;0,V101+Y101,"")</f>
        <v>157.467135647051</v>
      </c>
      <c r="AB101" s="64" t="n">
        <f aca="false">IF(COUNT(F101:H101)&gt;0,X101/V101,"")</f>
        <v>0.0635366735138026</v>
      </c>
      <c r="AC101" s="26"/>
      <c r="AD101" s="65" t="n">
        <f aca="false">IF(SUM(I101:K101)&gt;0,AVERAGE(I101:K101),"")</f>
        <v>129</v>
      </c>
      <c r="AE101" s="66" t="n">
        <f aca="false">IF(SUM(I101:K101)&gt;0, ( IF(I101&gt;0,(I101-AD101)^2,0) + IF(J101&gt;0,(J101-AD101)^2,0) + IF(K101&gt;0,(K101-AD101)^2,0) ) / COUNT(I101:K101),"")</f>
        <v>170.666666666667</v>
      </c>
      <c r="AF101" s="63" t="n">
        <f aca="false">IF(SUM(I101:K101)&gt;0,SQRT(AE101),"")</f>
        <v>13.0639452948436</v>
      </c>
      <c r="AG101" s="63" t="n">
        <f aca="false">IF(COUNT(I101:K101)&gt;0,VLOOKUP(COUNT(I101:K101),$AX$2:$AZ$5,3)*(AF101/SQRT(COUNT(I101:K101))),"")</f>
        <v>32.455258447421</v>
      </c>
      <c r="AH101" s="63" t="n">
        <f aca="false">IF(COUNT(I101:K101)&gt;0,AD101-AG101,"")</f>
        <v>96.544741552579</v>
      </c>
      <c r="AI101" s="63" t="n">
        <f aca="false">IF(COUNT(I101:K101)&gt;0,AD101+AG101,"")</f>
        <v>161.455258447421</v>
      </c>
      <c r="AJ101" s="64" t="n">
        <f aca="false">IF(COUNT(I101:K101)&gt;0,AF101/AD101,"")</f>
        <v>0.101270893758478</v>
      </c>
      <c r="AK101" s="65" t="n">
        <f aca="false">IF(SUM(L101:N101)&gt;0,AVERAGE(L101:N101),"")</f>
        <v>147.5</v>
      </c>
      <c r="AL101" s="66" t="n">
        <f aca="false">IF(SUM(L101:N101)&gt;0, ( IF(L101&gt;0,(L101-AK101)^2,0) + IF(M101&gt;0,(M101-AK101)^2,0) + IF(N101&gt;0,(N101-AK101)^2,0) ) / COUNT(L101:N101),"")</f>
        <v>0.25</v>
      </c>
      <c r="AM101" s="63" t="n">
        <f aca="false">IF(SUM(L101:N101)&gt;0,SQRT(AL101),"")</f>
        <v>0.5</v>
      </c>
      <c r="AN101" s="63" t="n">
        <f aca="false">IF(COUNT(L101:N101)&gt;0,VLOOKUP(COUNT(L101:N101),$AX$2:$AZ$5,3)*(AM101/SQRT(COUNT(L101:N101))),"")</f>
        <v>4.49224938087814</v>
      </c>
      <c r="AO101" s="63" t="n">
        <f aca="false">IF(COUNT(L101:N101)&gt;0,AK101-AN101,"")</f>
        <v>143.007750619122</v>
      </c>
      <c r="AP101" s="63" t="n">
        <f aca="false">IF(COUNT(L101:N101)&gt;0,AK101+AN101,"")</f>
        <v>151.992249380878</v>
      </c>
      <c r="AQ101" s="64" t="n">
        <f aca="false">IF(COUNT(L101:N101)&gt;0,AM101/AK101,"")</f>
        <v>0.00338983050847458</v>
      </c>
    </row>
    <row r="102" customFormat="false" ht="12.8" hidden="false" customHeight="false" outlineLevel="0" collapsed="false">
      <c r="A102" s="56" t="s">
        <v>42</v>
      </c>
      <c r="B102" s="57" t="n">
        <v>82</v>
      </c>
      <c r="C102" s="56" t="n">
        <v>131</v>
      </c>
      <c r="D102" s="25" t="n">
        <v>131</v>
      </c>
      <c r="E102" s="57" t="n">
        <v>153</v>
      </c>
      <c r="F102" s="58" t="n">
        <v>118</v>
      </c>
      <c r="G102" s="0" t="n">
        <v>132</v>
      </c>
      <c r="H102" s="59" t="n">
        <v>136</v>
      </c>
      <c r="I102" s="56" t="n">
        <v>127</v>
      </c>
      <c r="J102" s="0" t="n">
        <v>147</v>
      </c>
      <c r="K102" s="57" t="n">
        <v>134</v>
      </c>
      <c r="L102" s="56"/>
      <c r="M102" s="0" t="n">
        <v>108</v>
      </c>
      <c r="N102" s="57" t="n">
        <v>135</v>
      </c>
      <c r="O102" s="65" t="n">
        <f aca="false">IF(SUM(C102:E102)&gt;0,AVERAGE(C102:E102),"")</f>
        <v>138.333333333333</v>
      </c>
      <c r="P102" s="66" t="n">
        <f aca="false">IF(SUM(C102:E102)&gt;0, ( IF(C102&gt;0,(C102-O102)^2,0) + IF(D102&gt;0,(D102-O102)^2,0) + IF(E102&gt;0,(E102-O102)^2,0) ) / COUNT(C102:E102),"")</f>
        <v>107.555555555556</v>
      </c>
      <c r="Q102" s="63" t="n">
        <f aca="false">IF(SUM(C102:E102)&gt;0,SQRT(P102),"")</f>
        <v>10.3708994574027</v>
      </c>
      <c r="R102" s="63" t="n">
        <f aca="false">IF(COUNT(C102:E102)&gt;0,VLOOKUP(COUNT(C102:E102),$AX$2:$AZ$5,3)*(Q102/SQRT(COUNT(C102:E102))),"")</f>
        <v>25.7648217767014</v>
      </c>
      <c r="S102" s="63" t="n">
        <f aca="false">IF(COUNT(C102:E102)&gt;0,O102-R102,"")</f>
        <v>112.568511556632</v>
      </c>
      <c r="T102" s="63" t="n">
        <f aca="false">IF(COUNT(C102:E102)&gt;0,O102+R102,"")</f>
        <v>164.098155110035</v>
      </c>
      <c r="U102" s="64" t="n">
        <f aca="false">IF(COUNT(C102:E102)&gt;0,Q102/O102,"")</f>
        <v>0.074970357523393</v>
      </c>
      <c r="V102" s="65" t="n">
        <f aca="false">IF(SUM(F102:H102)&gt;0,AVERAGE(F102:H102),"")</f>
        <v>128.666666666667</v>
      </c>
      <c r="W102" s="66" t="n">
        <f aca="false">IF(SUM(F102:H102)&gt;0, ( IF(F102&gt;0,(F102-V102)^2,0) + IF(G102&gt;0,(G102-V102)^2,0) + IF(H102&gt;0,(H102-V102)^2,0) ) / COUNT(F102:H102),"")</f>
        <v>59.5555555555556</v>
      </c>
      <c r="X102" s="63" t="n">
        <f aca="false">IF(SUM(F102:H102)&gt;0,SQRT(W102),"")</f>
        <v>7.71722460186015</v>
      </c>
      <c r="Y102" s="63" t="n">
        <f aca="false">IF(COUNT(F102:H102)&gt;0,VLOOKUP(COUNT(F102:H102),$AX$2:$AZ$5,3)*(X102/SQRT(COUNT(F102:H102))),"")</f>
        <v>19.1721959406111</v>
      </c>
      <c r="Z102" s="63" t="n">
        <f aca="false">IF(COUNT(F102:H102)&gt;0,V102-Y102,"")</f>
        <v>109.494470726056</v>
      </c>
      <c r="AA102" s="63" t="n">
        <f aca="false">IF(COUNT(F102:H102)&gt;0,V102+Y102,"")</f>
        <v>147.838862607278</v>
      </c>
      <c r="AB102" s="64" t="n">
        <f aca="false">IF(COUNT(F102:H102)&gt;0,X102/V102,"")</f>
        <v>0.0599784295481359</v>
      </c>
      <c r="AC102" s="26"/>
      <c r="AD102" s="65" t="n">
        <f aca="false">IF(SUM(I102:K102)&gt;0,AVERAGE(I102:K102),"")</f>
        <v>136</v>
      </c>
      <c r="AE102" s="66" t="n">
        <f aca="false">IF(SUM(I102:K102)&gt;0, ( IF(I102&gt;0,(I102-AD102)^2,0) + IF(J102&gt;0,(J102-AD102)^2,0) + IF(K102&gt;0,(K102-AD102)^2,0) ) / COUNT(I102:K102),"")</f>
        <v>68.6666666666667</v>
      </c>
      <c r="AF102" s="63" t="n">
        <f aca="false">IF(SUM(I102:K102)&gt;0,SQRT(AE102),"")</f>
        <v>8.28653526310404</v>
      </c>
      <c r="AG102" s="63" t="n">
        <f aca="false">IF(COUNT(I102:K102)&gt;0,VLOOKUP(COUNT(I102:K102),$AX$2:$AZ$5,3)*(AF102/SQRT(COUNT(I102:K102))),"")</f>
        <v>20.5865561687449</v>
      </c>
      <c r="AH102" s="63" t="n">
        <f aca="false">IF(COUNT(I102:K102)&gt;0,AD102-AG102,"")</f>
        <v>115.413443831255</v>
      </c>
      <c r="AI102" s="63" t="n">
        <f aca="false">IF(COUNT(I102:K102)&gt;0,AD102+AG102,"")</f>
        <v>156.586556168745</v>
      </c>
      <c r="AJ102" s="64" t="n">
        <f aca="false">IF(COUNT(I102:K102)&gt;0,AF102/AD102,"")</f>
        <v>0.0609304063463532</v>
      </c>
      <c r="AK102" s="65" t="n">
        <f aca="false">IF(SUM(L102:N102)&gt;0,AVERAGE(L102:N102),"")</f>
        <v>121.5</v>
      </c>
      <c r="AL102" s="66" t="n">
        <f aca="false">IF(SUM(L102:N102)&gt;0, ( IF(L102&gt;0,(L102-AK102)^2,0) + IF(M102&gt;0,(M102-AK102)^2,0) + IF(N102&gt;0,(N102-AK102)^2,0) ) / COUNT(L102:N102),"")</f>
        <v>182.25</v>
      </c>
      <c r="AM102" s="63" t="n">
        <f aca="false">IF(SUM(L102:N102)&gt;0,SQRT(AL102),"")</f>
        <v>13.5</v>
      </c>
      <c r="AN102" s="63" t="n">
        <f aca="false">IF(COUNT(L102:N102)&gt;0,VLOOKUP(COUNT(L102:N102),$AX$2:$AZ$5,3)*(AM102/SQRT(COUNT(L102:N102))),"")</f>
        <v>121.29073328371</v>
      </c>
      <c r="AO102" s="63" t="n">
        <f aca="false">IF(COUNT(L102:N102)&gt;0,AK102-AN102,"")</f>
        <v>0.20926671629033</v>
      </c>
      <c r="AP102" s="63" t="n">
        <f aca="false">IF(COUNT(L102:N102)&gt;0,AK102+AN102,"")</f>
        <v>242.79073328371</v>
      </c>
      <c r="AQ102" s="64" t="n">
        <f aca="false">IF(COUNT(L102:N102)&gt;0,AM102/AK102,"")</f>
        <v>0.111111111111111</v>
      </c>
    </row>
    <row r="103" customFormat="false" ht="12.8" hidden="false" customHeight="false" outlineLevel="0" collapsed="false">
      <c r="A103" s="56" t="s">
        <v>42</v>
      </c>
      <c r="B103" s="57" t="n">
        <v>100</v>
      </c>
      <c r="C103" s="56" t="n">
        <v>100</v>
      </c>
      <c r="D103" s="25" t="n">
        <v>85</v>
      </c>
      <c r="E103" s="57" t="n">
        <v>108</v>
      </c>
      <c r="F103" s="58" t="n">
        <v>126</v>
      </c>
      <c r="G103" s="0" t="n">
        <v>114</v>
      </c>
      <c r="H103" s="59" t="n">
        <v>93</v>
      </c>
      <c r="I103" s="56" t="n">
        <v>143</v>
      </c>
      <c r="J103" s="0" t="n">
        <v>105</v>
      </c>
      <c r="K103" s="57" t="n">
        <v>765</v>
      </c>
      <c r="L103" s="56"/>
      <c r="M103" s="0" t="n">
        <v>88</v>
      </c>
      <c r="N103" s="57" t="n">
        <v>126</v>
      </c>
      <c r="O103" s="65" t="n">
        <f aca="false">IF(SUM(C103:E103)&gt;0,AVERAGE(C103:E103),"")</f>
        <v>97.6666666666667</v>
      </c>
      <c r="P103" s="66" t="n">
        <f aca="false">IF(SUM(C103:E103)&gt;0, ( IF(C103&gt;0,(C103-O103)^2,0) + IF(D103&gt;0,(D103-O103)^2,0) + IF(E103&gt;0,(E103-O103)^2,0) ) / COUNT(C103:E103),"")</f>
        <v>90.8888888888889</v>
      </c>
      <c r="Q103" s="63" t="n">
        <f aca="false">IF(SUM(C103:E103)&gt;0,SQRT(P103),"")</f>
        <v>9.53356643071673</v>
      </c>
      <c r="R103" s="63" t="n">
        <f aca="false">IF(COUNT(C103:E103)&gt;0,VLOOKUP(COUNT(C103:E103),$AX$2:$AZ$5,3)*(Q103/SQRT(COUNT(C103:E103))),"")</f>
        <v>23.6846033454147</v>
      </c>
      <c r="S103" s="63" t="n">
        <f aca="false">IF(COUNT(C103:E103)&gt;0,O103-R103,"")</f>
        <v>73.982063321252</v>
      </c>
      <c r="T103" s="63" t="n">
        <f aca="false">IF(COUNT(C103:E103)&gt;0,O103+R103,"")</f>
        <v>121.351270012081</v>
      </c>
      <c r="U103" s="64" t="n">
        <f aca="false">IF(COUNT(C103:E103)&gt;0,Q103/O103,"")</f>
        <v>0.0976133081643351</v>
      </c>
      <c r="V103" s="65" t="n">
        <f aca="false">IF(SUM(F103:H103)&gt;0,AVERAGE(F103:H103),"")</f>
        <v>111</v>
      </c>
      <c r="W103" s="66" t="n">
        <f aca="false">IF(SUM(F103:H103)&gt;0, ( IF(F103&gt;0,(F103-V103)^2,0) + IF(G103&gt;0,(G103-V103)^2,0) + IF(H103&gt;0,(H103-V103)^2,0) ) / COUNT(F103:H103),"")</f>
        <v>186</v>
      </c>
      <c r="X103" s="63" t="n">
        <f aca="false">IF(SUM(F103:H103)&gt;0,SQRT(W103),"")</f>
        <v>13.6381816969859</v>
      </c>
      <c r="Y103" s="63" t="n">
        <f aca="false">IF(COUNT(F103:H103)&gt;0,VLOOKUP(COUNT(F103:H103),$AX$2:$AZ$5,3)*(X103/SQRT(COUNT(F103:H103))),"")</f>
        <v>33.8818558818728</v>
      </c>
      <c r="Z103" s="63" t="n">
        <f aca="false">IF(COUNT(F103:H103)&gt;0,V103-Y103,"")</f>
        <v>77.1181441181272</v>
      </c>
      <c r="AA103" s="63" t="n">
        <f aca="false">IF(COUNT(F103:H103)&gt;0,V103+Y103,"")</f>
        <v>144.881855881873</v>
      </c>
      <c r="AB103" s="64" t="n">
        <f aca="false">IF(COUNT(F103:H103)&gt;0,X103/V103,"")</f>
        <v>0.122866501774647</v>
      </c>
      <c r="AC103" s="26"/>
      <c r="AD103" s="65" t="n">
        <f aca="false">IF(SUM(I103:K103)&gt;0,AVERAGE(I103:K103),"")</f>
        <v>337.666666666667</v>
      </c>
      <c r="AE103" s="66" t="n">
        <f aca="false">IF(SUM(I103:K103)&gt;0, ( IF(I103&gt;0,(I103-AD103)^2,0) + IF(J103&gt;0,(J103-AD103)^2,0) + IF(K103&gt;0,(K103-AD103)^2,0) ) / COUNT(I103:K103),"")</f>
        <v>91547.5555555556</v>
      </c>
      <c r="AF103" s="63" t="n">
        <f aca="false">IF(SUM(I103:K103)&gt;0,SQRT(AE103),"")</f>
        <v>302.568265942672</v>
      </c>
      <c r="AG103" s="63" t="n">
        <f aca="false">IF(COUNT(I103:K103)&gt;0,VLOOKUP(COUNT(I103:K103),$AX$2:$AZ$5,3)*(AF103/SQRT(COUNT(I103:K103))),"")</f>
        <v>751.681903707403</v>
      </c>
      <c r="AH103" s="63" t="n">
        <f aca="false">IF(COUNT(I103:K103)&gt;0,AD103-AG103,"")</f>
        <v>-414.015237040736</v>
      </c>
      <c r="AI103" s="63" t="n">
        <f aca="false">IF(COUNT(I103:K103)&gt;0,AD103+AG103,"")</f>
        <v>1089.34857037407</v>
      </c>
      <c r="AJ103" s="64" t="n">
        <f aca="false">IF(COUNT(I103:K103)&gt;0,AF103/AD103,"")</f>
        <v>0.896056068931902</v>
      </c>
      <c r="AK103" s="65" t="n">
        <f aca="false">IF(SUM(L103:N103)&gt;0,AVERAGE(L103:N103),"")</f>
        <v>107</v>
      </c>
      <c r="AL103" s="66" t="n">
        <f aca="false">IF(SUM(L103:N103)&gt;0, ( IF(L103&gt;0,(L103-AK103)^2,0) + IF(M103&gt;0,(M103-AK103)^2,0) + IF(N103&gt;0,(N103-AK103)^2,0) ) / COUNT(L103:N103),"")</f>
        <v>361</v>
      </c>
      <c r="AM103" s="63" t="n">
        <f aca="false">IF(SUM(L103:N103)&gt;0,SQRT(AL103),"")</f>
        <v>19</v>
      </c>
      <c r="AN103" s="63" t="n">
        <f aca="false">IF(COUNT(L103:N103)&gt;0,VLOOKUP(COUNT(L103:N103),$AX$2:$AZ$5,3)*(AM103/SQRT(COUNT(L103:N103))),"")</f>
        <v>170.705476473369</v>
      </c>
      <c r="AO103" s="63" t="n">
        <f aca="false">IF(COUNT(L103:N103)&gt;0,AK103-AN103,"")</f>
        <v>-63.7054764733691</v>
      </c>
      <c r="AP103" s="63" t="n">
        <f aca="false">IF(COUNT(L103:N103)&gt;0,AK103+AN103,"")</f>
        <v>277.705476473369</v>
      </c>
      <c r="AQ103" s="64" t="n">
        <f aca="false">IF(COUNT(L103:N103)&gt;0,AM103/AK103,"")</f>
        <v>0.177570093457944</v>
      </c>
    </row>
    <row r="104" customFormat="false" ht="12.8" hidden="false" customHeight="false" outlineLevel="0" collapsed="false">
      <c r="A104" s="56" t="s">
        <v>43</v>
      </c>
      <c r="B104" s="57" t="n">
        <v>5</v>
      </c>
      <c r="C104" s="56"/>
      <c r="D104" s="25"/>
      <c r="E104" s="57"/>
      <c r="F104" s="58"/>
      <c r="H104" s="59"/>
      <c r="I104" s="56"/>
      <c r="K104" s="57"/>
      <c r="L104" s="56"/>
      <c r="N104" s="57"/>
      <c r="O104" s="65" t="str">
        <f aca="false">IF(SUM(C104:E104)&gt;0,AVERAGE(C104:E104),"")</f>
        <v/>
      </c>
      <c r="P104" s="66" t="str">
        <f aca="false">IF(SUM(C104:E104)&gt;0, ( IF(C104&gt;0,(C104-O104)^2,0) + IF(D104&gt;0,(D104-O104)^2,0) + IF(E104&gt;0,(E104-O104)^2,0) ) / COUNT(C104:E104),"")</f>
        <v/>
      </c>
      <c r="Q104" s="63" t="str">
        <f aca="false">IF(SUM(C104:E104)&gt;0,SQRT(P104),"")</f>
        <v/>
      </c>
      <c r="R104" s="63" t="str">
        <f aca="false">IF(COUNT(C104:E104)&gt;0,VLOOKUP(COUNT(C104:E104),$AX$2:$AZ$5,3)*(Q104/SQRT(COUNT(C104:E104))),"")</f>
        <v/>
      </c>
      <c r="S104" s="63" t="str">
        <f aca="false">IF(COUNT(C104:E104)&gt;0,O104-R104,"")</f>
        <v/>
      </c>
      <c r="T104" s="63" t="str">
        <f aca="false">IF(COUNT(C104:E104)&gt;0,O104+R104,"")</f>
        <v/>
      </c>
      <c r="U104" s="64" t="str">
        <f aca="false">IF(COUNT(C104:E104)&gt;0,Q104/O104,"")</f>
        <v/>
      </c>
      <c r="V104" s="65" t="str">
        <f aca="false">IF(SUM(F104:H104)&gt;0,AVERAGE(F104:H104),"")</f>
        <v/>
      </c>
      <c r="W104" s="66" t="str">
        <f aca="false">IF(SUM(F104:H104)&gt;0, ( IF(F104&gt;0,(F104-V104)^2,0) + IF(G104&gt;0,(G104-V104)^2,0) + IF(H104&gt;0,(H104-V104)^2,0) ) / COUNT(F104:H104),"")</f>
        <v/>
      </c>
      <c r="X104" s="63" t="str">
        <f aca="false">IF(SUM(F104:H104)&gt;0,SQRT(W104),"")</f>
        <v/>
      </c>
      <c r="Y104" s="63" t="str">
        <f aca="false">IF(COUNT(F104:H104)&gt;0,VLOOKUP(COUNT(F104:H104),$AX$2:$AZ$5,3)*(X104/SQRT(COUNT(F104:H104))),"")</f>
        <v/>
      </c>
      <c r="Z104" s="63" t="str">
        <f aca="false">IF(COUNT(F104:H104)&gt;0,V104-Y104,"")</f>
        <v/>
      </c>
      <c r="AA104" s="63" t="str">
        <f aca="false">IF(COUNT(F104:H104)&gt;0,V104+Y104,"")</f>
        <v/>
      </c>
      <c r="AB104" s="64" t="str">
        <f aca="false">IF(COUNT(F104:H104)&gt;0,X104/V104,"")</f>
        <v/>
      </c>
      <c r="AC104" s="26"/>
      <c r="AD104" s="65" t="str">
        <f aca="false">IF(SUM(I104:K104)&gt;0,AVERAGE(I104:K104),"")</f>
        <v/>
      </c>
      <c r="AE104" s="66" t="str">
        <f aca="false">IF(SUM(I104:K104)&gt;0, ( IF(I104&gt;0,(I104-AD104)^2,0) + IF(J104&gt;0,(J104-AD104)^2,0) + IF(K104&gt;0,(K104-AD104)^2,0) ) / COUNT(I104:K104),"")</f>
        <v/>
      </c>
      <c r="AF104" s="63" t="str">
        <f aca="false">IF(SUM(I104:K104)&gt;0,SQRT(AE104),"")</f>
        <v/>
      </c>
      <c r="AG104" s="63" t="str">
        <f aca="false">IF(COUNT(I104:K104)&gt;0,VLOOKUP(COUNT(I104:K104),$AX$2:$AZ$5,3)*(AF104/SQRT(COUNT(I104:K104))),"")</f>
        <v/>
      </c>
      <c r="AH104" s="63" t="str">
        <f aca="false">IF(COUNT(I104:K104)&gt;0,AD104-AG104,"")</f>
        <v/>
      </c>
      <c r="AI104" s="63" t="str">
        <f aca="false">IF(COUNT(I104:K104)&gt;0,AD104+AG104,"")</f>
        <v/>
      </c>
      <c r="AJ104" s="64" t="str">
        <f aca="false">IF(COUNT(I104:K104)&gt;0,AF104/AD104,"")</f>
        <v/>
      </c>
      <c r="AK104" s="65" t="str">
        <f aca="false">IF(SUM(L104:N104)&gt;0,AVERAGE(L104:N104),"")</f>
        <v/>
      </c>
      <c r="AL104" s="66" t="str">
        <f aca="false">IF(SUM(L104:N104)&gt;0, ( IF(L104&gt;0,(L104-AK104)^2,0) + IF(M104&gt;0,(M104-AK104)^2,0) + IF(N104&gt;0,(N104-AK104)^2,0) ) / COUNT(L104:N104),"")</f>
        <v/>
      </c>
      <c r="AM104" s="63" t="str">
        <f aca="false">IF(SUM(L104:N104)&gt;0,SQRT(AL104),"")</f>
        <v/>
      </c>
      <c r="AN104" s="63" t="str">
        <f aca="false">IF(COUNT(L104:N104)&gt;0,VLOOKUP(COUNT(L104:N104),$AX$2:$AZ$5,3)*(AM104/SQRT(COUNT(L104:N104))),"")</f>
        <v/>
      </c>
      <c r="AO104" s="63" t="str">
        <f aca="false">IF(COUNT(L104:N104)&gt;0,AK104-AN104,"")</f>
        <v/>
      </c>
      <c r="AP104" s="63" t="str">
        <f aca="false">IF(COUNT(L104:N104)&gt;0,AK104+AN104,"")</f>
        <v/>
      </c>
      <c r="AQ104" s="64" t="str">
        <f aca="false">IF(COUNT(L104:N104)&gt;0,AM104/AK104,"")</f>
        <v/>
      </c>
    </row>
    <row r="105" customFormat="false" ht="12.8" hidden="false" customHeight="false" outlineLevel="0" collapsed="false">
      <c r="A105" s="56" t="s">
        <v>43</v>
      </c>
      <c r="B105" s="57" t="n">
        <v>10</v>
      </c>
      <c r="C105" s="56"/>
      <c r="D105" s="25"/>
      <c r="E105" s="57" t="n">
        <v>2035</v>
      </c>
      <c r="F105" s="58"/>
      <c r="H105" s="59"/>
      <c r="I105" s="56"/>
      <c r="K105" s="57"/>
      <c r="L105" s="56"/>
      <c r="N105" s="57"/>
      <c r="O105" s="65" t="n">
        <f aca="false">IF(SUM(C105:E105)&gt;0,AVERAGE(C105:E105),"")</f>
        <v>2035</v>
      </c>
      <c r="P105" s="66" t="n">
        <f aca="false">IF(SUM(C105:E105)&gt;0, ( IF(C105&gt;0,(C105-O105)^2,0) + IF(D105&gt;0,(D105-O105)^2,0) + IF(E105&gt;0,(E105-O105)^2,0) ) / COUNT(C105:E105),"")</f>
        <v>0</v>
      </c>
      <c r="Q105" s="63" t="n">
        <f aca="false">IF(SUM(C105:E105)&gt;0,SQRT(P105),"")</f>
        <v>0</v>
      </c>
      <c r="R105" s="63" t="n">
        <f aca="false">IF(COUNT(C105:E105)&gt;0,VLOOKUP(COUNT(C105:E105),$AX$2:$AZ$5,3)*(Q105/SQRT(COUNT(C105:E105))),"")</f>
        <v>0</v>
      </c>
      <c r="S105" s="63" t="n">
        <f aca="false">IF(COUNT(C105:E105)&gt;0,O105-R105,"")</f>
        <v>2035</v>
      </c>
      <c r="T105" s="63" t="n">
        <f aca="false">IF(COUNT(C105:E105)&gt;0,O105+R105,"")</f>
        <v>2035</v>
      </c>
      <c r="U105" s="64" t="n">
        <f aca="false">IF(COUNT(C105:E105)&gt;0,Q105/O105,"")</f>
        <v>0</v>
      </c>
      <c r="V105" s="65" t="str">
        <f aca="false">IF(SUM(F105:H105)&gt;0,AVERAGE(F105:H105),"")</f>
        <v/>
      </c>
      <c r="W105" s="66" t="str">
        <f aca="false">IF(SUM(F105:H105)&gt;0, ( IF(F105&gt;0,(F105-V105)^2,0) + IF(G105&gt;0,(G105-V105)^2,0) + IF(H105&gt;0,(H105-V105)^2,0) ) / COUNT(F105:H105),"")</f>
        <v/>
      </c>
      <c r="X105" s="63" t="str">
        <f aca="false">IF(SUM(F105:H105)&gt;0,SQRT(W105),"")</f>
        <v/>
      </c>
      <c r="Y105" s="63" t="str">
        <f aca="false">IF(COUNT(F105:H105)&gt;0,VLOOKUP(COUNT(F105:H105),$AX$2:$AZ$5,3)*(X105/SQRT(COUNT(F105:H105))),"")</f>
        <v/>
      </c>
      <c r="Z105" s="63" t="str">
        <f aca="false">IF(COUNT(F105:H105)&gt;0,V105-Y105,"")</f>
        <v/>
      </c>
      <c r="AA105" s="63" t="str">
        <f aca="false">IF(COUNT(F105:H105)&gt;0,V105+Y105,"")</f>
        <v/>
      </c>
      <c r="AB105" s="64" t="str">
        <f aca="false">IF(COUNT(F105:H105)&gt;0,X105/V105,"")</f>
        <v/>
      </c>
      <c r="AC105" s="26"/>
      <c r="AD105" s="65" t="str">
        <f aca="false">IF(SUM(I105:K105)&gt;0,AVERAGE(I105:K105),"")</f>
        <v/>
      </c>
      <c r="AE105" s="66" t="str">
        <f aca="false">IF(SUM(I105:K105)&gt;0, ( IF(I105&gt;0,(I105-AD105)^2,0) + IF(J105&gt;0,(J105-AD105)^2,0) + IF(K105&gt;0,(K105-AD105)^2,0) ) / COUNT(I105:K105),"")</f>
        <v/>
      </c>
      <c r="AF105" s="63" t="str">
        <f aca="false">IF(SUM(I105:K105)&gt;0,SQRT(AE105),"")</f>
        <v/>
      </c>
      <c r="AG105" s="63" t="str">
        <f aca="false">IF(COUNT(I105:K105)&gt;0,VLOOKUP(COUNT(I105:K105),$AX$2:$AZ$5,3)*(AF105/SQRT(COUNT(I105:K105))),"")</f>
        <v/>
      </c>
      <c r="AH105" s="63" t="str">
        <f aca="false">IF(COUNT(I105:K105)&gt;0,AD105-AG105,"")</f>
        <v/>
      </c>
      <c r="AI105" s="63" t="str">
        <f aca="false">IF(COUNT(I105:K105)&gt;0,AD105+AG105,"")</f>
        <v/>
      </c>
      <c r="AJ105" s="64" t="str">
        <f aca="false">IF(COUNT(I105:K105)&gt;0,AF105/AD105,"")</f>
        <v/>
      </c>
      <c r="AK105" s="65" t="str">
        <f aca="false">IF(SUM(L105:N105)&gt;0,AVERAGE(L105:N105),"")</f>
        <v/>
      </c>
      <c r="AL105" s="66" t="str">
        <f aca="false">IF(SUM(L105:N105)&gt;0, ( IF(L105&gt;0,(L105-AK105)^2,0) + IF(M105&gt;0,(M105-AK105)^2,0) + IF(N105&gt;0,(N105-AK105)^2,0) ) / COUNT(L105:N105),"")</f>
        <v/>
      </c>
      <c r="AM105" s="63" t="str">
        <f aca="false">IF(SUM(L105:N105)&gt;0,SQRT(AL105),"")</f>
        <v/>
      </c>
      <c r="AN105" s="63" t="str">
        <f aca="false">IF(COUNT(L105:N105)&gt;0,VLOOKUP(COUNT(L105:N105),$AX$2:$AZ$5,3)*(AM105/SQRT(COUNT(L105:N105))),"")</f>
        <v/>
      </c>
      <c r="AO105" s="63" t="str">
        <f aca="false">IF(COUNT(L105:N105)&gt;0,AK105-AN105,"")</f>
        <v/>
      </c>
      <c r="AP105" s="63" t="str">
        <f aca="false">IF(COUNT(L105:N105)&gt;0,AK105+AN105,"")</f>
        <v/>
      </c>
      <c r="AQ105" s="64" t="str">
        <f aca="false">IF(COUNT(L105:N105)&gt;0,AM105/AK105,"")</f>
        <v/>
      </c>
    </row>
    <row r="106" customFormat="false" ht="12.8" hidden="false" customHeight="false" outlineLevel="0" collapsed="false">
      <c r="A106" s="56" t="s">
        <v>43</v>
      </c>
      <c r="B106" s="57" t="n">
        <v>15</v>
      </c>
      <c r="C106" s="56" t="n">
        <v>1552</v>
      </c>
      <c r="D106" s="25"/>
      <c r="E106" s="57"/>
      <c r="F106" s="58"/>
      <c r="H106" s="59"/>
      <c r="I106" s="56"/>
      <c r="K106" s="57"/>
      <c r="L106" s="56"/>
      <c r="N106" s="57"/>
      <c r="O106" s="65" t="n">
        <f aca="false">IF(SUM(C106:E106)&gt;0,AVERAGE(C106:E106),"")</f>
        <v>1552</v>
      </c>
      <c r="P106" s="66" t="n">
        <f aca="false">IF(SUM(C106:E106)&gt;0, ( IF(C106&gt;0,(C106-O106)^2,0) + IF(D106&gt;0,(D106-O106)^2,0) + IF(E106&gt;0,(E106-O106)^2,0) ) / COUNT(C106:E106),"")</f>
        <v>0</v>
      </c>
      <c r="Q106" s="63" t="n">
        <f aca="false">IF(SUM(C106:E106)&gt;0,SQRT(P106),"")</f>
        <v>0</v>
      </c>
      <c r="R106" s="63" t="n">
        <f aca="false">IF(COUNT(C106:E106)&gt;0,VLOOKUP(COUNT(C106:E106),$AX$2:$AZ$5,3)*(Q106/SQRT(COUNT(C106:E106))),"")</f>
        <v>0</v>
      </c>
      <c r="S106" s="63" t="n">
        <f aca="false">IF(COUNT(C106:E106)&gt;0,O106-R106,"")</f>
        <v>1552</v>
      </c>
      <c r="T106" s="63" t="n">
        <f aca="false">IF(COUNT(C106:E106)&gt;0,O106+R106,"")</f>
        <v>1552</v>
      </c>
      <c r="U106" s="64" t="n">
        <f aca="false">IF(COUNT(C106:E106)&gt;0,Q106/O106,"")</f>
        <v>0</v>
      </c>
      <c r="V106" s="65" t="str">
        <f aca="false">IF(SUM(F106:H106)&gt;0,AVERAGE(F106:H106),"")</f>
        <v/>
      </c>
      <c r="W106" s="66" t="str">
        <f aca="false">IF(SUM(F106:H106)&gt;0, ( IF(F106&gt;0,(F106-V106)^2,0) + IF(G106&gt;0,(G106-V106)^2,0) + IF(H106&gt;0,(H106-V106)^2,0) ) / COUNT(F106:H106),"")</f>
        <v/>
      </c>
      <c r="X106" s="63" t="str">
        <f aca="false">IF(SUM(F106:H106)&gt;0,SQRT(W106),"")</f>
        <v/>
      </c>
      <c r="Y106" s="63" t="str">
        <f aca="false">IF(COUNT(F106:H106)&gt;0,VLOOKUP(COUNT(F106:H106),$AX$2:$AZ$5,3)*(X106/SQRT(COUNT(F106:H106))),"")</f>
        <v/>
      </c>
      <c r="Z106" s="63" t="str">
        <f aca="false">IF(COUNT(F106:H106)&gt;0,V106-Y106,"")</f>
        <v/>
      </c>
      <c r="AA106" s="63" t="str">
        <f aca="false">IF(COUNT(F106:H106)&gt;0,V106+Y106,"")</f>
        <v/>
      </c>
      <c r="AB106" s="64" t="str">
        <f aca="false">IF(COUNT(F106:H106)&gt;0,X106/V106,"")</f>
        <v/>
      </c>
      <c r="AC106" s="26"/>
      <c r="AD106" s="65" t="str">
        <f aca="false">IF(SUM(I106:K106)&gt;0,AVERAGE(I106:K106),"")</f>
        <v/>
      </c>
      <c r="AE106" s="66" t="str">
        <f aca="false">IF(SUM(I106:K106)&gt;0, ( IF(I106&gt;0,(I106-AD106)^2,0) + IF(J106&gt;0,(J106-AD106)^2,0) + IF(K106&gt;0,(K106-AD106)^2,0) ) / COUNT(I106:K106),"")</f>
        <v/>
      </c>
      <c r="AF106" s="63" t="str">
        <f aca="false">IF(SUM(I106:K106)&gt;0,SQRT(AE106),"")</f>
        <v/>
      </c>
      <c r="AG106" s="63" t="str">
        <f aca="false">IF(COUNT(I106:K106)&gt;0,VLOOKUP(COUNT(I106:K106),$AX$2:$AZ$5,3)*(AF106/SQRT(COUNT(I106:K106))),"")</f>
        <v/>
      </c>
      <c r="AH106" s="63" t="str">
        <f aca="false">IF(COUNT(I106:K106)&gt;0,AD106-AG106,"")</f>
        <v/>
      </c>
      <c r="AI106" s="63" t="str">
        <f aca="false">IF(COUNT(I106:K106)&gt;0,AD106+AG106,"")</f>
        <v/>
      </c>
      <c r="AJ106" s="64" t="str">
        <f aca="false">IF(COUNT(I106:K106)&gt;0,AF106/AD106,"")</f>
        <v/>
      </c>
      <c r="AK106" s="65" t="str">
        <f aca="false">IF(SUM(L106:N106)&gt;0,AVERAGE(L106:N106),"")</f>
        <v/>
      </c>
      <c r="AL106" s="66" t="str">
        <f aca="false">IF(SUM(L106:N106)&gt;0, ( IF(L106&gt;0,(L106-AK106)^2,0) + IF(M106&gt;0,(M106-AK106)^2,0) + IF(N106&gt;0,(N106-AK106)^2,0) ) / COUNT(L106:N106),"")</f>
        <v/>
      </c>
      <c r="AM106" s="63" t="str">
        <f aca="false">IF(SUM(L106:N106)&gt;0,SQRT(AL106),"")</f>
        <v/>
      </c>
      <c r="AN106" s="63" t="str">
        <f aca="false">IF(COUNT(L106:N106)&gt;0,VLOOKUP(COUNT(L106:N106),$AX$2:$AZ$5,3)*(AM106/SQRT(COUNT(L106:N106))),"")</f>
        <v/>
      </c>
      <c r="AO106" s="63" t="str">
        <f aca="false">IF(COUNT(L106:N106)&gt;0,AK106-AN106,"")</f>
        <v/>
      </c>
      <c r="AP106" s="63" t="str">
        <f aca="false">IF(COUNT(L106:N106)&gt;0,AK106+AN106,"")</f>
        <v/>
      </c>
      <c r="AQ106" s="64" t="str">
        <f aca="false">IF(COUNT(L106:N106)&gt;0,AM106/AK106,"")</f>
        <v/>
      </c>
    </row>
    <row r="107" customFormat="false" ht="12.8" hidden="false" customHeight="false" outlineLevel="0" collapsed="false">
      <c r="A107" s="56" t="s">
        <v>43</v>
      </c>
      <c r="B107" s="57" t="n">
        <v>20</v>
      </c>
      <c r="C107" s="56" t="n">
        <v>1081</v>
      </c>
      <c r="D107" s="25"/>
      <c r="E107" s="57" t="n">
        <v>1136</v>
      </c>
      <c r="F107" s="58"/>
      <c r="H107" s="59"/>
      <c r="I107" s="56"/>
      <c r="K107" s="57"/>
      <c r="L107" s="56"/>
      <c r="N107" s="57"/>
      <c r="O107" s="65" t="n">
        <f aca="false">IF(SUM(C107:E107)&gt;0,AVERAGE(C107:E107),"")</f>
        <v>1108.5</v>
      </c>
      <c r="P107" s="66" t="n">
        <f aca="false">IF(SUM(C107:E107)&gt;0, ( IF(C107&gt;0,(C107-O107)^2,0) + IF(D107&gt;0,(D107-O107)^2,0) + IF(E107&gt;0,(E107-O107)^2,0) ) / COUNT(C107:E107),"")</f>
        <v>756.25</v>
      </c>
      <c r="Q107" s="63" t="n">
        <f aca="false">IF(SUM(C107:E107)&gt;0,SQRT(P107),"")</f>
        <v>27.5</v>
      </c>
      <c r="R107" s="63" t="n">
        <f aca="false">IF(COUNT(C107:E107)&gt;0,VLOOKUP(COUNT(C107:E107),$AX$2:$AZ$5,3)*(Q107/SQRT(COUNT(C107:E107))),"")</f>
        <v>247.073715948297</v>
      </c>
      <c r="S107" s="63" t="n">
        <f aca="false">IF(COUNT(C107:E107)&gt;0,O107-R107,"")</f>
        <v>861.426284051703</v>
      </c>
      <c r="T107" s="63" t="n">
        <f aca="false">IF(COUNT(C107:E107)&gt;0,O107+R107,"")</f>
        <v>1355.5737159483</v>
      </c>
      <c r="U107" s="64" t="n">
        <f aca="false">IF(COUNT(C107:E107)&gt;0,Q107/O107,"")</f>
        <v>0.024808299503834</v>
      </c>
      <c r="V107" s="65" t="str">
        <f aca="false">IF(SUM(F107:H107)&gt;0,AVERAGE(F107:H107),"")</f>
        <v/>
      </c>
      <c r="W107" s="66" t="str">
        <f aca="false">IF(SUM(F107:H107)&gt;0, ( IF(F107&gt;0,(F107-V107)^2,0) + IF(G107&gt;0,(G107-V107)^2,0) + IF(H107&gt;0,(H107-V107)^2,0) ) / COUNT(F107:H107),"")</f>
        <v/>
      </c>
      <c r="X107" s="63" t="str">
        <f aca="false">IF(SUM(F107:H107)&gt;0,SQRT(W107),"")</f>
        <v/>
      </c>
      <c r="Y107" s="63" t="str">
        <f aca="false">IF(COUNT(F107:H107)&gt;0,VLOOKUP(COUNT(F107:H107),$AX$2:$AZ$5,3)*(X107/SQRT(COUNT(F107:H107))),"")</f>
        <v/>
      </c>
      <c r="Z107" s="63" t="str">
        <f aca="false">IF(COUNT(F107:H107)&gt;0,V107-Y107,"")</f>
        <v/>
      </c>
      <c r="AA107" s="63" t="str">
        <f aca="false">IF(COUNT(F107:H107)&gt;0,V107+Y107,"")</f>
        <v/>
      </c>
      <c r="AB107" s="64" t="str">
        <f aca="false">IF(COUNT(F107:H107)&gt;0,X107/V107,"")</f>
        <v/>
      </c>
      <c r="AC107" s="26"/>
      <c r="AD107" s="65" t="str">
        <f aca="false">IF(SUM(I107:K107)&gt;0,AVERAGE(I107:K107),"")</f>
        <v/>
      </c>
      <c r="AE107" s="66" t="str">
        <f aca="false">IF(SUM(I107:K107)&gt;0, ( IF(I107&gt;0,(I107-AD107)^2,0) + IF(J107&gt;0,(J107-AD107)^2,0) + IF(K107&gt;0,(K107-AD107)^2,0) ) / COUNT(I107:K107),"")</f>
        <v/>
      </c>
      <c r="AF107" s="63" t="str">
        <f aca="false">IF(SUM(I107:K107)&gt;0,SQRT(AE107),"")</f>
        <v/>
      </c>
      <c r="AG107" s="63" t="str">
        <f aca="false">IF(COUNT(I107:K107)&gt;0,VLOOKUP(COUNT(I107:K107),$AX$2:$AZ$5,3)*(AF107/SQRT(COUNT(I107:K107))),"")</f>
        <v/>
      </c>
      <c r="AH107" s="63" t="str">
        <f aca="false">IF(COUNT(I107:K107)&gt;0,AD107-AG107,"")</f>
        <v/>
      </c>
      <c r="AI107" s="63" t="str">
        <f aca="false">IF(COUNT(I107:K107)&gt;0,AD107+AG107,"")</f>
        <v/>
      </c>
      <c r="AJ107" s="64" t="str">
        <f aca="false">IF(COUNT(I107:K107)&gt;0,AF107/AD107,"")</f>
        <v/>
      </c>
      <c r="AK107" s="65" t="str">
        <f aca="false">IF(SUM(L107:N107)&gt;0,AVERAGE(L107:N107),"")</f>
        <v/>
      </c>
      <c r="AL107" s="66" t="str">
        <f aca="false">IF(SUM(L107:N107)&gt;0, ( IF(L107&gt;0,(L107-AK107)^2,0) + IF(M107&gt;0,(M107-AK107)^2,0) + IF(N107&gt;0,(N107-AK107)^2,0) ) / COUNT(L107:N107),"")</f>
        <v/>
      </c>
      <c r="AM107" s="63" t="str">
        <f aca="false">IF(SUM(L107:N107)&gt;0,SQRT(AL107),"")</f>
        <v/>
      </c>
      <c r="AN107" s="63" t="str">
        <f aca="false">IF(COUNT(L107:N107)&gt;0,VLOOKUP(COUNT(L107:N107),$AX$2:$AZ$5,3)*(AM107/SQRT(COUNT(L107:N107))),"")</f>
        <v/>
      </c>
      <c r="AO107" s="63" t="str">
        <f aca="false">IF(COUNT(L107:N107)&gt;0,AK107-AN107,"")</f>
        <v/>
      </c>
      <c r="AP107" s="63" t="str">
        <f aca="false">IF(COUNT(L107:N107)&gt;0,AK107+AN107,"")</f>
        <v/>
      </c>
      <c r="AQ107" s="64" t="str">
        <f aca="false">IF(COUNT(L107:N107)&gt;0,AM107/AK107,"")</f>
        <v/>
      </c>
    </row>
    <row r="108" customFormat="false" ht="12.8" hidden="false" customHeight="false" outlineLevel="0" collapsed="false">
      <c r="A108" s="56" t="s">
        <v>43</v>
      </c>
      <c r="B108" s="57" t="n">
        <v>30</v>
      </c>
      <c r="C108" s="56" t="n">
        <v>774</v>
      </c>
      <c r="D108" s="25"/>
      <c r="E108" s="57" t="n">
        <v>787</v>
      </c>
      <c r="F108" s="58"/>
      <c r="H108" s="59"/>
      <c r="I108" s="56"/>
      <c r="K108" s="57"/>
      <c r="L108" s="56"/>
      <c r="N108" s="57"/>
      <c r="O108" s="65" t="n">
        <f aca="false">IF(SUM(C108:E108)&gt;0,AVERAGE(C108:E108),"")</f>
        <v>780.5</v>
      </c>
      <c r="P108" s="66" t="n">
        <f aca="false">IF(SUM(C108:E108)&gt;0, ( IF(C108&gt;0,(C108-O108)^2,0) + IF(D108&gt;0,(D108-O108)^2,0) + IF(E108&gt;0,(E108-O108)^2,0) ) / COUNT(C108:E108),"")</f>
        <v>42.25</v>
      </c>
      <c r="Q108" s="63" t="n">
        <f aca="false">IF(SUM(C108:E108)&gt;0,SQRT(P108),"")</f>
        <v>6.5</v>
      </c>
      <c r="R108" s="63" t="n">
        <f aca="false">IF(COUNT(C108:E108)&gt;0,VLOOKUP(COUNT(C108:E108),$AX$2:$AZ$5,3)*(Q108/SQRT(COUNT(C108:E108))),"")</f>
        <v>58.3992419514158</v>
      </c>
      <c r="S108" s="63" t="n">
        <f aca="false">IF(COUNT(C108:E108)&gt;0,O108-R108,"")</f>
        <v>722.100758048584</v>
      </c>
      <c r="T108" s="63" t="n">
        <f aca="false">IF(COUNT(C108:E108)&gt;0,O108+R108,"")</f>
        <v>838.899241951416</v>
      </c>
      <c r="U108" s="64" t="n">
        <f aca="false">IF(COUNT(C108:E108)&gt;0,Q108/O108,"")</f>
        <v>0.00832799487508008</v>
      </c>
      <c r="V108" s="65" t="str">
        <f aca="false">IF(SUM(F108:H108)&gt;0,AVERAGE(F108:H108),"")</f>
        <v/>
      </c>
      <c r="W108" s="66" t="str">
        <f aca="false">IF(SUM(F108:H108)&gt;0, ( IF(F108&gt;0,(F108-V108)^2,0) + IF(G108&gt;0,(G108-V108)^2,0) + IF(H108&gt;0,(H108-V108)^2,0) ) / COUNT(F108:H108),"")</f>
        <v/>
      </c>
      <c r="X108" s="63" t="str">
        <f aca="false">IF(SUM(F108:H108)&gt;0,SQRT(W108),"")</f>
        <v/>
      </c>
      <c r="Y108" s="63" t="str">
        <f aca="false">IF(COUNT(F108:H108)&gt;0,VLOOKUP(COUNT(F108:H108),$AX$2:$AZ$5,3)*(X108/SQRT(COUNT(F108:H108))),"")</f>
        <v/>
      </c>
      <c r="Z108" s="63" t="str">
        <f aca="false">IF(COUNT(F108:H108)&gt;0,V108-Y108,"")</f>
        <v/>
      </c>
      <c r="AA108" s="63" t="str">
        <f aca="false">IF(COUNT(F108:H108)&gt;0,V108+Y108,"")</f>
        <v/>
      </c>
      <c r="AB108" s="64" t="str">
        <f aca="false">IF(COUNT(F108:H108)&gt;0,X108/V108,"")</f>
        <v/>
      </c>
      <c r="AC108" s="26"/>
      <c r="AD108" s="65" t="str">
        <f aca="false">IF(SUM(I108:K108)&gt;0,AVERAGE(I108:K108),"")</f>
        <v/>
      </c>
      <c r="AE108" s="66" t="str">
        <f aca="false">IF(SUM(I108:K108)&gt;0, ( IF(I108&gt;0,(I108-AD108)^2,0) + IF(J108&gt;0,(J108-AD108)^2,0) + IF(K108&gt;0,(K108-AD108)^2,0) ) / COUNT(I108:K108),"")</f>
        <v/>
      </c>
      <c r="AF108" s="63" t="str">
        <f aca="false">IF(SUM(I108:K108)&gt;0,SQRT(AE108),"")</f>
        <v/>
      </c>
      <c r="AG108" s="63" t="str">
        <f aca="false">IF(COUNT(I108:K108)&gt;0,VLOOKUP(COUNT(I108:K108),$AX$2:$AZ$5,3)*(AF108/SQRT(COUNT(I108:K108))),"")</f>
        <v/>
      </c>
      <c r="AH108" s="63" t="str">
        <f aca="false">IF(COUNT(I108:K108)&gt;0,AD108-AG108,"")</f>
        <v/>
      </c>
      <c r="AI108" s="63" t="str">
        <f aca="false">IF(COUNT(I108:K108)&gt;0,AD108+AG108,"")</f>
        <v/>
      </c>
      <c r="AJ108" s="64" t="str">
        <f aca="false">IF(COUNT(I108:K108)&gt;0,AF108/AD108,"")</f>
        <v/>
      </c>
      <c r="AK108" s="65" t="str">
        <f aca="false">IF(SUM(L108:N108)&gt;0,AVERAGE(L108:N108),"")</f>
        <v/>
      </c>
      <c r="AL108" s="66" t="str">
        <f aca="false">IF(SUM(L108:N108)&gt;0, ( IF(L108&gt;0,(L108-AK108)^2,0) + IF(M108&gt;0,(M108-AK108)^2,0) + IF(N108&gt;0,(N108-AK108)^2,0) ) / COUNT(L108:N108),"")</f>
        <v/>
      </c>
      <c r="AM108" s="63" t="str">
        <f aca="false">IF(SUM(L108:N108)&gt;0,SQRT(AL108),"")</f>
        <v/>
      </c>
      <c r="AN108" s="63" t="str">
        <f aca="false">IF(COUNT(L108:N108)&gt;0,VLOOKUP(COUNT(L108:N108),$AX$2:$AZ$5,3)*(AM108/SQRT(COUNT(L108:N108))),"")</f>
        <v/>
      </c>
      <c r="AO108" s="63" t="str">
        <f aca="false">IF(COUNT(L108:N108)&gt;0,AK108-AN108,"")</f>
        <v/>
      </c>
      <c r="AP108" s="63" t="str">
        <f aca="false">IF(COUNT(L108:N108)&gt;0,AK108+AN108,"")</f>
        <v/>
      </c>
      <c r="AQ108" s="64" t="str">
        <f aca="false">IF(COUNT(L108:N108)&gt;0,AM108/AK108,"")</f>
        <v/>
      </c>
    </row>
    <row r="109" customFormat="false" ht="12.8" hidden="false" customHeight="false" outlineLevel="0" collapsed="false">
      <c r="A109" s="56" t="s">
        <v>43</v>
      </c>
      <c r="B109" s="57" t="n">
        <v>40</v>
      </c>
      <c r="C109" s="56" t="n">
        <v>680</v>
      </c>
      <c r="D109" s="25"/>
      <c r="E109" s="57" t="n">
        <v>572</v>
      </c>
      <c r="F109" s="58"/>
      <c r="H109" s="59"/>
      <c r="I109" s="56"/>
      <c r="K109" s="57"/>
      <c r="L109" s="56"/>
      <c r="N109" s="57"/>
      <c r="O109" s="65" t="n">
        <f aca="false">IF(SUM(C109:E109)&gt;0,AVERAGE(C109:E109),"")</f>
        <v>626</v>
      </c>
      <c r="P109" s="66" t="n">
        <f aca="false">IF(SUM(C109:E109)&gt;0, ( IF(C109&gt;0,(C109-O109)^2,0) + IF(D109&gt;0,(D109-O109)^2,0) + IF(E109&gt;0,(E109-O109)^2,0) ) / COUNT(C109:E109),"")</f>
        <v>2916</v>
      </c>
      <c r="Q109" s="63" t="n">
        <f aca="false">IF(SUM(C109:E109)&gt;0,SQRT(P109),"")</f>
        <v>54</v>
      </c>
      <c r="R109" s="63" t="n">
        <f aca="false">IF(COUNT(C109:E109)&gt;0,VLOOKUP(COUNT(C109:E109),$AX$2:$AZ$5,3)*(Q109/SQRT(COUNT(C109:E109))),"")</f>
        <v>485.162933134839</v>
      </c>
      <c r="S109" s="63" t="n">
        <f aca="false">IF(COUNT(C109:E109)&gt;0,O109-R109,"")</f>
        <v>140.837066865161</v>
      </c>
      <c r="T109" s="63" t="n">
        <f aca="false">IF(COUNT(C109:E109)&gt;0,O109+R109,"")</f>
        <v>1111.16293313484</v>
      </c>
      <c r="U109" s="64" t="n">
        <f aca="false">IF(COUNT(C109:E109)&gt;0,Q109/O109,"")</f>
        <v>0.0862619808306709</v>
      </c>
      <c r="V109" s="65" t="str">
        <f aca="false">IF(SUM(F109:H109)&gt;0,AVERAGE(F109:H109),"")</f>
        <v/>
      </c>
      <c r="W109" s="66" t="str">
        <f aca="false">IF(SUM(F109:H109)&gt;0, ( IF(F109&gt;0,(F109-V109)^2,0) + IF(G109&gt;0,(G109-V109)^2,0) + IF(H109&gt;0,(H109-V109)^2,0) ) / COUNT(F109:H109),"")</f>
        <v/>
      </c>
      <c r="X109" s="63" t="str">
        <f aca="false">IF(SUM(F109:H109)&gt;0,SQRT(W109),"")</f>
        <v/>
      </c>
      <c r="Y109" s="63" t="str">
        <f aca="false">IF(COUNT(F109:H109)&gt;0,VLOOKUP(COUNT(F109:H109),$AX$2:$AZ$5,3)*(X109/SQRT(COUNT(F109:H109))),"")</f>
        <v/>
      </c>
      <c r="Z109" s="63" t="str">
        <f aca="false">IF(COUNT(F109:H109)&gt;0,V109-Y109,"")</f>
        <v/>
      </c>
      <c r="AA109" s="63" t="str">
        <f aca="false">IF(COUNT(F109:H109)&gt;0,V109+Y109,"")</f>
        <v/>
      </c>
      <c r="AB109" s="64" t="str">
        <f aca="false">IF(COUNT(F109:H109)&gt;0,X109/V109,"")</f>
        <v/>
      </c>
      <c r="AC109" s="26"/>
      <c r="AD109" s="65" t="str">
        <f aca="false">IF(SUM(I109:K109)&gt;0,AVERAGE(I109:K109),"")</f>
        <v/>
      </c>
      <c r="AE109" s="66" t="str">
        <f aca="false">IF(SUM(I109:K109)&gt;0, ( IF(I109&gt;0,(I109-AD109)^2,0) + IF(J109&gt;0,(J109-AD109)^2,0) + IF(K109&gt;0,(K109-AD109)^2,0) ) / COUNT(I109:K109),"")</f>
        <v/>
      </c>
      <c r="AF109" s="63" t="str">
        <f aca="false">IF(SUM(I109:K109)&gt;0,SQRT(AE109),"")</f>
        <v/>
      </c>
      <c r="AG109" s="63" t="str">
        <f aca="false">IF(COUNT(I109:K109)&gt;0,VLOOKUP(COUNT(I109:K109),$AX$2:$AZ$5,3)*(AF109/SQRT(COUNT(I109:K109))),"")</f>
        <v/>
      </c>
      <c r="AH109" s="63" t="str">
        <f aca="false">IF(COUNT(I109:K109)&gt;0,AD109-AG109,"")</f>
        <v/>
      </c>
      <c r="AI109" s="63" t="str">
        <f aca="false">IF(COUNT(I109:K109)&gt;0,AD109+AG109,"")</f>
        <v/>
      </c>
      <c r="AJ109" s="64" t="str">
        <f aca="false">IF(COUNT(I109:K109)&gt;0,AF109/AD109,"")</f>
        <v/>
      </c>
      <c r="AK109" s="65" t="str">
        <f aca="false">IF(SUM(L109:N109)&gt;0,AVERAGE(L109:N109),"")</f>
        <v/>
      </c>
      <c r="AL109" s="66" t="str">
        <f aca="false">IF(SUM(L109:N109)&gt;0, ( IF(L109&gt;0,(L109-AK109)^2,0) + IF(M109&gt;0,(M109-AK109)^2,0) + IF(N109&gt;0,(N109-AK109)^2,0) ) / COUNT(L109:N109),"")</f>
        <v/>
      </c>
      <c r="AM109" s="63" t="str">
        <f aca="false">IF(SUM(L109:N109)&gt;0,SQRT(AL109),"")</f>
        <v/>
      </c>
      <c r="AN109" s="63" t="str">
        <f aca="false">IF(COUNT(L109:N109)&gt;0,VLOOKUP(COUNT(L109:N109),$AX$2:$AZ$5,3)*(AM109/SQRT(COUNT(L109:N109))),"")</f>
        <v/>
      </c>
      <c r="AO109" s="63" t="str">
        <f aca="false">IF(COUNT(L109:N109)&gt;0,AK109-AN109,"")</f>
        <v/>
      </c>
      <c r="AP109" s="63" t="str">
        <f aca="false">IF(COUNT(L109:N109)&gt;0,AK109+AN109,"")</f>
        <v/>
      </c>
      <c r="AQ109" s="64" t="str">
        <f aca="false">IF(COUNT(L109:N109)&gt;0,AM109/AK109,"")</f>
        <v/>
      </c>
    </row>
    <row r="110" customFormat="false" ht="12.8" hidden="false" customHeight="false" outlineLevel="0" collapsed="false">
      <c r="A110" s="56" t="s">
        <v>43</v>
      </c>
      <c r="B110" s="57" t="n">
        <v>50</v>
      </c>
      <c r="C110" s="56" t="n">
        <v>537</v>
      </c>
      <c r="D110" s="25"/>
      <c r="E110" s="57" t="n">
        <v>505</v>
      </c>
      <c r="F110" s="58"/>
      <c r="H110" s="59"/>
      <c r="I110" s="56"/>
      <c r="K110" s="57"/>
      <c r="L110" s="56"/>
      <c r="N110" s="57"/>
      <c r="O110" s="65" t="n">
        <f aca="false">IF(SUM(C110:E110)&gt;0,AVERAGE(C110:E110),"")</f>
        <v>521</v>
      </c>
      <c r="P110" s="66" t="n">
        <f aca="false">IF(SUM(C110:E110)&gt;0, ( IF(C110&gt;0,(C110-O110)^2,0) + IF(D110&gt;0,(D110-O110)^2,0) + IF(E110&gt;0,(E110-O110)^2,0) ) / COUNT(C110:E110),"")</f>
        <v>256</v>
      </c>
      <c r="Q110" s="63" t="n">
        <f aca="false">IF(SUM(C110:E110)&gt;0,SQRT(P110),"")</f>
        <v>16</v>
      </c>
      <c r="R110" s="63" t="n">
        <f aca="false">IF(COUNT(C110:E110)&gt;0,VLOOKUP(COUNT(C110:E110),$AX$2:$AZ$5,3)*(Q110/SQRT(COUNT(C110:E110))),"")</f>
        <v>143.7519801881</v>
      </c>
      <c r="S110" s="63" t="n">
        <f aca="false">IF(COUNT(C110:E110)&gt;0,O110-R110,"")</f>
        <v>377.2480198119</v>
      </c>
      <c r="T110" s="63" t="n">
        <f aca="false">IF(COUNT(C110:E110)&gt;0,O110+R110,"")</f>
        <v>664.7519801881</v>
      </c>
      <c r="U110" s="64" t="n">
        <f aca="false">IF(COUNT(C110:E110)&gt;0,Q110/O110,"")</f>
        <v>0.0307101727447217</v>
      </c>
      <c r="V110" s="65" t="str">
        <f aca="false">IF(SUM(F110:H110)&gt;0,AVERAGE(F110:H110),"")</f>
        <v/>
      </c>
      <c r="W110" s="66" t="str">
        <f aca="false">IF(SUM(F110:H110)&gt;0, ( IF(F110&gt;0,(F110-V110)^2,0) + IF(G110&gt;0,(G110-V110)^2,0) + IF(H110&gt;0,(H110-V110)^2,0) ) / COUNT(F110:H110),"")</f>
        <v/>
      </c>
      <c r="X110" s="63" t="str">
        <f aca="false">IF(SUM(F110:H110)&gt;0,SQRT(W110),"")</f>
        <v/>
      </c>
      <c r="Y110" s="63" t="str">
        <f aca="false">IF(COUNT(F110:H110)&gt;0,VLOOKUP(COUNT(F110:H110),$AX$2:$AZ$5,3)*(X110/SQRT(COUNT(F110:H110))),"")</f>
        <v/>
      </c>
      <c r="Z110" s="63" t="str">
        <f aca="false">IF(COUNT(F110:H110)&gt;0,V110-Y110,"")</f>
        <v/>
      </c>
      <c r="AA110" s="63" t="str">
        <f aca="false">IF(COUNT(F110:H110)&gt;0,V110+Y110,"")</f>
        <v/>
      </c>
      <c r="AB110" s="64" t="str">
        <f aca="false">IF(COUNT(F110:H110)&gt;0,X110/V110,"")</f>
        <v/>
      </c>
      <c r="AC110" s="26"/>
      <c r="AD110" s="65" t="str">
        <f aca="false">IF(SUM(I110:K110)&gt;0,AVERAGE(I110:K110),"")</f>
        <v/>
      </c>
      <c r="AE110" s="66" t="str">
        <f aca="false">IF(SUM(I110:K110)&gt;0, ( IF(I110&gt;0,(I110-AD110)^2,0) + IF(J110&gt;0,(J110-AD110)^2,0) + IF(K110&gt;0,(K110-AD110)^2,0) ) / COUNT(I110:K110),"")</f>
        <v/>
      </c>
      <c r="AF110" s="63" t="str">
        <f aca="false">IF(SUM(I110:K110)&gt;0,SQRT(AE110),"")</f>
        <v/>
      </c>
      <c r="AG110" s="63" t="str">
        <f aca="false">IF(COUNT(I110:K110)&gt;0,VLOOKUP(COUNT(I110:K110),$AX$2:$AZ$5,3)*(AF110/SQRT(COUNT(I110:K110))),"")</f>
        <v/>
      </c>
      <c r="AH110" s="63" t="str">
        <f aca="false">IF(COUNT(I110:K110)&gt;0,AD110-AG110,"")</f>
        <v/>
      </c>
      <c r="AI110" s="63" t="str">
        <f aca="false">IF(COUNT(I110:K110)&gt;0,AD110+AG110,"")</f>
        <v/>
      </c>
      <c r="AJ110" s="64" t="str">
        <f aca="false">IF(COUNT(I110:K110)&gt;0,AF110/AD110,"")</f>
        <v/>
      </c>
      <c r="AK110" s="65" t="str">
        <f aca="false">IF(SUM(L110:N110)&gt;0,AVERAGE(L110:N110),"")</f>
        <v/>
      </c>
      <c r="AL110" s="66" t="str">
        <f aca="false">IF(SUM(L110:N110)&gt;0, ( IF(L110&gt;0,(L110-AK110)^2,0) + IF(M110&gt;0,(M110-AK110)^2,0) + IF(N110&gt;0,(N110-AK110)^2,0) ) / COUNT(L110:N110),"")</f>
        <v/>
      </c>
      <c r="AM110" s="63" t="str">
        <f aca="false">IF(SUM(L110:N110)&gt;0,SQRT(AL110),"")</f>
        <v/>
      </c>
      <c r="AN110" s="63" t="str">
        <f aca="false">IF(COUNT(L110:N110)&gt;0,VLOOKUP(COUNT(L110:N110),$AX$2:$AZ$5,3)*(AM110/SQRT(COUNT(L110:N110))),"")</f>
        <v/>
      </c>
      <c r="AO110" s="63" t="str">
        <f aca="false">IF(COUNT(L110:N110)&gt;0,AK110-AN110,"")</f>
        <v/>
      </c>
      <c r="AP110" s="63" t="str">
        <f aca="false">IF(COUNT(L110:N110)&gt;0,AK110+AN110,"")</f>
        <v/>
      </c>
      <c r="AQ110" s="64" t="str">
        <f aca="false">IF(COUNT(L110:N110)&gt;0,AM110/AK110,"")</f>
        <v/>
      </c>
    </row>
    <row r="111" customFormat="false" ht="12.8" hidden="false" customHeight="false" outlineLevel="0" collapsed="false">
      <c r="A111" s="56" t="s">
        <v>43</v>
      </c>
      <c r="B111" s="57" t="n">
        <v>64</v>
      </c>
      <c r="C111" s="56" t="n">
        <v>463</v>
      </c>
      <c r="D111" s="25"/>
      <c r="E111" s="57" t="n">
        <v>420</v>
      </c>
      <c r="F111" s="58"/>
      <c r="H111" s="59"/>
      <c r="I111" s="56"/>
      <c r="K111" s="57"/>
      <c r="L111" s="56"/>
      <c r="N111" s="57"/>
      <c r="O111" s="65" t="n">
        <f aca="false">IF(SUM(C111:E111)&gt;0,AVERAGE(C111:E111),"")</f>
        <v>441.5</v>
      </c>
      <c r="P111" s="66" t="n">
        <f aca="false">IF(SUM(C111:E111)&gt;0, ( IF(C111&gt;0,(C111-O111)^2,0) + IF(D111&gt;0,(D111-O111)^2,0) + IF(E111&gt;0,(E111-O111)^2,0) ) / COUNT(C111:E111),"")</f>
        <v>462.25</v>
      </c>
      <c r="Q111" s="63" t="n">
        <f aca="false">IF(SUM(C111:E111)&gt;0,SQRT(P111),"")</f>
        <v>21.5</v>
      </c>
      <c r="R111" s="63" t="n">
        <f aca="false">IF(COUNT(C111:E111)&gt;0,VLOOKUP(COUNT(C111:E111),$AX$2:$AZ$5,3)*(Q111/SQRT(COUNT(C111:E111))),"")</f>
        <v>193.16672337776</v>
      </c>
      <c r="S111" s="63" t="n">
        <f aca="false">IF(COUNT(C111:E111)&gt;0,O111-R111,"")</f>
        <v>248.33327662224</v>
      </c>
      <c r="T111" s="63" t="n">
        <f aca="false">IF(COUNT(C111:E111)&gt;0,O111+R111,"")</f>
        <v>634.66672337776</v>
      </c>
      <c r="U111" s="64" t="n">
        <f aca="false">IF(COUNT(C111:E111)&gt;0,Q111/O111,"")</f>
        <v>0.0486976217440544</v>
      </c>
      <c r="V111" s="65" t="str">
        <f aca="false">IF(SUM(F111:H111)&gt;0,AVERAGE(F111:H111),"")</f>
        <v/>
      </c>
      <c r="W111" s="66" t="str">
        <f aca="false">IF(SUM(F111:H111)&gt;0, ( IF(F111&gt;0,(F111-V111)^2,0) + IF(G111&gt;0,(G111-V111)^2,0) + IF(H111&gt;0,(H111-V111)^2,0) ) / COUNT(F111:H111),"")</f>
        <v/>
      </c>
      <c r="X111" s="63" t="str">
        <f aca="false">IF(SUM(F111:H111)&gt;0,SQRT(W111),"")</f>
        <v/>
      </c>
      <c r="Y111" s="63" t="str">
        <f aca="false">IF(COUNT(F111:H111)&gt;0,VLOOKUP(COUNT(F111:H111),$AX$2:$AZ$5,3)*(X111/SQRT(COUNT(F111:H111))),"")</f>
        <v/>
      </c>
      <c r="Z111" s="63" t="str">
        <f aca="false">IF(COUNT(F111:H111)&gt;0,V111-Y111,"")</f>
        <v/>
      </c>
      <c r="AA111" s="63" t="str">
        <f aca="false">IF(COUNT(F111:H111)&gt;0,V111+Y111,"")</f>
        <v/>
      </c>
      <c r="AB111" s="64" t="str">
        <f aca="false">IF(COUNT(F111:H111)&gt;0,X111/V111,"")</f>
        <v/>
      </c>
      <c r="AC111" s="26"/>
      <c r="AD111" s="65" t="str">
        <f aca="false">IF(SUM(I111:K111)&gt;0,AVERAGE(I111:K111),"")</f>
        <v/>
      </c>
      <c r="AE111" s="66" t="str">
        <f aca="false">IF(SUM(I111:K111)&gt;0, ( IF(I111&gt;0,(I111-AD111)^2,0) + IF(J111&gt;0,(J111-AD111)^2,0) + IF(K111&gt;0,(K111-AD111)^2,0) ) / COUNT(I111:K111),"")</f>
        <v/>
      </c>
      <c r="AF111" s="63" t="str">
        <f aca="false">IF(SUM(I111:K111)&gt;0,SQRT(AE111),"")</f>
        <v/>
      </c>
      <c r="AG111" s="63" t="str">
        <f aca="false">IF(COUNT(I111:K111)&gt;0,VLOOKUP(COUNT(I111:K111),$AX$2:$AZ$5,3)*(AF111/SQRT(COUNT(I111:K111))),"")</f>
        <v/>
      </c>
      <c r="AH111" s="63" t="str">
        <f aca="false">IF(COUNT(I111:K111)&gt;0,AD111-AG111,"")</f>
        <v/>
      </c>
      <c r="AI111" s="63" t="str">
        <f aca="false">IF(COUNT(I111:K111)&gt;0,AD111+AG111,"")</f>
        <v/>
      </c>
      <c r="AJ111" s="64" t="str">
        <f aca="false">IF(COUNT(I111:K111)&gt;0,AF111/AD111,"")</f>
        <v/>
      </c>
      <c r="AK111" s="65" t="str">
        <f aca="false">IF(SUM(L111:N111)&gt;0,AVERAGE(L111:N111),"")</f>
        <v/>
      </c>
      <c r="AL111" s="66" t="str">
        <f aca="false">IF(SUM(L111:N111)&gt;0, ( IF(L111&gt;0,(L111-AK111)^2,0) + IF(M111&gt;0,(M111-AK111)^2,0) + IF(N111&gt;0,(N111-AK111)^2,0) ) / COUNT(L111:N111),"")</f>
        <v/>
      </c>
      <c r="AM111" s="63" t="str">
        <f aca="false">IF(SUM(L111:N111)&gt;0,SQRT(AL111),"")</f>
        <v/>
      </c>
      <c r="AN111" s="63" t="str">
        <f aca="false">IF(COUNT(L111:N111)&gt;0,VLOOKUP(COUNT(L111:N111),$AX$2:$AZ$5,3)*(AM111/SQRT(COUNT(L111:N111))),"")</f>
        <v/>
      </c>
      <c r="AO111" s="63" t="str">
        <f aca="false">IF(COUNT(L111:N111)&gt;0,AK111-AN111,"")</f>
        <v/>
      </c>
      <c r="AP111" s="63" t="str">
        <f aca="false">IF(COUNT(L111:N111)&gt;0,AK111+AN111,"")</f>
        <v/>
      </c>
      <c r="AQ111" s="64" t="str">
        <f aca="false">IF(COUNT(L111:N111)&gt;0,AM111/AK111,"")</f>
        <v/>
      </c>
    </row>
    <row r="112" customFormat="false" ht="12.8" hidden="false" customHeight="false" outlineLevel="0" collapsed="false">
      <c r="A112" s="56" t="s">
        <v>43</v>
      </c>
      <c r="B112" s="57" t="n">
        <v>82</v>
      </c>
      <c r="C112" s="56" t="n">
        <v>327</v>
      </c>
      <c r="D112" s="25"/>
      <c r="E112" s="57" t="n">
        <v>342</v>
      </c>
      <c r="F112" s="58"/>
      <c r="H112" s="59"/>
      <c r="I112" s="56"/>
      <c r="K112" s="57"/>
      <c r="L112" s="56"/>
      <c r="N112" s="57"/>
      <c r="O112" s="65" t="n">
        <f aca="false">IF(SUM(C112:E112)&gt;0,AVERAGE(C112:E112),"")</f>
        <v>334.5</v>
      </c>
      <c r="P112" s="66" t="n">
        <f aca="false">IF(SUM(C112:E112)&gt;0, ( IF(C112&gt;0,(C112-O112)^2,0) + IF(D112&gt;0,(D112-O112)^2,0) + IF(E112&gt;0,(E112-O112)^2,0) ) / COUNT(C112:E112),"")</f>
        <v>56.25</v>
      </c>
      <c r="Q112" s="63" t="n">
        <f aca="false">IF(SUM(C112:E112)&gt;0,SQRT(P112),"")</f>
        <v>7.5</v>
      </c>
      <c r="R112" s="63" t="n">
        <f aca="false">IF(COUNT(C112:E112)&gt;0,VLOOKUP(COUNT(C112:E112),$AX$2:$AZ$5,3)*(Q112/SQRT(COUNT(C112:E112))),"")</f>
        <v>67.383740713172</v>
      </c>
      <c r="S112" s="63" t="n">
        <f aca="false">IF(COUNT(C112:E112)&gt;0,O112-R112,"")</f>
        <v>267.116259286828</v>
      </c>
      <c r="T112" s="63" t="n">
        <f aca="false">IF(COUNT(C112:E112)&gt;0,O112+R112,"")</f>
        <v>401.883740713172</v>
      </c>
      <c r="U112" s="64" t="n">
        <f aca="false">IF(COUNT(C112:E112)&gt;0,Q112/O112,"")</f>
        <v>0.0224215246636771</v>
      </c>
      <c r="V112" s="65" t="str">
        <f aca="false">IF(SUM(F112:H112)&gt;0,AVERAGE(F112:H112),"")</f>
        <v/>
      </c>
      <c r="W112" s="66" t="str">
        <f aca="false">IF(SUM(F112:H112)&gt;0, ( IF(F112&gt;0,(F112-V112)^2,0) + IF(G112&gt;0,(G112-V112)^2,0) + IF(H112&gt;0,(H112-V112)^2,0) ) / COUNT(F112:H112),"")</f>
        <v/>
      </c>
      <c r="X112" s="63" t="str">
        <f aca="false">IF(SUM(F112:H112)&gt;0,SQRT(W112),"")</f>
        <v/>
      </c>
      <c r="Y112" s="63" t="str">
        <f aca="false">IF(COUNT(F112:H112)&gt;0,VLOOKUP(COUNT(F112:H112),$AX$2:$AZ$5,3)*(X112/SQRT(COUNT(F112:H112))),"")</f>
        <v/>
      </c>
      <c r="Z112" s="63" t="str">
        <f aca="false">IF(COUNT(F112:H112)&gt;0,V112-Y112,"")</f>
        <v/>
      </c>
      <c r="AA112" s="63" t="str">
        <f aca="false">IF(COUNT(F112:H112)&gt;0,V112+Y112,"")</f>
        <v/>
      </c>
      <c r="AB112" s="64" t="str">
        <f aca="false">IF(COUNT(F112:H112)&gt;0,X112/V112,"")</f>
        <v/>
      </c>
      <c r="AC112" s="26"/>
      <c r="AD112" s="65" t="str">
        <f aca="false">IF(SUM(I112:K112)&gt;0,AVERAGE(I112:K112),"")</f>
        <v/>
      </c>
      <c r="AE112" s="66" t="str">
        <f aca="false">IF(SUM(I112:K112)&gt;0, ( IF(I112&gt;0,(I112-AD112)^2,0) + IF(J112&gt;0,(J112-AD112)^2,0) + IF(K112&gt;0,(K112-AD112)^2,0) ) / COUNT(I112:K112),"")</f>
        <v/>
      </c>
      <c r="AF112" s="63" t="str">
        <f aca="false">IF(SUM(I112:K112)&gt;0,SQRT(AE112),"")</f>
        <v/>
      </c>
      <c r="AG112" s="63" t="str">
        <f aca="false">IF(COUNT(I112:K112)&gt;0,VLOOKUP(COUNT(I112:K112),$AX$2:$AZ$5,3)*(AF112/SQRT(COUNT(I112:K112))),"")</f>
        <v/>
      </c>
      <c r="AH112" s="63" t="str">
        <f aca="false">IF(COUNT(I112:K112)&gt;0,AD112-AG112,"")</f>
        <v/>
      </c>
      <c r="AI112" s="63" t="str">
        <f aca="false">IF(COUNT(I112:K112)&gt;0,AD112+AG112,"")</f>
        <v/>
      </c>
      <c r="AJ112" s="64" t="str">
        <f aca="false">IF(COUNT(I112:K112)&gt;0,AF112/AD112,"")</f>
        <v/>
      </c>
      <c r="AK112" s="65" t="str">
        <f aca="false">IF(SUM(L112:N112)&gt;0,AVERAGE(L112:N112),"")</f>
        <v/>
      </c>
      <c r="AL112" s="66" t="str">
        <f aca="false">IF(SUM(L112:N112)&gt;0, ( IF(L112&gt;0,(L112-AK112)^2,0) + IF(M112&gt;0,(M112-AK112)^2,0) + IF(N112&gt;0,(N112-AK112)^2,0) ) / COUNT(L112:N112),"")</f>
        <v/>
      </c>
      <c r="AM112" s="63" t="str">
        <f aca="false">IF(SUM(L112:N112)&gt;0,SQRT(AL112),"")</f>
        <v/>
      </c>
      <c r="AN112" s="63" t="str">
        <f aca="false">IF(COUNT(L112:N112)&gt;0,VLOOKUP(COUNT(L112:N112),$AX$2:$AZ$5,3)*(AM112/SQRT(COUNT(L112:N112))),"")</f>
        <v/>
      </c>
      <c r="AO112" s="63" t="str">
        <f aca="false">IF(COUNT(L112:N112)&gt;0,AK112-AN112,"")</f>
        <v/>
      </c>
      <c r="AP112" s="63" t="str">
        <f aca="false">IF(COUNT(L112:N112)&gt;0,AK112+AN112,"")</f>
        <v/>
      </c>
      <c r="AQ112" s="64" t="str">
        <f aca="false">IF(COUNT(L112:N112)&gt;0,AM112/AK112,"")</f>
        <v/>
      </c>
    </row>
    <row r="113" customFormat="false" ht="12.8" hidden="false" customHeight="false" outlineLevel="0" collapsed="false">
      <c r="A113" s="56" t="s">
        <v>43</v>
      </c>
      <c r="B113" s="57" t="n">
        <v>100</v>
      </c>
      <c r="C113" s="56"/>
      <c r="D113" s="25"/>
      <c r="E113" s="57" t="n">
        <v>348</v>
      </c>
      <c r="F113" s="58"/>
      <c r="H113" s="59"/>
      <c r="I113" s="56"/>
      <c r="K113" s="57"/>
      <c r="L113" s="56"/>
      <c r="N113" s="57"/>
      <c r="O113" s="65" t="n">
        <f aca="false">IF(SUM(C113:E113)&gt;0,AVERAGE(C113:E113),"")</f>
        <v>348</v>
      </c>
      <c r="P113" s="66" t="n">
        <f aca="false">IF(SUM(C113:E113)&gt;0, ( IF(C113&gt;0,(C113-O113)^2,0) + IF(D113&gt;0,(D113-O113)^2,0) + IF(E113&gt;0,(E113-O113)^2,0) ) / COUNT(C113:E113),"")</f>
        <v>0</v>
      </c>
      <c r="Q113" s="63" t="n">
        <f aca="false">IF(SUM(C113:E113)&gt;0,SQRT(P113),"")</f>
        <v>0</v>
      </c>
      <c r="R113" s="63" t="n">
        <f aca="false">IF(COUNT(C113:E113)&gt;0,VLOOKUP(COUNT(C113:E113),$AX$2:$AZ$5,3)*(Q113/SQRT(COUNT(C113:E113))),"")</f>
        <v>0</v>
      </c>
      <c r="S113" s="63" t="n">
        <f aca="false">IF(COUNT(C113:E113)&gt;0,O113-R113,"")</f>
        <v>348</v>
      </c>
      <c r="T113" s="63" t="n">
        <f aca="false">IF(COUNT(C113:E113)&gt;0,O113+R113,"")</f>
        <v>348</v>
      </c>
      <c r="U113" s="64" t="n">
        <f aca="false">IF(COUNT(C113:E113)&gt;0,Q113/O113,"")</f>
        <v>0</v>
      </c>
      <c r="V113" s="65" t="str">
        <f aca="false">IF(SUM(F113:H113)&gt;0,AVERAGE(F113:H113),"")</f>
        <v/>
      </c>
      <c r="W113" s="66" t="str">
        <f aca="false">IF(SUM(F113:H113)&gt;0, ( IF(F113&gt;0,(F113-V113)^2,0) + IF(G113&gt;0,(G113-V113)^2,0) + IF(H113&gt;0,(H113-V113)^2,0) ) / COUNT(F113:H113),"")</f>
        <v/>
      </c>
      <c r="X113" s="63" t="str">
        <f aca="false">IF(SUM(F113:H113)&gt;0,SQRT(W113),"")</f>
        <v/>
      </c>
      <c r="Y113" s="63" t="str">
        <f aca="false">IF(COUNT(F113:H113)&gt;0,VLOOKUP(COUNT(F113:H113),$AX$2:$AZ$5,3)*(X113/SQRT(COUNT(F113:H113))),"")</f>
        <v/>
      </c>
      <c r="Z113" s="63" t="str">
        <f aca="false">IF(COUNT(F113:H113)&gt;0,V113-Y113,"")</f>
        <v/>
      </c>
      <c r="AA113" s="63" t="str">
        <f aca="false">IF(COUNT(F113:H113)&gt;0,V113+Y113,"")</f>
        <v/>
      </c>
      <c r="AB113" s="64" t="str">
        <f aca="false">IF(COUNT(F113:H113)&gt;0,X113/V113,"")</f>
        <v/>
      </c>
      <c r="AC113" s="26"/>
      <c r="AD113" s="65" t="str">
        <f aca="false">IF(SUM(I113:K113)&gt;0,AVERAGE(I113:K113),"")</f>
        <v/>
      </c>
      <c r="AE113" s="66" t="str">
        <f aca="false">IF(SUM(I113:K113)&gt;0, ( IF(I113&gt;0,(I113-AD113)^2,0) + IF(J113&gt;0,(J113-AD113)^2,0) + IF(K113&gt;0,(K113-AD113)^2,0) ) / COUNT(I113:K113),"")</f>
        <v/>
      </c>
      <c r="AF113" s="63" t="str">
        <f aca="false">IF(SUM(I113:K113)&gt;0,SQRT(AE113),"")</f>
        <v/>
      </c>
      <c r="AG113" s="63" t="str">
        <f aca="false">IF(COUNT(I113:K113)&gt;0,VLOOKUP(COUNT(I113:K113),$AX$2:$AZ$5,3)*(AF113/SQRT(COUNT(I113:K113))),"")</f>
        <v/>
      </c>
      <c r="AH113" s="63" t="str">
        <f aca="false">IF(COUNT(I113:K113)&gt;0,AD113-AG113,"")</f>
        <v/>
      </c>
      <c r="AI113" s="63" t="str">
        <f aca="false">IF(COUNT(I113:K113)&gt;0,AD113+AG113,"")</f>
        <v/>
      </c>
      <c r="AJ113" s="64" t="str">
        <f aca="false">IF(COUNT(I113:K113)&gt;0,AF113/AD113,"")</f>
        <v/>
      </c>
      <c r="AK113" s="65" t="str">
        <f aca="false">IF(SUM(L113:N113)&gt;0,AVERAGE(L113:N113),"")</f>
        <v/>
      </c>
      <c r="AL113" s="66" t="str">
        <f aca="false">IF(SUM(L113:N113)&gt;0, ( IF(L113&gt;0,(L113-AK113)^2,0) + IF(M113&gt;0,(M113-AK113)^2,0) + IF(N113&gt;0,(N113-AK113)^2,0) ) / COUNT(L113:N113),"")</f>
        <v/>
      </c>
      <c r="AM113" s="63" t="str">
        <f aca="false">IF(SUM(L113:N113)&gt;0,SQRT(AL113),"")</f>
        <v/>
      </c>
      <c r="AN113" s="63" t="str">
        <f aca="false">IF(COUNT(L113:N113)&gt;0,VLOOKUP(COUNT(L113:N113),$AX$2:$AZ$5,3)*(AM113/SQRT(COUNT(L113:N113))),"")</f>
        <v/>
      </c>
      <c r="AO113" s="63" t="str">
        <f aca="false">IF(COUNT(L113:N113)&gt;0,AK113-AN113,"")</f>
        <v/>
      </c>
      <c r="AP113" s="63" t="str">
        <f aca="false">IF(COUNT(L113:N113)&gt;0,AK113+AN113,"")</f>
        <v/>
      </c>
      <c r="AQ113" s="64" t="str">
        <f aca="false">IF(COUNT(L113:N113)&gt;0,AM113/AK113,"")</f>
        <v/>
      </c>
    </row>
    <row r="114" customFormat="false" ht="12.8" hidden="false" customHeight="false" outlineLevel="0" collapsed="false">
      <c r="A114" s="56" t="s">
        <v>44</v>
      </c>
      <c r="B114" s="57" t="n">
        <v>5</v>
      </c>
      <c r="C114" s="56"/>
      <c r="D114" s="25"/>
      <c r="E114" s="57"/>
      <c r="F114" s="58"/>
      <c r="H114" s="59"/>
      <c r="I114" s="56"/>
      <c r="K114" s="57"/>
      <c r="L114" s="56"/>
      <c r="N114" s="57"/>
      <c r="O114" s="65" t="str">
        <f aca="false">IF(SUM(C114:E114)&gt;0,AVERAGE(C114:E114),"")</f>
        <v/>
      </c>
      <c r="P114" s="66" t="str">
        <f aca="false">IF(SUM(C114:E114)&gt;0, ( IF(C114&gt;0,(C114-O114)^2,0) + IF(D114&gt;0,(D114-O114)^2,0) + IF(E114&gt;0,(E114-O114)^2,0) ) / COUNT(C114:E114),"")</f>
        <v/>
      </c>
      <c r="Q114" s="63" t="str">
        <f aca="false">IF(SUM(C114:E114)&gt;0,SQRT(P114),"")</f>
        <v/>
      </c>
      <c r="R114" s="63" t="str">
        <f aca="false">IF(COUNT(C114:E114)&gt;0,VLOOKUP(COUNT(C114:E114),$AX$2:$AZ$5,3)*(Q114/SQRT(COUNT(C114:E114))),"")</f>
        <v/>
      </c>
      <c r="S114" s="63" t="str">
        <f aca="false">IF(COUNT(C114:E114)&gt;0,O114-R114,"")</f>
        <v/>
      </c>
      <c r="T114" s="63" t="str">
        <f aca="false">IF(COUNT(C114:E114)&gt;0,O114+R114,"")</f>
        <v/>
      </c>
      <c r="U114" s="64" t="str">
        <f aca="false">IF(COUNT(C114:E114)&gt;0,Q114/O114,"")</f>
        <v/>
      </c>
      <c r="V114" s="65" t="str">
        <f aca="false">IF(SUM(F114:H114)&gt;0,AVERAGE(F114:H114),"")</f>
        <v/>
      </c>
      <c r="W114" s="66" t="str">
        <f aca="false">IF(SUM(F114:H114)&gt;0, ( IF(F114&gt;0,(F114-V114)^2,0) + IF(G114&gt;0,(G114-V114)^2,0) + IF(H114&gt;0,(H114-V114)^2,0) ) / COUNT(F114:H114),"")</f>
        <v/>
      </c>
      <c r="X114" s="63" t="str">
        <f aca="false">IF(SUM(F114:H114)&gt;0,SQRT(W114),"")</f>
        <v/>
      </c>
      <c r="Y114" s="63" t="str">
        <f aca="false">IF(COUNT(F114:H114)&gt;0,VLOOKUP(COUNT(F114:H114),$AX$2:$AZ$5,3)*(X114/SQRT(COUNT(F114:H114))),"")</f>
        <v/>
      </c>
      <c r="Z114" s="63" t="str">
        <f aca="false">IF(COUNT(F114:H114)&gt;0,V114-Y114,"")</f>
        <v/>
      </c>
      <c r="AA114" s="63" t="str">
        <f aca="false">IF(COUNT(F114:H114)&gt;0,V114+Y114,"")</f>
        <v/>
      </c>
      <c r="AB114" s="64" t="str">
        <f aca="false">IF(COUNT(F114:H114)&gt;0,X114/V114,"")</f>
        <v/>
      </c>
      <c r="AC114" s="26"/>
      <c r="AD114" s="65" t="str">
        <f aca="false">IF(SUM(I114:K114)&gt;0,AVERAGE(I114:K114),"")</f>
        <v/>
      </c>
      <c r="AE114" s="66" t="str">
        <f aca="false">IF(SUM(I114:K114)&gt;0, ( IF(I114&gt;0,(I114-AD114)^2,0) + IF(J114&gt;0,(J114-AD114)^2,0) + IF(K114&gt;0,(K114-AD114)^2,0) ) / COUNT(I114:K114),"")</f>
        <v/>
      </c>
      <c r="AF114" s="63" t="str">
        <f aca="false">IF(SUM(I114:K114)&gt;0,SQRT(AE114),"")</f>
        <v/>
      </c>
      <c r="AG114" s="63" t="str">
        <f aca="false">IF(COUNT(I114:K114)&gt;0,VLOOKUP(COUNT(I114:K114),$AX$2:$AZ$5,3)*(AF114/SQRT(COUNT(I114:K114))),"")</f>
        <v/>
      </c>
      <c r="AH114" s="63" t="str">
        <f aca="false">IF(COUNT(I114:K114)&gt;0,AD114-AG114,"")</f>
        <v/>
      </c>
      <c r="AI114" s="63" t="str">
        <f aca="false">IF(COUNT(I114:K114)&gt;0,AD114+AG114,"")</f>
        <v/>
      </c>
      <c r="AJ114" s="64" t="str">
        <f aca="false">IF(COUNT(I114:K114)&gt;0,AF114/AD114,"")</f>
        <v/>
      </c>
      <c r="AK114" s="65" t="str">
        <f aca="false">IF(SUM(L114:N114)&gt;0,AVERAGE(L114:N114),"")</f>
        <v/>
      </c>
      <c r="AL114" s="66" t="str">
        <f aca="false">IF(SUM(L114:N114)&gt;0, ( IF(L114&gt;0,(L114-AK114)^2,0) + IF(M114&gt;0,(M114-AK114)^2,0) + IF(N114&gt;0,(N114-AK114)^2,0) ) / COUNT(L114:N114),"")</f>
        <v/>
      </c>
      <c r="AM114" s="63" t="str">
        <f aca="false">IF(SUM(L114:N114)&gt;0,SQRT(AL114),"")</f>
        <v/>
      </c>
      <c r="AN114" s="63" t="str">
        <f aca="false">IF(COUNT(L114:N114)&gt;0,VLOOKUP(COUNT(L114:N114),$AX$2:$AZ$5,3)*(AM114/SQRT(COUNT(L114:N114))),"")</f>
        <v/>
      </c>
      <c r="AO114" s="63" t="str">
        <f aca="false">IF(COUNT(L114:N114)&gt;0,AK114-AN114,"")</f>
        <v/>
      </c>
      <c r="AP114" s="63" t="str">
        <f aca="false">IF(COUNT(L114:N114)&gt;0,AK114+AN114,"")</f>
        <v/>
      </c>
      <c r="AQ114" s="64" t="str">
        <f aca="false">IF(COUNT(L114:N114)&gt;0,AM114/AK114,"")</f>
        <v/>
      </c>
    </row>
    <row r="115" customFormat="false" ht="12.8" hidden="false" customHeight="false" outlineLevel="0" collapsed="false">
      <c r="A115" s="56" t="s">
        <v>44</v>
      </c>
      <c r="B115" s="57" t="n">
        <v>10</v>
      </c>
      <c r="C115" s="56"/>
      <c r="D115" s="25"/>
      <c r="E115" s="57"/>
      <c r="F115" s="58"/>
      <c r="H115" s="59"/>
      <c r="I115" s="56"/>
      <c r="K115" s="57"/>
      <c r="L115" s="56"/>
      <c r="N115" s="57"/>
      <c r="O115" s="65" t="str">
        <f aca="false">IF(SUM(C115:E115)&gt;0,AVERAGE(C115:E115),"")</f>
        <v/>
      </c>
      <c r="P115" s="66" t="str">
        <f aca="false">IF(SUM(C115:E115)&gt;0, ( IF(C115&gt;0,(C115-O115)^2,0) + IF(D115&gt;0,(D115-O115)^2,0) + IF(E115&gt;0,(E115-O115)^2,0) ) / COUNT(C115:E115),"")</f>
        <v/>
      </c>
      <c r="Q115" s="63" t="str">
        <f aca="false">IF(SUM(C115:E115)&gt;0,SQRT(P115),"")</f>
        <v/>
      </c>
      <c r="R115" s="63" t="str">
        <f aca="false">IF(COUNT(C115:E115)&gt;0,VLOOKUP(COUNT(C115:E115),$AX$2:$AZ$5,3)*(Q115/SQRT(COUNT(C115:E115))),"")</f>
        <v/>
      </c>
      <c r="S115" s="63" t="str">
        <f aca="false">IF(COUNT(C115:E115)&gt;0,O115-R115,"")</f>
        <v/>
      </c>
      <c r="T115" s="63" t="str">
        <f aca="false">IF(COUNT(C115:E115)&gt;0,O115+R115,"")</f>
        <v/>
      </c>
      <c r="U115" s="64" t="str">
        <f aca="false">IF(COUNT(C115:E115)&gt;0,Q115/O115,"")</f>
        <v/>
      </c>
      <c r="V115" s="65" t="str">
        <f aca="false">IF(SUM(F115:H115)&gt;0,AVERAGE(F115:H115),"")</f>
        <v/>
      </c>
      <c r="W115" s="66" t="str">
        <f aca="false">IF(SUM(F115:H115)&gt;0, ( IF(F115&gt;0,(F115-V115)^2,0) + IF(G115&gt;0,(G115-V115)^2,0) + IF(H115&gt;0,(H115-V115)^2,0) ) / COUNT(F115:H115),"")</f>
        <v/>
      </c>
      <c r="X115" s="63" t="str">
        <f aca="false">IF(SUM(F115:H115)&gt;0,SQRT(W115),"")</f>
        <v/>
      </c>
      <c r="Y115" s="63" t="str">
        <f aca="false">IF(COUNT(F115:H115)&gt;0,VLOOKUP(COUNT(F115:H115),$AX$2:$AZ$5,3)*(X115/SQRT(COUNT(F115:H115))),"")</f>
        <v/>
      </c>
      <c r="Z115" s="63" t="str">
        <f aca="false">IF(COUNT(F115:H115)&gt;0,V115-Y115,"")</f>
        <v/>
      </c>
      <c r="AA115" s="63" t="str">
        <f aca="false">IF(COUNT(F115:H115)&gt;0,V115+Y115,"")</f>
        <v/>
      </c>
      <c r="AB115" s="64" t="str">
        <f aca="false">IF(COUNT(F115:H115)&gt;0,X115/V115,"")</f>
        <v/>
      </c>
      <c r="AC115" s="26"/>
      <c r="AD115" s="65" t="str">
        <f aca="false">IF(SUM(I115:K115)&gt;0,AVERAGE(I115:K115),"")</f>
        <v/>
      </c>
      <c r="AE115" s="66" t="str">
        <f aca="false">IF(SUM(I115:K115)&gt;0, ( IF(I115&gt;0,(I115-AD115)^2,0) + IF(J115&gt;0,(J115-AD115)^2,0) + IF(K115&gt;0,(K115-AD115)^2,0) ) / COUNT(I115:K115),"")</f>
        <v/>
      </c>
      <c r="AF115" s="63" t="str">
        <f aca="false">IF(SUM(I115:K115)&gt;0,SQRT(AE115),"")</f>
        <v/>
      </c>
      <c r="AG115" s="63" t="str">
        <f aca="false">IF(COUNT(I115:K115)&gt;0,VLOOKUP(COUNT(I115:K115),$AX$2:$AZ$5,3)*(AF115/SQRT(COUNT(I115:K115))),"")</f>
        <v/>
      </c>
      <c r="AH115" s="63" t="str">
        <f aca="false">IF(COUNT(I115:K115)&gt;0,AD115-AG115,"")</f>
        <v/>
      </c>
      <c r="AI115" s="63" t="str">
        <f aca="false">IF(COUNT(I115:K115)&gt;0,AD115+AG115,"")</f>
        <v/>
      </c>
      <c r="AJ115" s="64" t="str">
        <f aca="false">IF(COUNT(I115:K115)&gt;0,AF115/AD115,"")</f>
        <v/>
      </c>
      <c r="AK115" s="65" t="str">
        <f aca="false">IF(SUM(L115:N115)&gt;0,AVERAGE(L115:N115),"")</f>
        <v/>
      </c>
      <c r="AL115" s="66" t="str">
        <f aca="false">IF(SUM(L115:N115)&gt;0, ( IF(L115&gt;0,(L115-AK115)^2,0) + IF(M115&gt;0,(M115-AK115)^2,0) + IF(N115&gt;0,(N115-AK115)^2,0) ) / COUNT(L115:N115),"")</f>
        <v/>
      </c>
      <c r="AM115" s="63" t="str">
        <f aca="false">IF(SUM(L115:N115)&gt;0,SQRT(AL115),"")</f>
        <v/>
      </c>
      <c r="AN115" s="63" t="str">
        <f aca="false">IF(COUNT(L115:N115)&gt;0,VLOOKUP(COUNT(L115:N115),$AX$2:$AZ$5,3)*(AM115/SQRT(COUNT(L115:N115))),"")</f>
        <v/>
      </c>
      <c r="AO115" s="63" t="str">
        <f aca="false">IF(COUNT(L115:N115)&gt;0,AK115-AN115,"")</f>
        <v/>
      </c>
      <c r="AP115" s="63" t="str">
        <f aca="false">IF(COUNT(L115:N115)&gt;0,AK115+AN115,"")</f>
        <v/>
      </c>
      <c r="AQ115" s="64" t="str">
        <f aca="false">IF(COUNT(L115:N115)&gt;0,AM115/AK115,"")</f>
        <v/>
      </c>
    </row>
    <row r="116" customFormat="false" ht="12.8" hidden="false" customHeight="false" outlineLevel="0" collapsed="false">
      <c r="A116" s="56" t="s">
        <v>44</v>
      </c>
      <c r="B116" s="57" t="n">
        <v>15</v>
      </c>
      <c r="C116" s="56"/>
      <c r="D116" s="25"/>
      <c r="E116" s="57"/>
      <c r="F116" s="58"/>
      <c r="H116" s="59"/>
      <c r="I116" s="56"/>
      <c r="K116" s="57"/>
      <c r="L116" s="56"/>
      <c r="N116" s="57"/>
      <c r="O116" s="65" t="str">
        <f aca="false">IF(SUM(C116:E116)&gt;0,AVERAGE(C116:E116),"")</f>
        <v/>
      </c>
      <c r="P116" s="66" t="str">
        <f aca="false">IF(SUM(C116:E116)&gt;0, ( IF(C116&gt;0,(C116-O116)^2,0) + IF(D116&gt;0,(D116-O116)^2,0) + IF(E116&gt;0,(E116-O116)^2,0) ) / COUNT(C116:E116),"")</f>
        <v/>
      </c>
      <c r="Q116" s="63" t="str">
        <f aca="false">IF(SUM(C116:E116)&gt;0,SQRT(P116),"")</f>
        <v/>
      </c>
      <c r="R116" s="63" t="str">
        <f aca="false">IF(COUNT(C116:E116)&gt;0,VLOOKUP(COUNT(C116:E116),$AX$2:$AZ$5,3)*(Q116/SQRT(COUNT(C116:E116))),"")</f>
        <v/>
      </c>
      <c r="S116" s="63" t="str">
        <f aca="false">IF(COUNT(C116:E116)&gt;0,O116-R116,"")</f>
        <v/>
      </c>
      <c r="T116" s="63" t="str">
        <f aca="false">IF(COUNT(C116:E116)&gt;0,O116+R116,"")</f>
        <v/>
      </c>
      <c r="U116" s="64" t="str">
        <f aca="false">IF(COUNT(C116:E116)&gt;0,Q116/O116,"")</f>
        <v/>
      </c>
      <c r="V116" s="65" t="str">
        <f aca="false">IF(SUM(F116:H116)&gt;0,AVERAGE(F116:H116),"")</f>
        <v/>
      </c>
      <c r="W116" s="66" t="str">
        <f aca="false">IF(SUM(F116:H116)&gt;0, ( IF(F116&gt;0,(F116-V116)^2,0) + IF(G116&gt;0,(G116-V116)^2,0) + IF(H116&gt;0,(H116-V116)^2,0) ) / COUNT(F116:H116),"")</f>
        <v/>
      </c>
      <c r="X116" s="63" t="str">
        <f aca="false">IF(SUM(F116:H116)&gt;0,SQRT(W116),"")</f>
        <v/>
      </c>
      <c r="Y116" s="63" t="str">
        <f aca="false">IF(COUNT(F116:H116)&gt;0,VLOOKUP(COUNT(F116:H116),$AX$2:$AZ$5,3)*(X116/SQRT(COUNT(F116:H116))),"")</f>
        <v/>
      </c>
      <c r="Z116" s="63" t="str">
        <f aca="false">IF(COUNT(F116:H116)&gt;0,V116-Y116,"")</f>
        <v/>
      </c>
      <c r="AA116" s="63" t="str">
        <f aca="false">IF(COUNT(F116:H116)&gt;0,V116+Y116,"")</f>
        <v/>
      </c>
      <c r="AB116" s="64" t="str">
        <f aca="false">IF(COUNT(F116:H116)&gt;0,X116/V116,"")</f>
        <v/>
      </c>
      <c r="AC116" s="26"/>
      <c r="AD116" s="65" t="str">
        <f aca="false">IF(SUM(I116:K116)&gt;0,AVERAGE(I116:K116),"")</f>
        <v/>
      </c>
      <c r="AE116" s="66" t="str">
        <f aca="false">IF(SUM(I116:K116)&gt;0, ( IF(I116&gt;0,(I116-AD116)^2,0) + IF(J116&gt;0,(J116-AD116)^2,0) + IF(K116&gt;0,(K116-AD116)^2,0) ) / COUNT(I116:K116),"")</f>
        <v/>
      </c>
      <c r="AF116" s="63" t="str">
        <f aca="false">IF(SUM(I116:K116)&gt;0,SQRT(AE116),"")</f>
        <v/>
      </c>
      <c r="AG116" s="63" t="str">
        <f aca="false">IF(COUNT(I116:K116)&gt;0,VLOOKUP(COUNT(I116:K116),$AX$2:$AZ$5,3)*(AF116/SQRT(COUNT(I116:K116))),"")</f>
        <v/>
      </c>
      <c r="AH116" s="63" t="str">
        <f aca="false">IF(COUNT(I116:K116)&gt;0,AD116-AG116,"")</f>
        <v/>
      </c>
      <c r="AI116" s="63" t="str">
        <f aca="false">IF(COUNT(I116:K116)&gt;0,AD116+AG116,"")</f>
        <v/>
      </c>
      <c r="AJ116" s="64" t="str">
        <f aca="false">IF(COUNT(I116:K116)&gt;0,AF116/AD116,"")</f>
        <v/>
      </c>
      <c r="AK116" s="65" t="str">
        <f aca="false">IF(SUM(L116:N116)&gt;0,AVERAGE(L116:N116),"")</f>
        <v/>
      </c>
      <c r="AL116" s="66" t="str">
        <f aca="false">IF(SUM(L116:N116)&gt;0, ( IF(L116&gt;0,(L116-AK116)^2,0) + IF(M116&gt;0,(M116-AK116)^2,0) + IF(N116&gt;0,(N116-AK116)^2,0) ) / COUNT(L116:N116),"")</f>
        <v/>
      </c>
      <c r="AM116" s="63" t="str">
        <f aca="false">IF(SUM(L116:N116)&gt;0,SQRT(AL116),"")</f>
        <v/>
      </c>
      <c r="AN116" s="63" t="str">
        <f aca="false">IF(COUNT(L116:N116)&gt;0,VLOOKUP(COUNT(L116:N116),$AX$2:$AZ$5,3)*(AM116/SQRT(COUNT(L116:N116))),"")</f>
        <v/>
      </c>
      <c r="AO116" s="63" t="str">
        <f aca="false">IF(COUNT(L116:N116)&gt;0,AK116-AN116,"")</f>
        <v/>
      </c>
      <c r="AP116" s="63" t="str">
        <f aca="false">IF(COUNT(L116:N116)&gt;0,AK116+AN116,"")</f>
        <v/>
      </c>
      <c r="AQ116" s="64" t="str">
        <f aca="false">IF(COUNT(L116:N116)&gt;0,AM116/AK116,"")</f>
        <v/>
      </c>
    </row>
    <row r="117" customFormat="false" ht="12.8" hidden="false" customHeight="false" outlineLevel="0" collapsed="false">
      <c r="A117" s="56" t="s">
        <v>44</v>
      </c>
      <c r="B117" s="57" t="n">
        <v>20</v>
      </c>
      <c r="C117" s="56"/>
      <c r="D117" s="25"/>
      <c r="E117" s="57"/>
      <c r="F117" s="58"/>
      <c r="H117" s="59"/>
      <c r="I117" s="56"/>
      <c r="K117" s="57"/>
      <c r="L117" s="56"/>
      <c r="N117" s="57"/>
      <c r="O117" s="65" t="str">
        <f aca="false">IF(SUM(C117:E117)&gt;0,AVERAGE(C117:E117),"")</f>
        <v/>
      </c>
      <c r="P117" s="66" t="str">
        <f aca="false">IF(SUM(C117:E117)&gt;0, ( IF(C117&gt;0,(C117-O117)^2,0) + IF(D117&gt;0,(D117-O117)^2,0) + IF(E117&gt;0,(E117-O117)^2,0) ) / COUNT(C117:E117),"")</f>
        <v/>
      </c>
      <c r="Q117" s="63" t="str">
        <f aca="false">IF(SUM(C117:E117)&gt;0,SQRT(P117),"")</f>
        <v/>
      </c>
      <c r="R117" s="63" t="str">
        <f aca="false">IF(COUNT(C117:E117)&gt;0,VLOOKUP(COUNT(C117:E117),$AX$2:$AZ$5,3)*(Q117/SQRT(COUNT(C117:E117))),"")</f>
        <v/>
      </c>
      <c r="S117" s="63" t="str">
        <f aca="false">IF(COUNT(C117:E117)&gt;0,O117-R117,"")</f>
        <v/>
      </c>
      <c r="T117" s="63" t="str">
        <f aca="false">IF(COUNT(C117:E117)&gt;0,O117+R117,"")</f>
        <v/>
      </c>
      <c r="U117" s="64" t="str">
        <f aca="false">IF(COUNT(C117:E117)&gt;0,Q117/O117,"")</f>
        <v/>
      </c>
      <c r="V117" s="65" t="str">
        <f aca="false">IF(SUM(F117:H117)&gt;0,AVERAGE(F117:H117),"")</f>
        <v/>
      </c>
      <c r="W117" s="66" t="str">
        <f aca="false">IF(SUM(F117:H117)&gt;0, ( IF(F117&gt;0,(F117-V117)^2,0) + IF(G117&gt;0,(G117-V117)^2,0) + IF(H117&gt;0,(H117-V117)^2,0) ) / COUNT(F117:H117),"")</f>
        <v/>
      </c>
      <c r="X117" s="63" t="str">
        <f aca="false">IF(SUM(F117:H117)&gt;0,SQRT(W117),"")</f>
        <v/>
      </c>
      <c r="Y117" s="63" t="str">
        <f aca="false">IF(COUNT(F117:H117)&gt;0,VLOOKUP(COUNT(F117:H117),$AX$2:$AZ$5,3)*(X117/SQRT(COUNT(F117:H117))),"")</f>
        <v/>
      </c>
      <c r="Z117" s="63" t="str">
        <f aca="false">IF(COUNT(F117:H117)&gt;0,V117-Y117,"")</f>
        <v/>
      </c>
      <c r="AA117" s="63" t="str">
        <f aca="false">IF(COUNT(F117:H117)&gt;0,V117+Y117,"")</f>
        <v/>
      </c>
      <c r="AB117" s="64" t="str">
        <f aca="false">IF(COUNT(F117:H117)&gt;0,X117/V117,"")</f>
        <v/>
      </c>
      <c r="AC117" s="26"/>
      <c r="AD117" s="65" t="str">
        <f aca="false">IF(SUM(I117:K117)&gt;0,AVERAGE(I117:K117),"")</f>
        <v/>
      </c>
      <c r="AE117" s="66" t="str">
        <f aca="false">IF(SUM(I117:K117)&gt;0, ( IF(I117&gt;0,(I117-AD117)^2,0) + IF(J117&gt;0,(J117-AD117)^2,0) + IF(K117&gt;0,(K117-AD117)^2,0) ) / COUNT(I117:K117),"")</f>
        <v/>
      </c>
      <c r="AF117" s="63" t="str">
        <f aca="false">IF(SUM(I117:K117)&gt;0,SQRT(AE117),"")</f>
        <v/>
      </c>
      <c r="AG117" s="63" t="str">
        <f aca="false">IF(COUNT(I117:K117)&gt;0,VLOOKUP(COUNT(I117:K117),$AX$2:$AZ$5,3)*(AF117/SQRT(COUNT(I117:K117))),"")</f>
        <v/>
      </c>
      <c r="AH117" s="63" t="str">
        <f aca="false">IF(COUNT(I117:K117)&gt;0,AD117-AG117,"")</f>
        <v/>
      </c>
      <c r="AI117" s="63" t="str">
        <f aca="false">IF(COUNT(I117:K117)&gt;0,AD117+AG117,"")</f>
        <v/>
      </c>
      <c r="AJ117" s="64" t="str">
        <f aca="false">IF(COUNT(I117:K117)&gt;0,AF117/AD117,"")</f>
        <v/>
      </c>
      <c r="AK117" s="65" t="str">
        <f aca="false">IF(SUM(L117:N117)&gt;0,AVERAGE(L117:N117),"")</f>
        <v/>
      </c>
      <c r="AL117" s="66" t="str">
        <f aca="false">IF(SUM(L117:N117)&gt;0, ( IF(L117&gt;0,(L117-AK117)^2,0) + IF(M117&gt;0,(M117-AK117)^2,0) + IF(N117&gt;0,(N117-AK117)^2,0) ) / COUNT(L117:N117),"")</f>
        <v/>
      </c>
      <c r="AM117" s="63" t="str">
        <f aca="false">IF(SUM(L117:N117)&gt;0,SQRT(AL117),"")</f>
        <v/>
      </c>
      <c r="AN117" s="63" t="str">
        <f aca="false">IF(COUNT(L117:N117)&gt;0,VLOOKUP(COUNT(L117:N117),$AX$2:$AZ$5,3)*(AM117/SQRT(COUNT(L117:N117))),"")</f>
        <v/>
      </c>
      <c r="AO117" s="63" t="str">
        <f aca="false">IF(COUNT(L117:N117)&gt;0,AK117-AN117,"")</f>
        <v/>
      </c>
      <c r="AP117" s="63" t="str">
        <f aca="false">IF(COUNT(L117:N117)&gt;0,AK117+AN117,"")</f>
        <v/>
      </c>
      <c r="AQ117" s="64" t="str">
        <f aca="false">IF(COUNT(L117:N117)&gt;0,AM117/AK117,"")</f>
        <v/>
      </c>
    </row>
    <row r="118" customFormat="false" ht="12.8" hidden="false" customHeight="false" outlineLevel="0" collapsed="false">
      <c r="A118" s="56" t="s">
        <v>44</v>
      </c>
      <c r="B118" s="57" t="n">
        <v>30</v>
      </c>
      <c r="C118" s="56"/>
      <c r="D118" s="25"/>
      <c r="E118" s="57"/>
      <c r="F118" s="58"/>
      <c r="H118" s="59"/>
      <c r="I118" s="56"/>
      <c r="K118" s="57"/>
      <c r="L118" s="56"/>
      <c r="N118" s="57"/>
      <c r="O118" s="65" t="str">
        <f aca="false">IF(SUM(C118:E118)&gt;0,AVERAGE(C118:E118),"")</f>
        <v/>
      </c>
      <c r="P118" s="66" t="str">
        <f aca="false">IF(SUM(C118:E118)&gt;0, ( IF(C118&gt;0,(C118-O118)^2,0) + IF(D118&gt;0,(D118-O118)^2,0) + IF(E118&gt;0,(E118-O118)^2,0) ) / COUNT(C118:E118),"")</f>
        <v/>
      </c>
      <c r="Q118" s="63" t="str">
        <f aca="false">IF(SUM(C118:E118)&gt;0,SQRT(P118),"")</f>
        <v/>
      </c>
      <c r="R118" s="63" t="str">
        <f aca="false">IF(COUNT(C118:E118)&gt;0,VLOOKUP(COUNT(C118:E118),$AX$2:$AZ$5,3)*(Q118/SQRT(COUNT(C118:E118))),"")</f>
        <v/>
      </c>
      <c r="S118" s="63" t="str">
        <f aca="false">IF(COUNT(C118:E118)&gt;0,O118-R118,"")</f>
        <v/>
      </c>
      <c r="T118" s="63" t="str">
        <f aca="false">IF(COUNT(C118:E118)&gt;0,O118+R118,"")</f>
        <v/>
      </c>
      <c r="U118" s="64" t="str">
        <f aca="false">IF(COUNT(C118:E118)&gt;0,Q118/O118,"")</f>
        <v/>
      </c>
      <c r="V118" s="65" t="str">
        <f aca="false">IF(SUM(F118:H118)&gt;0,AVERAGE(F118:H118),"")</f>
        <v/>
      </c>
      <c r="W118" s="66" t="str">
        <f aca="false">IF(SUM(F118:H118)&gt;0, ( IF(F118&gt;0,(F118-V118)^2,0) + IF(G118&gt;0,(G118-V118)^2,0) + IF(H118&gt;0,(H118-V118)^2,0) ) / COUNT(F118:H118),"")</f>
        <v/>
      </c>
      <c r="X118" s="63" t="str">
        <f aca="false">IF(SUM(F118:H118)&gt;0,SQRT(W118),"")</f>
        <v/>
      </c>
      <c r="Y118" s="63" t="str">
        <f aca="false">IF(COUNT(F118:H118)&gt;0,VLOOKUP(COUNT(F118:H118),$AX$2:$AZ$5,3)*(X118/SQRT(COUNT(F118:H118))),"")</f>
        <v/>
      </c>
      <c r="Z118" s="63" t="str">
        <f aca="false">IF(COUNT(F118:H118)&gt;0,V118-Y118,"")</f>
        <v/>
      </c>
      <c r="AA118" s="63" t="str">
        <f aca="false">IF(COUNT(F118:H118)&gt;0,V118+Y118,"")</f>
        <v/>
      </c>
      <c r="AB118" s="64" t="str">
        <f aca="false">IF(COUNT(F118:H118)&gt;0,X118/V118,"")</f>
        <v/>
      </c>
      <c r="AC118" s="26"/>
      <c r="AD118" s="65" t="str">
        <f aca="false">IF(SUM(I118:K118)&gt;0,AVERAGE(I118:K118),"")</f>
        <v/>
      </c>
      <c r="AE118" s="66" t="str">
        <f aca="false">IF(SUM(I118:K118)&gt;0, ( IF(I118&gt;0,(I118-AD118)^2,0) + IF(J118&gt;0,(J118-AD118)^2,0) + IF(K118&gt;0,(K118-AD118)^2,0) ) / COUNT(I118:K118),"")</f>
        <v/>
      </c>
      <c r="AF118" s="63" t="str">
        <f aca="false">IF(SUM(I118:K118)&gt;0,SQRT(AE118),"")</f>
        <v/>
      </c>
      <c r="AG118" s="63" t="str">
        <f aca="false">IF(COUNT(I118:K118)&gt;0,VLOOKUP(COUNT(I118:K118),$AX$2:$AZ$5,3)*(AF118/SQRT(COUNT(I118:K118))),"")</f>
        <v/>
      </c>
      <c r="AH118" s="63" t="str">
        <f aca="false">IF(COUNT(I118:K118)&gt;0,AD118-AG118,"")</f>
        <v/>
      </c>
      <c r="AI118" s="63" t="str">
        <f aca="false">IF(COUNT(I118:K118)&gt;0,AD118+AG118,"")</f>
        <v/>
      </c>
      <c r="AJ118" s="64" t="str">
        <f aca="false">IF(COUNT(I118:K118)&gt;0,AF118/AD118,"")</f>
        <v/>
      </c>
      <c r="AK118" s="65" t="str">
        <f aca="false">IF(SUM(L118:N118)&gt;0,AVERAGE(L118:N118),"")</f>
        <v/>
      </c>
      <c r="AL118" s="66" t="str">
        <f aca="false">IF(SUM(L118:N118)&gt;0, ( IF(L118&gt;0,(L118-AK118)^2,0) + IF(M118&gt;0,(M118-AK118)^2,0) + IF(N118&gt;0,(N118-AK118)^2,0) ) / COUNT(L118:N118),"")</f>
        <v/>
      </c>
      <c r="AM118" s="63" t="str">
        <f aca="false">IF(SUM(L118:N118)&gt;0,SQRT(AL118),"")</f>
        <v/>
      </c>
      <c r="AN118" s="63" t="str">
        <f aca="false">IF(COUNT(L118:N118)&gt;0,VLOOKUP(COUNT(L118:N118),$AX$2:$AZ$5,3)*(AM118/SQRT(COUNT(L118:N118))),"")</f>
        <v/>
      </c>
      <c r="AO118" s="63" t="str">
        <f aca="false">IF(COUNT(L118:N118)&gt;0,AK118-AN118,"")</f>
        <v/>
      </c>
      <c r="AP118" s="63" t="str">
        <f aca="false">IF(COUNT(L118:N118)&gt;0,AK118+AN118,"")</f>
        <v/>
      </c>
      <c r="AQ118" s="64" t="str">
        <f aca="false">IF(COUNT(L118:N118)&gt;0,AM118/AK118,"")</f>
        <v/>
      </c>
    </row>
    <row r="119" customFormat="false" ht="12.8" hidden="false" customHeight="false" outlineLevel="0" collapsed="false">
      <c r="A119" s="56" t="s">
        <v>44</v>
      </c>
      <c r="B119" s="57" t="n">
        <v>40</v>
      </c>
      <c r="C119" s="56"/>
      <c r="D119" s="25"/>
      <c r="E119" s="57" t="n">
        <v>2649</v>
      </c>
      <c r="F119" s="58"/>
      <c r="H119" s="59"/>
      <c r="I119" s="56"/>
      <c r="K119" s="57"/>
      <c r="L119" s="56"/>
      <c r="N119" s="57"/>
      <c r="O119" s="65" t="n">
        <f aca="false">IF(SUM(C119:E119)&gt;0,AVERAGE(C119:E119),"")</f>
        <v>2649</v>
      </c>
      <c r="P119" s="66" t="n">
        <f aca="false">IF(SUM(C119:E119)&gt;0, ( IF(C119&gt;0,(C119-O119)^2,0) + IF(D119&gt;0,(D119-O119)^2,0) + IF(E119&gt;0,(E119-O119)^2,0) ) / COUNT(C119:E119),"")</f>
        <v>0</v>
      </c>
      <c r="Q119" s="63" t="n">
        <f aca="false">IF(SUM(C119:E119)&gt;0,SQRT(P119),"")</f>
        <v>0</v>
      </c>
      <c r="R119" s="63" t="n">
        <f aca="false">IF(COUNT(C119:E119)&gt;0,VLOOKUP(COUNT(C119:E119),$AX$2:$AZ$5,3)*(Q119/SQRT(COUNT(C119:E119))),"")</f>
        <v>0</v>
      </c>
      <c r="S119" s="63" t="n">
        <f aca="false">IF(COUNT(C119:E119)&gt;0,O119-R119,"")</f>
        <v>2649</v>
      </c>
      <c r="T119" s="63" t="n">
        <f aca="false">IF(COUNT(C119:E119)&gt;0,O119+R119,"")</f>
        <v>2649</v>
      </c>
      <c r="U119" s="64" t="n">
        <f aca="false">IF(COUNT(C119:E119)&gt;0,Q119/O119,"")</f>
        <v>0</v>
      </c>
      <c r="V119" s="65" t="str">
        <f aca="false">IF(SUM(F119:H119)&gt;0,AVERAGE(F119:H119),"")</f>
        <v/>
      </c>
      <c r="W119" s="66" t="str">
        <f aca="false">IF(SUM(F119:H119)&gt;0, ( IF(F119&gt;0,(F119-V119)^2,0) + IF(G119&gt;0,(G119-V119)^2,0) + IF(H119&gt;0,(H119-V119)^2,0) ) / COUNT(F119:H119),"")</f>
        <v/>
      </c>
      <c r="X119" s="63" t="str">
        <f aca="false">IF(SUM(F119:H119)&gt;0,SQRT(W119),"")</f>
        <v/>
      </c>
      <c r="Y119" s="63" t="str">
        <f aca="false">IF(COUNT(F119:H119)&gt;0,VLOOKUP(COUNT(F119:H119),$AX$2:$AZ$5,3)*(X119/SQRT(COUNT(F119:H119))),"")</f>
        <v/>
      </c>
      <c r="Z119" s="63" t="str">
        <f aca="false">IF(COUNT(F119:H119)&gt;0,V119-Y119,"")</f>
        <v/>
      </c>
      <c r="AA119" s="63" t="str">
        <f aca="false">IF(COUNT(F119:H119)&gt;0,V119+Y119,"")</f>
        <v/>
      </c>
      <c r="AB119" s="64" t="str">
        <f aca="false">IF(COUNT(F119:H119)&gt;0,X119/V119,"")</f>
        <v/>
      </c>
      <c r="AC119" s="26"/>
      <c r="AD119" s="65" t="str">
        <f aca="false">IF(SUM(I119:K119)&gt;0,AVERAGE(I119:K119),"")</f>
        <v/>
      </c>
      <c r="AE119" s="66" t="str">
        <f aca="false">IF(SUM(I119:K119)&gt;0, ( IF(I119&gt;0,(I119-AD119)^2,0) + IF(J119&gt;0,(J119-AD119)^2,0) + IF(K119&gt;0,(K119-AD119)^2,0) ) / COUNT(I119:K119),"")</f>
        <v/>
      </c>
      <c r="AF119" s="63" t="str">
        <f aca="false">IF(SUM(I119:K119)&gt;0,SQRT(AE119),"")</f>
        <v/>
      </c>
      <c r="AG119" s="63" t="str">
        <f aca="false">IF(COUNT(I119:K119)&gt;0,VLOOKUP(COUNT(I119:K119),$AX$2:$AZ$5,3)*(AF119/SQRT(COUNT(I119:K119))),"")</f>
        <v/>
      </c>
      <c r="AH119" s="63" t="str">
        <f aca="false">IF(COUNT(I119:K119)&gt;0,AD119-AG119,"")</f>
        <v/>
      </c>
      <c r="AI119" s="63" t="str">
        <f aca="false">IF(COUNT(I119:K119)&gt;0,AD119+AG119,"")</f>
        <v/>
      </c>
      <c r="AJ119" s="64" t="str">
        <f aca="false">IF(COUNT(I119:K119)&gt;0,AF119/AD119,"")</f>
        <v/>
      </c>
      <c r="AK119" s="65" t="str">
        <f aca="false">IF(SUM(L119:N119)&gt;0,AVERAGE(L119:N119),"")</f>
        <v/>
      </c>
      <c r="AL119" s="66" t="str">
        <f aca="false">IF(SUM(L119:N119)&gt;0, ( IF(L119&gt;0,(L119-AK119)^2,0) + IF(M119&gt;0,(M119-AK119)^2,0) + IF(N119&gt;0,(N119-AK119)^2,0) ) / COUNT(L119:N119),"")</f>
        <v/>
      </c>
      <c r="AM119" s="63" t="str">
        <f aca="false">IF(SUM(L119:N119)&gt;0,SQRT(AL119),"")</f>
        <v/>
      </c>
      <c r="AN119" s="63" t="str">
        <f aca="false">IF(COUNT(L119:N119)&gt;0,VLOOKUP(COUNT(L119:N119),$AX$2:$AZ$5,3)*(AM119/SQRT(COUNT(L119:N119))),"")</f>
        <v/>
      </c>
      <c r="AO119" s="63" t="str">
        <f aca="false">IF(COUNT(L119:N119)&gt;0,AK119-AN119,"")</f>
        <v/>
      </c>
      <c r="AP119" s="63" t="str">
        <f aca="false">IF(COUNT(L119:N119)&gt;0,AK119+AN119,"")</f>
        <v/>
      </c>
      <c r="AQ119" s="64" t="str">
        <f aca="false">IF(COUNT(L119:N119)&gt;0,AM119/AK119,"")</f>
        <v/>
      </c>
    </row>
    <row r="120" customFormat="false" ht="12.8" hidden="false" customHeight="false" outlineLevel="0" collapsed="false">
      <c r="A120" s="56" t="s">
        <v>44</v>
      </c>
      <c r="B120" s="57" t="n">
        <v>50</v>
      </c>
      <c r="C120" s="56"/>
      <c r="D120" s="25"/>
      <c r="E120" s="57" t="n">
        <v>1861</v>
      </c>
      <c r="F120" s="58"/>
      <c r="H120" s="59"/>
      <c r="I120" s="56"/>
      <c r="K120" s="57"/>
      <c r="L120" s="56"/>
      <c r="N120" s="57"/>
      <c r="O120" s="65" t="n">
        <f aca="false">IF(SUM(C120:E120)&gt;0,AVERAGE(C120:E120),"")</f>
        <v>1861</v>
      </c>
      <c r="P120" s="66" t="n">
        <f aca="false">IF(SUM(C120:E120)&gt;0, ( IF(C120&gt;0,(C120-O120)^2,0) + IF(D120&gt;0,(D120-O120)^2,0) + IF(E120&gt;0,(E120-O120)^2,0) ) / COUNT(C120:E120),"")</f>
        <v>0</v>
      </c>
      <c r="Q120" s="63" t="n">
        <f aca="false">IF(SUM(C120:E120)&gt;0,SQRT(P120),"")</f>
        <v>0</v>
      </c>
      <c r="R120" s="63" t="n">
        <f aca="false">IF(COUNT(C120:E120)&gt;0,VLOOKUP(COUNT(C120:E120),$AX$2:$AZ$5,3)*(Q120/SQRT(COUNT(C120:E120))),"")</f>
        <v>0</v>
      </c>
      <c r="S120" s="63" t="n">
        <f aca="false">IF(COUNT(C120:E120)&gt;0,O120-R120,"")</f>
        <v>1861</v>
      </c>
      <c r="T120" s="63" t="n">
        <f aca="false">IF(COUNT(C120:E120)&gt;0,O120+R120,"")</f>
        <v>1861</v>
      </c>
      <c r="U120" s="64" t="n">
        <f aca="false">IF(COUNT(C120:E120)&gt;0,Q120/O120,"")</f>
        <v>0</v>
      </c>
      <c r="V120" s="65" t="str">
        <f aca="false">IF(SUM(F120:H120)&gt;0,AVERAGE(F120:H120),"")</f>
        <v/>
      </c>
      <c r="W120" s="66" t="str">
        <f aca="false">IF(SUM(F120:H120)&gt;0, ( IF(F120&gt;0,(F120-V120)^2,0) + IF(G120&gt;0,(G120-V120)^2,0) + IF(H120&gt;0,(H120-V120)^2,0) ) / COUNT(F120:H120),"")</f>
        <v/>
      </c>
      <c r="X120" s="63" t="str">
        <f aca="false">IF(SUM(F120:H120)&gt;0,SQRT(W120),"")</f>
        <v/>
      </c>
      <c r="Y120" s="63" t="str">
        <f aca="false">IF(COUNT(F120:H120)&gt;0,VLOOKUP(COUNT(F120:H120),$AX$2:$AZ$5,3)*(X120/SQRT(COUNT(F120:H120))),"")</f>
        <v/>
      </c>
      <c r="Z120" s="63" t="str">
        <f aca="false">IF(COUNT(F120:H120)&gt;0,V120-Y120,"")</f>
        <v/>
      </c>
      <c r="AA120" s="63" t="str">
        <f aca="false">IF(COUNT(F120:H120)&gt;0,V120+Y120,"")</f>
        <v/>
      </c>
      <c r="AB120" s="64" t="str">
        <f aca="false">IF(COUNT(F120:H120)&gt;0,X120/V120,"")</f>
        <v/>
      </c>
      <c r="AC120" s="26"/>
      <c r="AD120" s="65" t="str">
        <f aca="false">IF(SUM(I120:K120)&gt;0,AVERAGE(I120:K120),"")</f>
        <v/>
      </c>
      <c r="AE120" s="66" t="str">
        <f aca="false">IF(SUM(I120:K120)&gt;0, ( IF(I120&gt;0,(I120-AD120)^2,0) + IF(J120&gt;0,(J120-AD120)^2,0) + IF(K120&gt;0,(K120-AD120)^2,0) ) / COUNT(I120:K120),"")</f>
        <v/>
      </c>
      <c r="AF120" s="63" t="str">
        <f aca="false">IF(SUM(I120:K120)&gt;0,SQRT(AE120),"")</f>
        <v/>
      </c>
      <c r="AG120" s="63" t="str">
        <f aca="false">IF(COUNT(I120:K120)&gt;0,VLOOKUP(COUNT(I120:K120),$AX$2:$AZ$5,3)*(AF120/SQRT(COUNT(I120:K120))),"")</f>
        <v/>
      </c>
      <c r="AH120" s="63" t="str">
        <f aca="false">IF(COUNT(I120:K120)&gt;0,AD120-AG120,"")</f>
        <v/>
      </c>
      <c r="AI120" s="63" t="str">
        <f aca="false">IF(COUNT(I120:K120)&gt;0,AD120+AG120,"")</f>
        <v/>
      </c>
      <c r="AJ120" s="64" t="str">
        <f aca="false">IF(COUNT(I120:K120)&gt;0,AF120/AD120,"")</f>
        <v/>
      </c>
      <c r="AK120" s="65" t="str">
        <f aca="false">IF(SUM(L120:N120)&gt;0,AVERAGE(L120:N120),"")</f>
        <v/>
      </c>
      <c r="AL120" s="66" t="str">
        <f aca="false">IF(SUM(L120:N120)&gt;0, ( IF(L120&gt;0,(L120-AK120)^2,0) + IF(M120&gt;0,(M120-AK120)^2,0) + IF(N120&gt;0,(N120-AK120)^2,0) ) / COUNT(L120:N120),"")</f>
        <v/>
      </c>
      <c r="AM120" s="63" t="str">
        <f aca="false">IF(SUM(L120:N120)&gt;0,SQRT(AL120),"")</f>
        <v/>
      </c>
      <c r="AN120" s="63" t="str">
        <f aca="false">IF(COUNT(L120:N120)&gt;0,VLOOKUP(COUNT(L120:N120),$AX$2:$AZ$5,3)*(AM120/SQRT(COUNT(L120:N120))),"")</f>
        <v/>
      </c>
      <c r="AO120" s="63" t="str">
        <f aca="false">IF(COUNT(L120:N120)&gt;0,AK120-AN120,"")</f>
        <v/>
      </c>
      <c r="AP120" s="63" t="str">
        <f aca="false">IF(COUNT(L120:N120)&gt;0,AK120+AN120,"")</f>
        <v/>
      </c>
      <c r="AQ120" s="64" t="str">
        <f aca="false">IF(COUNT(L120:N120)&gt;0,AM120/AK120,"")</f>
        <v/>
      </c>
    </row>
    <row r="121" customFormat="false" ht="12.8" hidden="false" customHeight="false" outlineLevel="0" collapsed="false">
      <c r="A121" s="56" t="s">
        <v>44</v>
      </c>
      <c r="B121" s="57" t="n">
        <v>64</v>
      </c>
      <c r="C121" s="56" t="n">
        <v>1786</v>
      </c>
      <c r="D121" s="25"/>
      <c r="E121" s="57"/>
      <c r="F121" s="58"/>
      <c r="H121" s="59"/>
      <c r="I121" s="56"/>
      <c r="K121" s="57"/>
      <c r="L121" s="56"/>
      <c r="N121" s="57"/>
      <c r="O121" s="65" t="n">
        <f aca="false">IF(SUM(C121:E121)&gt;0,AVERAGE(C121:E121),"")</f>
        <v>1786</v>
      </c>
      <c r="P121" s="66" t="n">
        <f aca="false">IF(SUM(C121:E121)&gt;0, ( IF(C121&gt;0,(C121-O121)^2,0) + IF(D121&gt;0,(D121-O121)^2,0) + IF(E121&gt;0,(E121-O121)^2,0) ) / COUNT(C121:E121),"")</f>
        <v>0</v>
      </c>
      <c r="Q121" s="63" t="n">
        <f aca="false">IF(SUM(C121:E121)&gt;0,SQRT(P121),"")</f>
        <v>0</v>
      </c>
      <c r="R121" s="63" t="n">
        <f aca="false">IF(COUNT(C121:E121)&gt;0,VLOOKUP(COUNT(C121:E121),$AX$2:$AZ$5,3)*(Q121/SQRT(COUNT(C121:E121))),"")</f>
        <v>0</v>
      </c>
      <c r="S121" s="63" t="n">
        <f aca="false">IF(COUNT(C121:E121)&gt;0,O121-R121,"")</f>
        <v>1786</v>
      </c>
      <c r="T121" s="63" t="n">
        <f aca="false">IF(COUNT(C121:E121)&gt;0,O121+R121,"")</f>
        <v>1786</v>
      </c>
      <c r="U121" s="64" t="n">
        <f aca="false">IF(COUNT(C121:E121)&gt;0,Q121/O121,"")</f>
        <v>0</v>
      </c>
      <c r="V121" s="65" t="str">
        <f aca="false">IF(SUM(F121:H121)&gt;0,AVERAGE(F121:H121),"")</f>
        <v/>
      </c>
      <c r="W121" s="66" t="str">
        <f aca="false">IF(SUM(F121:H121)&gt;0, ( IF(F121&gt;0,(F121-V121)^2,0) + IF(G121&gt;0,(G121-V121)^2,0) + IF(H121&gt;0,(H121-V121)^2,0) ) / COUNT(F121:H121),"")</f>
        <v/>
      </c>
      <c r="X121" s="63" t="str">
        <f aca="false">IF(SUM(F121:H121)&gt;0,SQRT(W121),"")</f>
        <v/>
      </c>
      <c r="Y121" s="63" t="str">
        <f aca="false">IF(COUNT(F121:H121)&gt;0,VLOOKUP(COUNT(F121:H121),$AX$2:$AZ$5,3)*(X121/SQRT(COUNT(F121:H121))),"")</f>
        <v/>
      </c>
      <c r="Z121" s="63" t="str">
        <f aca="false">IF(COUNT(F121:H121)&gt;0,V121-Y121,"")</f>
        <v/>
      </c>
      <c r="AA121" s="63" t="str">
        <f aca="false">IF(COUNT(F121:H121)&gt;0,V121+Y121,"")</f>
        <v/>
      </c>
      <c r="AB121" s="64" t="str">
        <f aca="false">IF(COUNT(F121:H121)&gt;0,X121/V121,"")</f>
        <v/>
      </c>
      <c r="AC121" s="26"/>
      <c r="AD121" s="65" t="str">
        <f aca="false">IF(SUM(I121:K121)&gt;0,AVERAGE(I121:K121),"")</f>
        <v/>
      </c>
      <c r="AE121" s="66" t="str">
        <f aca="false">IF(SUM(I121:K121)&gt;0, ( IF(I121&gt;0,(I121-AD121)^2,0) + IF(J121&gt;0,(J121-AD121)^2,0) + IF(K121&gt;0,(K121-AD121)^2,0) ) / COUNT(I121:K121),"")</f>
        <v/>
      </c>
      <c r="AF121" s="63" t="str">
        <f aca="false">IF(SUM(I121:K121)&gt;0,SQRT(AE121),"")</f>
        <v/>
      </c>
      <c r="AG121" s="63" t="str">
        <f aca="false">IF(COUNT(I121:K121)&gt;0,VLOOKUP(COUNT(I121:K121),$AX$2:$AZ$5,3)*(AF121/SQRT(COUNT(I121:K121))),"")</f>
        <v/>
      </c>
      <c r="AH121" s="63" t="str">
        <f aca="false">IF(COUNT(I121:K121)&gt;0,AD121-AG121,"")</f>
        <v/>
      </c>
      <c r="AI121" s="63" t="str">
        <f aca="false">IF(COUNT(I121:K121)&gt;0,AD121+AG121,"")</f>
        <v/>
      </c>
      <c r="AJ121" s="64" t="str">
        <f aca="false">IF(COUNT(I121:K121)&gt;0,AF121/AD121,"")</f>
        <v/>
      </c>
      <c r="AK121" s="65" t="str">
        <f aca="false">IF(SUM(L121:N121)&gt;0,AVERAGE(L121:N121),"")</f>
        <v/>
      </c>
      <c r="AL121" s="66" t="str">
        <f aca="false">IF(SUM(L121:N121)&gt;0, ( IF(L121&gt;0,(L121-AK121)^2,0) + IF(M121&gt;0,(M121-AK121)^2,0) + IF(N121&gt;0,(N121-AK121)^2,0) ) / COUNT(L121:N121),"")</f>
        <v/>
      </c>
      <c r="AM121" s="63" t="str">
        <f aca="false">IF(SUM(L121:N121)&gt;0,SQRT(AL121),"")</f>
        <v/>
      </c>
      <c r="AN121" s="63" t="str">
        <f aca="false">IF(COUNT(L121:N121)&gt;0,VLOOKUP(COUNT(L121:N121),$AX$2:$AZ$5,3)*(AM121/SQRT(COUNT(L121:N121))),"")</f>
        <v/>
      </c>
      <c r="AO121" s="63" t="str">
        <f aca="false">IF(COUNT(L121:N121)&gt;0,AK121-AN121,"")</f>
        <v/>
      </c>
      <c r="AP121" s="63" t="str">
        <f aca="false">IF(COUNT(L121:N121)&gt;0,AK121+AN121,"")</f>
        <v/>
      </c>
      <c r="AQ121" s="64" t="str">
        <f aca="false">IF(COUNT(L121:N121)&gt;0,AM121/AK121,"")</f>
        <v/>
      </c>
    </row>
    <row r="122" customFormat="false" ht="12.8" hidden="false" customHeight="false" outlineLevel="0" collapsed="false">
      <c r="A122" s="56" t="s">
        <v>44</v>
      </c>
      <c r="B122" s="57" t="n">
        <v>82</v>
      </c>
      <c r="C122" s="56" t="n">
        <v>1057</v>
      </c>
      <c r="D122" s="25"/>
      <c r="E122" s="57" t="n">
        <v>1150</v>
      </c>
      <c r="F122" s="58"/>
      <c r="H122" s="59"/>
      <c r="I122" s="56"/>
      <c r="K122" s="57"/>
      <c r="L122" s="56"/>
      <c r="N122" s="57"/>
      <c r="O122" s="65" t="n">
        <f aca="false">IF(SUM(C122:E122)&gt;0,AVERAGE(C122:E122),"")</f>
        <v>1103.5</v>
      </c>
      <c r="P122" s="66" t="n">
        <f aca="false">IF(SUM(C122:E122)&gt;0, ( IF(C122&gt;0,(C122-O122)^2,0) + IF(D122&gt;0,(D122-O122)^2,0) + IF(E122&gt;0,(E122-O122)^2,0) ) / COUNT(C122:E122),"")</f>
        <v>2162.25</v>
      </c>
      <c r="Q122" s="63" t="n">
        <f aca="false">IF(SUM(C122:E122)&gt;0,SQRT(P122),"")</f>
        <v>46.5</v>
      </c>
      <c r="R122" s="63" t="n">
        <f aca="false">IF(COUNT(C122:E122)&gt;0,VLOOKUP(COUNT(C122:E122),$AX$2:$AZ$5,3)*(Q122/SQRT(COUNT(C122:E122))),"")</f>
        <v>417.779192421667</v>
      </c>
      <c r="S122" s="63" t="n">
        <f aca="false">IF(COUNT(C122:E122)&gt;0,O122-R122,"")</f>
        <v>685.720807578333</v>
      </c>
      <c r="T122" s="63" t="n">
        <f aca="false">IF(COUNT(C122:E122)&gt;0,O122+R122,"")</f>
        <v>1521.27919242167</v>
      </c>
      <c r="U122" s="64" t="n">
        <f aca="false">IF(COUNT(C122:E122)&gt;0,Q122/O122,"")</f>
        <v>0.0421386497507929</v>
      </c>
      <c r="V122" s="65" t="str">
        <f aca="false">IF(SUM(F122:H122)&gt;0,AVERAGE(F122:H122),"")</f>
        <v/>
      </c>
      <c r="W122" s="66" t="str">
        <f aca="false">IF(SUM(F122:H122)&gt;0, ( IF(F122&gt;0,(F122-V122)^2,0) + IF(G122&gt;0,(G122-V122)^2,0) + IF(H122&gt;0,(H122-V122)^2,0) ) / COUNT(F122:H122),"")</f>
        <v/>
      </c>
      <c r="X122" s="63" t="str">
        <f aca="false">IF(SUM(F122:H122)&gt;0,SQRT(W122),"")</f>
        <v/>
      </c>
      <c r="Y122" s="63" t="str">
        <f aca="false">IF(COUNT(F122:H122)&gt;0,VLOOKUP(COUNT(F122:H122),$AX$2:$AZ$5,3)*(X122/SQRT(COUNT(F122:H122))),"")</f>
        <v/>
      </c>
      <c r="Z122" s="63" t="str">
        <f aca="false">IF(COUNT(F122:H122)&gt;0,V122-Y122,"")</f>
        <v/>
      </c>
      <c r="AA122" s="63" t="str">
        <f aca="false">IF(COUNT(F122:H122)&gt;0,V122+Y122,"")</f>
        <v/>
      </c>
      <c r="AB122" s="64" t="str">
        <f aca="false">IF(COUNT(F122:H122)&gt;0,X122/V122,"")</f>
        <v/>
      </c>
      <c r="AC122" s="26"/>
      <c r="AD122" s="65" t="str">
        <f aca="false">IF(SUM(I122:K122)&gt;0,AVERAGE(I122:K122),"")</f>
        <v/>
      </c>
      <c r="AE122" s="66" t="str">
        <f aca="false">IF(SUM(I122:K122)&gt;0, ( IF(I122&gt;0,(I122-AD122)^2,0) + IF(J122&gt;0,(J122-AD122)^2,0) + IF(K122&gt;0,(K122-AD122)^2,0) ) / COUNT(I122:K122),"")</f>
        <v/>
      </c>
      <c r="AF122" s="63" t="str">
        <f aca="false">IF(SUM(I122:K122)&gt;0,SQRT(AE122),"")</f>
        <v/>
      </c>
      <c r="AG122" s="63" t="str">
        <f aca="false">IF(COUNT(I122:K122)&gt;0,VLOOKUP(COUNT(I122:K122),$AX$2:$AZ$5,3)*(AF122/SQRT(COUNT(I122:K122))),"")</f>
        <v/>
      </c>
      <c r="AH122" s="63" t="str">
        <f aca="false">IF(COUNT(I122:K122)&gt;0,AD122-AG122,"")</f>
        <v/>
      </c>
      <c r="AI122" s="63" t="str">
        <f aca="false">IF(COUNT(I122:K122)&gt;0,AD122+AG122,"")</f>
        <v/>
      </c>
      <c r="AJ122" s="64" t="str">
        <f aca="false">IF(COUNT(I122:K122)&gt;0,AF122/AD122,"")</f>
        <v/>
      </c>
      <c r="AK122" s="65" t="str">
        <f aca="false">IF(SUM(L122:N122)&gt;0,AVERAGE(L122:N122),"")</f>
        <v/>
      </c>
      <c r="AL122" s="66" t="str">
        <f aca="false">IF(SUM(L122:N122)&gt;0, ( IF(L122&gt;0,(L122-AK122)^2,0) + IF(M122&gt;0,(M122-AK122)^2,0) + IF(N122&gt;0,(N122-AK122)^2,0) ) / COUNT(L122:N122),"")</f>
        <v/>
      </c>
      <c r="AM122" s="63" t="str">
        <f aca="false">IF(SUM(L122:N122)&gt;0,SQRT(AL122),"")</f>
        <v/>
      </c>
      <c r="AN122" s="63" t="str">
        <f aca="false">IF(COUNT(L122:N122)&gt;0,VLOOKUP(COUNT(L122:N122),$AX$2:$AZ$5,3)*(AM122/SQRT(COUNT(L122:N122))),"")</f>
        <v/>
      </c>
      <c r="AO122" s="63" t="str">
        <f aca="false">IF(COUNT(L122:N122)&gt;0,AK122-AN122,"")</f>
        <v/>
      </c>
      <c r="AP122" s="63" t="str">
        <f aca="false">IF(COUNT(L122:N122)&gt;0,AK122+AN122,"")</f>
        <v/>
      </c>
      <c r="AQ122" s="64" t="str">
        <f aca="false">IF(COUNT(L122:N122)&gt;0,AM122/AK122,"")</f>
        <v/>
      </c>
    </row>
    <row r="123" customFormat="false" ht="12.8" hidden="false" customHeight="false" outlineLevel="0" collapsed="false">
      <c r="A123" s="56" t="s">
        <v>44</v>
      </c>
      <c r="B123" s="57" t="n">
        <v>100</v>
      </c>
      <c r="C123" s="56" t="n">
        <v>929</v>
      </c>
      <c r="D123" s="25"/>
      <c r="E123" s="57" t="n">
        <v>900</v>
      </c>
      <c r="F123" s="58"/>
      <c r="H123" s="59"/>
      <c r="I123" s="56"/>
      <c r="K123" s="57"/>
      <c r="L123" s="56"/>
      <c r="N123" s="57"/>
      <c r="O123" s="65" t="n">
        <f aca="false">IF(SUM(C123:E123)&gt;0,AVERAGE(C123:E123),"")</f>
        <v>914.5</v>
      </c>
      <c r="P123" s="66" t="n">
        <f aca="false">IF(SUM(C123:E123)&gt;0, ( IF(C123&gt;0,(C123-O123)^2,0) + IF(D123&gt;0,(D123-O123)^2,0) + IF(E123&gt;0,(E123-O123)^2,0) ) / COUNT(C123:E123),"")</f>
        <v>210.25</v>
      </c>
      <c r="Q123" s="63" t="n">
        <f aca="false">IF(SUM(C123:E123)&gt;0,SQRT(P123),"")</f>
        <v>14.5</v>
      </c>
      <c r="R123" s="63" t="n">
        <f aca="false">IF(COUNT(C123:E123)&gt;0,VLOOKUP(COUNT(C123:E123),$AX$2:$AZ$5,3)*(Q123/SQRT(COUNT(C123:E123))),"")</f>
        <v>130.275232045466</v>
      </c>
      <c r="S123" s="63" t="n">
        <f aca="false">IF(COUNT(C123:E123)&gt;0,O123-R123,"")</f>
        <v>784.224767954534</v>
      </c>
      <c r="T123" s="63" t="n">
        <f aca="false">IF(COUNT(C123:E123)&gt;0,O123+R123,"")</f>
        <v>1044.77523204547</v>
      </c>
      <c r="U123" s="64" t="n">
        <f aca="false">IF(COUNT(C123:E123)&gt;0,Q123/O123,"")</f>
        <v>0.0158556588299617</v>
      </c>
      <c r="V123" s="65" t="str">
        <f aca="false">IF(SUM(F123:H123)&gt;0,AVERAGE(F123:H123),"")</f>
        <v/>
      </c>
      <c r="W123" s="66" t="str">
        <f aca="false">IF(SUM(F123:H123)&gt;0, ( IF(F123&gt;0,(F123-V123)^2,0) + IF(G123&gt;0,(G123-V123)^2,0) + IF(H123&gt;0,(H123-V123)^2,0) ) / COUNT(F123:H123),"")</f>
        <v/>
      </c>
      <c r="X123" s="63" t="str">
        <f aca="false">IF(SUM(F123:H123)&gt;0,SQRT(W123),"")</f>
        <v/>
      </c>
      <c r="Y123" s="63" t="str">
        <f aca="false">IF(COUNT(F123:H123)&gt;0,VLOOKUP(COUNT(F123:H123),$AX$2:$AZ$5,3)*(X123/SQRT(COUNT(F123:H123))),"")</f>
        <v/>
      </c>
      <c r="Z123" s="63" t="str">
        <f aca="false">IF(COUNT(F123:H123)&gt;0,V123-Y123,"")</f>
        <v/>
      </c>
      <c r="AA123" s="63" t="str">
        <f aca="false">IF(COUNT(F123:H123)&gt;0,V123+Y123,"")</f>
        <v/>
      </c>
      <c r="AB123" s="64" t="str">
        <f aca="false">IF(COUNT(F123:H123)&gt;0,X123/V123,"")</f>
        <v/>
      </c>
      <c r="AC123" s="26"/>
      <c r="AD123" s="65" t="str">
        <f aca="false">IF(SUM(I123:K123)&gt;0,AVERAGE(I123:K123),"")</f>
        <v/>
      </c>
      <c r="AE123" s="66" t="str">
        <f aca="false">IF(SUM(I123:K123)&gt;0, ( IF(I123&gt;0,(I123-AD123)^2,0) + IF(J123&gt;0,(J123-AD123)^2,0) + IF(K123&gt;0,(K123-AD123)^2,0) ) / COUNT(I123:K123),"")</f>
        <v/>
      </c>
      <c r="AF123" s="63" t="str">
        <f aca="false">IF(SUM(I123:K123)&gt;0,SQRT(AE123),"")</f>
        <v/>
      </c>
      <c r="AG123" s="63" t="str">
        <f aca="false">IF(COUNT(I123:K123)&gt;0,VLOOKUP(COUNT(I123:K123),$AX$2:$AZ$5,3)*(AF123/SQRT(COUNT(I123:K123))),"")</f>
        <v/>
      </c>
      <c r="AH123" s="63" t="str">
        <f aca="false">IF(COUNT(I123:K123)&gt;0,AD123-AG123,"")</f>
        <v/>
      </c>
      <c r="AI123" s="63" t="str">
        <f aca="false">IF(COUNT(I123:K123)&gt;0,AD123+AG123,"")</f>
        <v/>
      </c>
      <c r="AJ123" s="64" t="str">
        <f aca="false">IF(COUNT(I123:K123)&gt;0,AF123/AD123,"")</f>
        <v/>
      </c>
      <c r="AK123" s="65" t="str">
        <f aca="false">IF(SUM(L123:N123)&gt;0,AVERAGE(L123:N123),"")</f>
        <v/>
      </c>
      <c r="AL123" s="66" t="str">
        <f aca="false">IF(SUM(L123:N123)&gt;0, ( IF(L123&gt;0,(L123-AK123)^2,0) + IF(M123&gt;0,(M123-AK123)^2,0) + IF(N123&gt;0,(N123-AK123)^2,0) ) / COUNT(L123:N123),"")</f>
        <v/>
      </c>
      <c r="AM123" s="63" t="str">
        <f aca="false">IF(SUM(L123:N123)&gt;0,SQRT(AL123),"")</f>
        <v/>
      </c>
      <c r="AN123" s="63" t="str">
        <f aca="false">IF(COUNT(L123:N123)&gt;0,VLOOKUP(COUNT(L123:N123),$AX$2:$AZ$5,3)*(AM123/SQRT(COUNT(L123:N123))),"")</f>
        <v/>
      </c>
      <c r="AO123" s="63" t="str">
        <f aca="false">IF(COUNT(L123:N123)&gt;0,AK123-AN123,"")</f>
        <v/>
      </c>
      <c r="AP123" s="63" t="str">
        <f aca="false">IF(COUNT(L123:N123)&gt;0,AK123+AN123,"")</f>
        <v/>
      </c>
      <c r="AQ123" s="64" t="str">
        <f aca="false">IF(COUNT(L123:N123)&gt;0,AM123/AK123,"")</f>
        <v/>
      </c>
    </row>
    <row r="124" customFormat="false" ht="12.8" hidden="false" customHeight="false" outlineLevel="0" collapsed="false">
      <c r="A124" s="56" t="s">
        <v>46</v>
      </c>
      <c r="B124" s="57" t="n">
        <v>5</v>
      </c>
      <c r="C124" s="56" t="n">
        <v>724</v>
      </c>
      <c r="D124" s="25" t="n">
        <v>866</v>
      </c>
      <c r="E124" s="57" t="n">
        <v>733</v>
      </c>
      <c r="F124" s="58" t="n">
        <v>814</v>
      </c>
      <c r="G124" s="0" t="n">
        <v>628</v>
      </c>
      <c r="H124" s="59" t="n">
        <v>685</v>
      </c>
      <c r="I124" s="56" t="n">
        <v>769</v>
      </c>
      <c r="J124" s="0" t="n">
        <v>784</v>
      </c>
      <c r="K124" s="57" t="n">
        <v>367</v>
      </c>
      <c r="L124" s="56"/>
      <c r="M124" s="0" t="n">
        <v>866</v>
      </c>
      <c r="N124" s="57" t="n">
        <v>733</v>
      </c>
      <c r="O124" s="65" t="n">
        <f aca="false">IF(SUM(C124:E124)&gt;0,AVERAGE(C124:E124),"")</f>
        <v>774.333333333333</v>
      </c>
      <c r="P124" s="66" t="n">
        <f aca="false">IF(SUM(C124:E124)&gt;0, ( IF(C124&gt;0,(C124-O124)^2,0) + IF(D124&gt;0,(D124-O124)^2,0) + IF(E124&gt;0,(E124-O124)^2,0) ) / COUNT(C124:E124),"")</f>
        <v>4214.88888888889</v>
      </c>
      <c r="Q124" s="63" t="n">
        <f aca="false">IF(SUM(C124:E124)&gt;0,SQRT(P124),"")</f>
        <v>64.9221756327442</v>
      </c>
      <c r="R124" s="63" t="n">
        <f aca="false">IF(COUNT(C124:E124)&gt;0,VLOOKUP(COUNT(C124:E124),$AX$2:$AZ$5,3)*(Q124/SQRT(COUNT(C124:E124))),"")</f>
        <v>161.28864149188</v>
      </c>
      <c r="S124" s="63" t="n">
        <f aca="false">IF(COUNT(C124:E124)&gt;0,O124-R124,"")</f>
        <v>613.044691841453</v>
      </c>
      <c r="T124" s="63" t="n">
        <f aca="false">IF(COUNT(C124:E124)&gt;0,O124+R124,"")</f>
        <v>935.621974825214</v>
      </c>
      <c r="U124" s="64" t="n">
        <f aca="false">IF(COUNT(C124:E124)&gt;0,Q124/O124,"")</f>
        <v>0.0838426719320847</v>
      </c>
      <c r="V124" s="65" t="n">
        <f aca="false">IF(SUM(F124:H124)&gt;0,AVERAGE(F124:H124),"")</f>
        <v>709</v>
      </c>
      <c r="W124" s="66" t="n">
        <f aca="false">IF(SUM(F124:H124)&gt;0, ( IF(F124&gt;0,(F124-V124)^2,0) + IF(G124&gt;0,(G124-V124)^2,0) + IF(H124&gt;0,(H124-V124)^2,0) ) / COUNT(F124:H124),"")</f>
        <v>6054</v>
      </c>
      <c r="X124" s="63" t="n">
        <f aca="false">IF(SUM(F124:H124)&gt;0,SQRT(W124),"")</f>
        <v>77.8074546557076</v>
      </c>
      <c r="Y124" s="63" t="n">
        <f aca="false">IF(COUNT(F124:H124)&gt;0,VLOOKUP(COUNT(F124:H124),$AX$2:$AZ$5,3)*(X124/SQRT(COUNT(F124:H124))),"")</f>
        <v>193.300032493531</v>
      </c>
      <c r="Z124" s="63" t="n">
        <f aca="false">IF(COUNT(F124:H124)&gt;0,V124-Y124,"")</f>
        <v>515.699967506469</v>
      </c>
      <c r="AA124" s="63" t="n">
        <f aca="false">IF(COUNT(F124:H124)&gt;0,V124+Y124,"")</f>
        <v>902.300032493531</v>
      </c>
      <c r="AB124" s="64" t="n">
        <f aca="false">IF(COUNT(F124:H124)&gt;0,X124/V124,"")</f>
        <v>0.109742531249235</v>
      </c>
      <c r="AC124" s="26"/>
      <c r="AD124" s="65" t="n">
        <f aca="false">IF(SUM(I124:K124)&gt;0,AVERAGE(I124:K124),"")</f>
        <v>640</v>
      </c>
      <c r="AE124" s="66" t="n">
        <f aca="false">IF(SUM(I124:K124)&gt;0, ( IF(I124&gt;0,(I124-AD124)^2,0) + IF(J124&gt;0,(J124-AD124)^2,0) + IF(K124&gt;0,(K124-AD124)^2,0) ) / COUNT(I124:K124),"")</f>
        <v>37302</v>
      </c>
      <c r="AF124" s="63" t="n">
        <f aca="false">IF(SUM(I124:K124)&gt;0,SQRT(AE124),"")</f>
        <v>193.137256892605</v>
      </c>
      <c r="AG124" s="63" t="n">
        <f aca="false">IF(COUNT(I124:K124)&gt;0,VLOOKUP(COUNT(I124:K124),$AX$2:$AZ$5,3)*(AF124/SQRT(COUNT(I124:K124))),"")</f>
        <v>479.818266748985</v>
      </c>
      <c r="AH124" s="63" t="n">
        <f aca="false">IF(COUNT(I124:K124)&gt;0,AD124-AG124,"")</f>
        <v>160.181733251015</v>
      </c>
      <c r="AI124" s="63" t="n">
        <f aca="false">IF(COUNT(I124:K124)&gt;0,AD124+AG124,"")</f>
        <v>1119.81826674899</v>
      </c>
      <c r="AJ124" s="64" t="n">
        <f aca="false">IF(COUNT(I124:K124)&gt;0,AF124/AD124,"")</f>
        <v>0.301776963894695</v>
      </c>
      <c r="AK124" s="65" t="n">
        <f aca="false">IF(SUM(L124:N124)&gt;0,AVERAGE(L124:N124),"")</f>
        <v>799.5</v>
      </c>
      <c r="AL124" s="66" t="n">
        <f aca="false">IF(SUM(L124:N124)&gt;0, ( IF(L124&gt;0,(L124-AK124)^2,0) + IF(M124&gt;0,(M124-AK124)^2,0) + IF(N124&gt;0,(N124-AK124)^2,0) ) / COUNT(L124:N124),"")</f>
        <v>4422.25</v>
      </c>
      <c r="AM124" s="63" t="n">
        <f aca="false">IF(SUM(L124:N124)&gt;0,SQRT(AL124),"")</f>
        <v>66.5</v>
      </c>
      <c r="AN124" s="63" t="n">
        <f aca="false">IF(COUNT(L124:N124)&gt;0,VLOOKUP(COUNT(L124:N124),$AX$2:$AZ$5,3)*(AM124/SQRT(COUNT(L124:N124))),"")</f>
        <v>597.469167656792</v>
      </c>
      <c r="AO124" s="63" t="n">
        <f aca="false">IF(COUNT(L124:N124)&gt;0,AK124-AN124,"")</f>
        <v>202.030832343208</v>
      </c>
      <c r="AP124" s="63" t="n">
        <f aca="false">IF(COUNT(L124:N124)&gt;0,AK124+AN124,"")</f>
        <v>1396.96916765679</v>
      </c>
      <c r="AQ124" s="64" t="n">
        <f aca="false">IF(COUNT(L124:N124)&gt;0,AM124/AK124,"")</f>
        <v>0.08317698561601</v>
      </c>
    </row>
    <row r="125" customFormat="false" ht="12.8" hidden="false" customHeight="false" outlineLevel="0" collapsed="false">
      <c r="A125" s="56" t="s">
        <v>46</v>
      </c>
      <c r="B125" s="57" t="n">
        <v>10</v>
      </c>
      <c r="C125" s="56" t="n">
        <v>372</v>
      </c>
      <c r="D125" s="25" t="n">
        <v>371</v>
      </c>
      <c r="E125" s="57" t="n">
        <v>415</v>
      </c>
      <c r="F125" s="58" t="n">
        <v>450</v>
      </c>
      <c r="G125" s="0" t="n">
        <v>399</v>
      </c>
      <c r="H125" s="59" t="n">
        <v>334</v>
      </c>
      <c r="I125" s="56" t="n">
        <v>367</v>
      </c>
      <c r="J125" s="0" t="n">
        <v>463</v>
      </c>
      <c r="K125" s="57" t="n">
        <v>326</v>
      </c>
      <c r="L125" s="56"/>
      <c r="M125" s="0" t="n">
        <v>371</v>
      </c>
      <c r="N125" s="57" t="n">
        <v>430</v>
      </c>
      <c r="O125" s="65" t="n">
        <f aca="false">IF(SUM(C125:E125)&gt;0,AVERAGE(C125:E125),"")</f>
        <v>386</v>
      </c>
      <c r="P125" s="66" t="n">
        <f aca="false">IF(SUM(C125:E125)&gt;0, ( IF(C125&gt;0,(C125-O125)^2,0) + IF(D125&gt;0,(D125-O125)^2,0) + IF(E125&gt;0,(E125-O125)^2,0) ) / COUNT(C125:E125),"")</f>
        <v>420.666666666667</v>
      </c>
      <c r="Q125" s="63" t="n">
        <f aca="false">IF(SUM(C125:E125)&gt;0,SQRT(P125),"")</f>
        <v>20.5101600838869</v>
      </c>
      <c r="R125" s="63" t="n">
        <f aca="false">IF(COUNT(C125:E125)&gt;0,VLOOKUP(COUNT(C125:E125),$AX$2:$AZ$5,3)*(Q125/SQRT(COUNT(C125:E125))),"")</f>
        <v>50.9541743552206</v>
      </c>
      <c r="S125" s="63" t="n">
        <f aca="false">IF(COUNT(C125:E125)&gt;0,O125-R125,"")</f>
        <v>335.045825644779</v>
      </c>
      <c r="T125" s="63" t="n">
        <f aca="false">IF(COUNT(C125:E125)&gt;0,O125+R125,"")</f>
        <v>436.954174355221</v>
      </c>
      <c r="U125" s="64" t="n">
        <f aca="false">IF(COUNT(C125:E125)&gt;0,Q125/O125,"")</f>
        <v>0.0531351297510023</v>
      </c>
      <c r="V125" s="65" t="n">
        <f aca="false">IF(SUM(F125:H125)&gt;0,AVERAGE(F125:H125),"")</f>
        <v>394.333333333333</v>
      </c>
      <c r="W125" s="66" t="n">
        <f aca="false">IF(SUM(F125:H125)&gt;0, ( IF(F125&gt;0,(F125-V125)^2,0) + IF(G125&gt;0,(G125-V125)^2,0) + IF(H125&gt;0,(H125-V125)^2,0) ) / COUNT(F125:H125),"")</f>
        <v>2253.55555555556</v>
      </c>
      <c r="X125" s="63" t="n">
        <f aca="false">IF(SUM(F125:H125)&gt;0,SQRT(W125),"")</f>
        <v>47.471628954098</v>
      </c>
      <c r="Y125" s="63" t="n">
        <f aca="false">IF(COUNT(F125:H125)&gt;0,VLOOKUP(COUNT(F125:H125),$AX$2:$AZ$5,3)*(X125/SQRT(COUNT(F125:H125))),"")</f>
        <v>117.935581621996</v>
      </c>
      <c r="Z125" s="63" t="n">
        <f aca="false">IF(COUNT(F125:H125)&gt;0,V125-Y125,"")</f>
        <v>276.397751711337</v>
      </c>
      <c r="AA125" s="63" t="n">
        <f aca="false">IF(COUNT(F125:H125)&gt;0,V125+Y125,"")</f>
        <v>512.26891495533</v>
      </c>
      <c r="AB125" s="64" t="n">
        <f aca="false">IF(COUNT(F125:H125)&gt;0,X125/V125,"")</f>
        <v>0.120384519748347</v>
      </c>
      <c r="AC125" s="26"/>
      <c r="AD125" s="65" t="n">
        <f aca="false">IF(SUM(I125:K125)&gt;0,AVERAGE(I125:K125),"")</f>
        <v>385.333333333333</v>
      </c>
      <c r="AE125" s="66" t="n">
        <f aca="false">IF(SUM(I125:K125)&gt;0, ( IF(I125&gt;0,(I125-AD125)^2,0) + IF(J125&gt;0,(J125-AD125)^2,0) + IF(K125&gt;0,(K125-AD125)^2,0) ) / COUNT(I125:K125),"")</f>
        <v>3296.22222222222</v>
      </c>
      <c r="AF125" s="63" t="n">
        <f aca="false">IF(SUM(I125:K125)&gt;0,SQRT(AE125),"")</f>
        <v>57.412735714493</v>
      </c>
      <c r="AG125" s="63" t="n">
        <f aca="false">IF(COUNT(I125:K125)&gt;0,VLOOKUP(COUNT(I125:K125),$AX$2:$AZ$5,3)*(AF125/SQRT(COUNT(I125:K125))),"")</f>
        <v>142.632652979863</v>
      </c>
      <c r="AH125" s="63" t="n">
        <f aca="false">IF(COUNT(I125:K125)&gt;0,AD125-AG125,"")</f>
        <v>242.70068035347</v>
      </c>
      <c r="AI125" s="63" t="n">
        <f aca="false">IF(COUNT(I125:K125)&gt;0,AD125+AG125,"")</f>
        <v>527.965986313197</v>
      </c>
      <c r="AJ125" s="64" t="n">
        <f aca="false">IF(COUNT(I125:K125)&gt;0,AF125/AD125,"")</f>
        <v>0.148994988878442</v>
      </c>
      <c r="AK125" s="65" t="n">
        <f aca="false">IF(SUM(L125:N125)&gt;0,AVERAGE(L125:N125),"")</f>
        <v>400.5</v>
      </c>
      <c r="AL125" s="66" t="n">
        <f aca="false">IF(SUM(L125:N125)&gt;0, ( IF(L125&gt;0,(L125-AK125)^2,0) + IF(M125&gt;0,(M125-AK125)^2,0) + IF(N125&gt;0,(N125-AK125)^2,0) ) / COUNT(L125:N125),"")</f>
        <v>870.25</v>
      </c>
      <c r="AM125" s="63" t="n">
        <f aca="false">IF(SUM(L125:N125)&gt;0,SQRT(AL125),"")</f>
        <v>29.5</v>
      </c>
      <c r="AN125" s="63" t="n">
        <f aca="false">IF(COUNT(L125:N125)&gt;0,VLOOKUP(COUNT(L125:N125),$AX$2:$AZ$5,3)*(AM125/SQRT(COUNT(L125:N125))),"")</f>
        <v>265.04271347181</v>
      </c>
      <c r="AO125" s="63" t="n">
        <f aca="false">IF(COUNT(L125:N125)&gt;0,AK125-AN125,"")</f>
        <v>135.45728652819</v>
      </c>
      <c r="AP125" s="63" t="n">
        <f aca="false">IF(COUNT(L125:N125)&gt;0,AK125+AN125,"")</f>
        <v>665.54271347181</v>
      </c>
      <c r="AQ125" s="64" t="n">
        <f aca="false">IF(COUNT(L125:N125)&gt;0,AM125/AK125,"")</f>
        <v>0.0736579275905119</v>
      </c>
    </row>
    <row r="126" customFormat="false" ht="12.8" hidden="false" customHeight="false" outlineLevel="0" collapsed="false">
      <c r="A126" s="56" t="s">
        <v>46</v>
      </c>
      <c r="B126" s="57" t="n">
        <v>15</v>
      </c>
      <c r="C126" s="56" t="n">
        <v>259</v>
      </c>
      <c r="D126" s="25" t="n">
        <v>326</v>
      </c>
      <c r="E126" s="57" t="n">
        <v>288</v>
      </c>
      <c r="F126" s="58" t="n">
        <v>256</v>
      </c>
      <c r="G126" s="0" t="n">
        <v>239</v>
      </c>
      <c r="H126" s="59" t="n">
        <v>240</v>
      </c>
      <c r="I126" s="56" t="n">
        <v>280</v>
      </c>
      <c r="J126" s="0" t="n">
        <v>289</v>
      </c>
      <c r="K126" s="57" t="n">
        <v>254</v>
      </c>
      <c r="L126" s="56"/>
      <c r="M126" s="0" t="n">
        <v>283</v>
      </c>
      <c r="N126" s="57" t="n">
        <v>282</v>
      </c>
      <c r="O126" s="65" t="n">
        <f aca="false">IF(SUM(C126:E126)&gt;0,AVERAGE(C126:E126),"")</f>
        <v>291</v>
      </c>
      <c r="P126" s="66" t="n">
        <f aca="false">IF(SUM(C126:E126)&gt;0, ( IF(C126&gt;0,(C126-O126)^2,0) + IF(D126&gt;0,(D126-O126)^2,0) + IF(E126&gt;0,(E126-O126)^2,0) ) / COUNT(C126:E126),"")</f>
        <v>752.666666666667</v>
      </c>
      <c r="Q126" s="63" t="n">
        <f aca="false">IF(SUM(C126:E126)&gt;0,SQRT(P126),"")</f>
        <v>27.4347711247363</v>
      </c>
      <c r="R126" s="63" t="n">
        <f aca="false">IF(COUNT(C126:E126)&gt;0,VLOOKUP(COUNT(C126:E126),$AX$2:$AZ$5,3)*(Q126/SQRT(COUNT(C126:E126))),"")</f>
        <v>68.157250141778</v>
      </c>
      <c r="S126" s="63" t="n">
        <f aca="false">IF(COUNT(C126:E126)&gt;0,O126-R126,"")</f>
        <v>222.842749858222</v>
      </c>
      <c r="T126" s="63" t="n">
        <f aca="false">IF(COUNT(C126:E126)&gt;0,O126+R126,"")</f>
        <v>359.157250141778</v>
      </c>
      <c r="U126" s="64" t="n">
        <f aca="false">IF(COUNT(C126:E126)&gt;0,Q126/O126,"")</f>
        <v>0.0942775640025304</v>
      </c>
      <c r="V126" s="65" t="n">
        <f aca="false">IF(SUM(F126:H126)&gt;0,AVERAGE(F126:H126),"")</f>
        <v>245</v>
      </c>
      <c r="W126" s="66" t="n">
        <f aca="false">IF(SUM(F126:H126)&gt;0, ( IF(F126&gt;0,(F126-V126)^2,0) + IF(G126&gt;0,(G126-V126)^2,0) + IF(H126&gt;0,(H126-V126)^2,0) ) / COUNT(F126:H126),"")</f>
        <v>60.6666666666667</v>
      </c>
      <c r="X126" s="63" t="n">
        <f aca="false">IF(SUM(F126:H126)&gt;0,SQRT(W126),"")</f>
        <v>7.78888096369862</v>
      </c>
      <c r="Y126" s="63" t="n">
        <f aca="false">IF(COUNT(F126:H126)&gt;0,VLOOKUP(COUNT(F126:H126),$AX$2:$AZ$5,3)*(X126/SQRT(COUNT(F126:H126))),"")</f>
        <v>19.3502145781958</v>
      </c>
      <c r="Z126" s="63" t="n">
        <f aca="false">IF(COUNT(F126:H126)&gt;0,V126-Y126,"")</f>
        <v>225.649785421804</v>
      </c>
      <c r="AA126" s="63" t="n">
        <f aca="false">IF(COUNT(F126:H126)&gt;0,V126+Y126,"")</f>
        <v>264.350214578196</v>
      </c>
      <c r="AB126" s="64" t="n">
        <f aca="false">IF(COUNT(F126:H126)&gt;0,X126/V126,"")</f>
        <v>0.0317913508722392</v>
      </c>
      <c r="AC126" s="26"/>
      <c r="AD126" s="65" t="n">
        <f aca="false">IF(SUM(I126:K126)&gt;0,AVERAGE(I126:K126),"")</f>
        <v>274.333333333333</v>
      </c>
      <c r="AE126" s="66" t="n">
        <f aca="false">IF(SUM(I126:K126)&gt;0, ( IF(I126&gt;0,(I126-AD126)^2,0) + IF(J126&gt;0,(J126-AD126)^2,0) + IF(K126&gt;0,(K126-AD126)^2,0) ) / COUNT(I126:K126),"")</f>
        <v>220.222222222222</v>
      </c>
      <c r="AF126" s="63" t="n">
        <f aca="false">IF(SUM(I126:K126)&gt;0,SQRT(AE126),"")</f>
        <v>14.8398861930347</v>
      </c>
      <c r="AG126" s="63" t="n">
        <f aca="false">IF(COUNT(I126:K126)&gt;0,VLOOKUP(COUNT(I126:K126),$AX$2:$AZ$5,3)*(AF126/SQRT(COUNT(I126:K126))),"")</f>
        <v>36.8672962765205</v>
      </c>
      <c r="AH126" s="63" t="n">
        <f aca="false">IF(COUNT(I126:K126)&gt;0,AD126-AG126,"")</f>
        <v>237.466037056813</v>
      </c>
      <c r="AI126" s="63" t="n">
        <f aca="false">IF(COUNT(I126:K126)&gt;0,AD126+AG126,"")</f>
        <v>311.200629609854</v>
      </c>
      <c r="AJ126" s="64" t="n">
        <f aca="false">IF(COUNT(I126:K126)&gt;0,AF126/AD126,"")</f>
        <v>0.0540943603634315</v>
      </c>
      <c r="AK126" s="65" t="n">
        <f aca="false">IF(SUM(L126:N126)&gt;0,AVERAGE(L126:N126),"")</f>
        <v>282.5</v>
      </c>
      <c r="AL126" s="66" t="n">
        <f aca="false">IF(SUM(L126:N126)&gt;0, ( IF(L126&gt;0,(L126-AK126)^2,0) + IF(M126&gt;0,(M126-AK126)^2,0) + IF(N126&gt;0,(N126-AK126)^2,0) ) / COUNT(L126:N126),"")</f>
        <v>0.25</v>
      </c>
      <c r="AM126" s="63" t="n">
        <f aca="false">IF(SUM(L126:N126)&gt;0,SQRT(AL126),"")</f>
        <v>0.5</v>
      </c>
      <c r="AN126" s="63" t="n">
        <f aca="false">IF(COUNT(L126:N126)&gt;0,VLOOKUP(COUNT(L126:N126),$AX$2:$AZ$5,3)*(AM126/SQRT(COUNT(L126:N126))),"")</f>
        <v>4.49224938087814</v>
      </c>
      <c r="AO126" s="63" t="n">
        <f aca="false">IF(COUNT(L126:N126)&gt;0,AK126-AN126,"")</f>
        <v>278.007750619122</v>
      </c>
      <c r="AP126" s="63" t="n">
        <f aca="false">IF(COUNT(L126:N126)&gt;0,AK126+AN126,"")</f>
        <v>286.992249380878</v>
      </c>
      <c r="AQ126" s="64" t="n">
        <f aca="false">IF(COUNT(L126:N126)&gt;0,AM126/AK126,"")</f>
        <v>0.00176991150442478</v>
      </c>
    </row>
    <row r="127" customFormat="false" ht="12.8" hidden="false" customHeight="false" outlineLevel="0" collapsed="false">
      <c r="A127" s="56" t="s">
        <v>46</v>
      </c>
      <c r="B127" s="57" t="n">
        <v>20</v>
      </c>
      <c r="C127" s="56" t="n">
        <v>217</v>
      </c>
      <c r="D127" s="25" t="n">
        <v>224</v>
      </c>
      <c r="E127" s="57" t="n">
        <v>219</v>
      </c>
      <c r="F127" s="58" t="n">
        <v>210</v>
      </c>
      <c r="G127" s="0" t="n">
        <v>200</v>
      </c>
      <c r="H127" s="59" t="n">
        <v>208</v>
      </c>
      <c r="I127" s="56" t="n">
        <v>241</v>
      </c>
      <c r="J127" s="0" t="n">
        <v>199</v>
      </c>
      <c r="K127" s="57" t="n">
        <v>174</v>
      </c>
      <c r="L127" s="56"/>
      <c r="M127" s="0" t="n">
        <v>211</v>
      </c>
      <c r="N127" s="57" t="n">
        <v>235</v>
      </c>
      <c r="O127" s="65" t="n">
        <f aca="false">IF(SUM(C127:E127)&gt;0,AVERAGE(C127:E127),"")</f>
        <v>220</v>
      </c>
      <c r="P127" s="66" t="n">
        <f aca="false">IF(SUM(C127:E127)&gt;0, ( IF(C127&gt;0,(C127-O127)^2,0) + IF(D127&gt;0,(D127-O127)^2,0) + IF(E127&gt;0,(E127-O127)^2,0) ) / COUNT(C127:E127),"")</f>
        <v>8.66666666666667</v>
      </c>
      <c r="Q127" s="63" t="n">
        <f aca="false">IF(SUM(C127:E127)&gt;0,SQRT(P127),"")</f>
        <v>2.94392028877595</v>
      </c>
      <c r="R127" s="63" t="n">
        <f aca="false">IF(COUNT(C127:E127)&gt;0,VLOOKUP(COUNT(C127:E127),$AX$2:$AZ$5,3)*(Q127/SQRT(COUNT(C127:E127))),"")</f>
        <v>7.31369365566325</v>
      </c>
      <c r="S127" s="63" t="n">
        <f aca="false">IF(COUNT(C127:E127)&gt;0,O127-R127,"")</f>
        <v>212.686306344337</v>
      </c>
      <c r="T127" s="63" t="n">
        <f aca="false">IF(COUNT(C127:E127)&gt;0,O127+R127,"")</f>
        <v>227.313693655663</v>
      </c>
      <c r="U127" s="64" t="n">
        <f aca="false">IF(COUNT(C127:E127)&gt;0,Q127/O127,"")</f>
        <v>0.0133814558580725</v>
      </c>
      <c r="V127" s="65" t="n">
        <f aca="false">IF(SUM(F127:H127)&gt;0,AVERAGE(F127:H127),"")</f>
        <v>206</v>
      </c>
      <c r="W127" s="66" t="n">
        <f aca="false">IF(SUM(F127:H127)&gt;0, ( IF(F127&gt;0,(F127-V127)^2,0) + IF(G127&gt;0,(G127-V127)^2,0) + IF(H127&gt;0,(H127-V127)^2,0) ) / COUNT(F127:H127),"")</f>
        <v>18.6666666666667</v>
      </c>
      <c r="X127" s="63" t="n">
        <f aca="false">IF(SUM(F127:H127)&gt;0,SQRT(W127),"")</f>
        <v>4.32049379893857</v>
      </c>
      <c r="Y127" s="63" t="n">
        <f aca="false">IF(COUNT(F127:H127)&gt;0,VLOOKUP(COUNT(F127:H127),$AX$2:$AZ$5,3)*(X127/SQRT(COUNT(F127:H127))),"")</f>
        <v>10.7335678235255</v>
      </c>
      <c r="Z127" s="63" t="n">
        <f aca="false">IF(COUNT(F127:H127)&gt;0,V127-Y127,"")</f>
        <v>195.266432176475</v>
      </c>
      <c r="AA127" s="63" t="n">
        <f aca="false">IF(COUNT(F127:H127)&gt;0,V127+Y127,"")</f>
        <v>216.733567823526</v>
      </c>
      <c r="AB127" s="64" t="n">
        <f aca="false">IF(COUNT(F127:H127)&gt;0,X127/V127,"")</f>
        <v>0.0209732708686339</v>
      </c>
      <c r="AC127" s="26"/>
      <c r="AD127" s="65" t="n">
        <f aca="false">IF(SUM(I127:K127)&gt;0,AVERAGE(I127:K127),"")</f>
        <v>204.666666666667</v>
      </c>
      <c r="AE127" s="66" t="n">
        <f aca="false">IF(SUM(I127:K127)&gt;0, ( IF(I127&gt;0,(I127-AD127)^2,0) + IF(J127&gt;0,(J127-AD127)^2,0) + IF(K127&gt;0,(K127-AD127)^2,0) ) / COUNT(I127:K127),"")</f>
        <v>764.222222222222</v>
      </c>
      <c r="AF127" s="63" t="n">
        <f aca="false">IF(SUM(I127:K127)&gt;0,SQRT(AE127),"")</f>
        <v>27.6445694888204</v>
      </c>
      <c r="AG127" s="63" t="n">
        <f aca="false">IF(COUNT(I127:K127)&gt;0,VLOOKUP(COUNT(I127:K127),$AX$2:$AZ$5,3)*(AF127/SQRT(COUNT(I127:K127))),"")</f>
        <v>68.6784602337157</v>
      </c>
      <c r="AH127" s="63" t="n">
        <f aca="false">IF(COUNT(I127:K127)&gt;0,AD127-AG127,"")</f>
        <v>135.988206432951</v>
      </c>
      <c r="AI127" s="63" t="n">
        <f aca="false">IF(COUNT(I127:K127)&gt;0,AD127+AG127,"")</f>
        <v>273.345126900382</v>
      </c>
      <c r="AJ127" s="64" t="n">
        <f aca="false">IF(COUNT(I127:K127)&gt;0,AF127/AD127,"")</f>
        <v>0.135071186427461</v>
      </c>
      <c r="AK127" s="65" t="n">
        <f aca="false">IF(SUM(L127:N127)&gt;0,AVERAGE(L127:N127),"")</f>
        <v>223</v>
      </c>
      <c r="AL127" s="66" t="n">
        <f aca="false">IF(SUM(L127:N127)&gt;0, ( IF(L127&gt;0,(L127-AK127)^2,0) + IF(M127&gt;0,(M127-AK127)^2,0) + IF(N127&gt;0,(N127-AK127)^2,0) ) / COUNT(L127:N127),"")</f>
        <v>144</v>
      </c>
      <c r="AM127" s="63" t="n">
        <f aca="false">IF(SUM(L127:N127)&gt;0,SQRT(AL127),"")</f>
        <v>12</v>
      </c>
      <c r="AN127" s="63" t="n">
        <f aca="false">IF(COUNT(L127:N127)&gt;0,VLOOKUP(COUNT(L127:N127),$AX$2:$AZ$5,3)*(AM127/SQRT(COUNT(L127:N127))),"")</f>
        <v>107.813985141075</v>
      </c>
      <c r="AO127" s="63" t="n">
        <f aca="false">IF(COUNT(L127:N127)&gt;0,AK127-AN127,"")</f>
        <v>115.186014858925</v>
      </c>
      <c r="AP127" s="63" t="n">
        <f aca="false">IF(COUNT(L127:N127)&gt;0,AK127+AN127,"")</f>
        <v>330.813985141075</v>
      </c>
      <c r="AQ127" s="64" t="n">
        <f aca="false">IF(COUNT(L127:N127)&gt;0,AM127/AK127,"")</f>
        <v>0.0538116591928251</v>
      </c>
    </row>
    <row r="128" customFormat="false" ht="12.8" hidden="false" customHeight="false" outlineLevel="0" collapsed="false">
      <c r="A128" s="56" t="s">
        <v>46</v>
      </c>
      <c r="B128" s="57" t="n">
        <v>30</v>
      </c>
      <c r="C128" s="56" t="n">
        <v>151</v>
      </c>
      <c r="D128" s="25" t="n">
        <v>179</v>
      </c>
      <c r="E128" s="57" t="n">
        <v>177</v>
      </c>
      <c r="F128" s="58" t="n">
        <v>121</v>
      </c>
      <c r="G128" s="0" t="n">
        <v>137</v>
      </c>
      <c r="H128" s="59" t="n">
        <v>146</v>
      </c>
      <c r="I128" s="56" t="n">
        <v>173</v>
      </c>
      <c r="J128" s="0" t="n">
        <v>153</v>
      </c>
      <c r="K128" s="57" t="n">
        <v>121</v>
      </c>
      <c r="L128" s="56"/>
      <c r="M128" s="0" t="n">
        <v>164</v>
      </c>
      <c r="N128" s="57" t="n">
        <v>160</v>
      </c>
      <c r="O128" s="65" t="n">
        <f aca="false">IF(SUM(C128:E128)&gt;0,AVERAGE(C128:E128),"")</f>
        <v>169</v>
      </c>
      <c r="P128" s="66" t="n">
        <f aca="false">IF(SUM(C128:E128)&gt;0, ( IF(C128&gt;0,(C128-O128)^2,0) + IF(D128&gt;0,(D128-O128)^2,0) + IF(E128&gt;0,(E128-O128)^2,0) ) / COUNT(C128:E128),"")</f>
        <v>162.666666666667</v>
      </c>
      <c r="Q128" s="63" t="n">
        <f aca="false">IF(SUM(C128:E128)&gt;0,SQRT(P128),"")</f>
        <v>12.7540843131393</v>
      </c>
      <c r="R128" s="63" t="n">
        <f aca="false">IF(COUNT(C128:E128)&gt;0,VLOOKUP(COUNT(C128:E128),$AX$2:$AZ$5,3)*(Q128/SQRT(COUNT(C128:E128))),"")</f>
        <v>31.6854589713045</v>
      </c>
      <c r="S128" s="63" t="n">
        <f aca="false">IF(COUNT(C128:E128)&gt;0,O128-R128,"")</f>
        <v>137.314541028696</v>
      </c>
      <c r="T128" s="63" t="n">
        <f aca="false">IF(COUNT(C128:E128)&gt;0,O128+R128,"")</f>
        <v>200.685458971305</v>
      </c>
      <c r="U128" s="64" t="n">
        <f aca="false">IF(COUNT(C128:E128)&gt;0,Q128/O128,"")</f>
        <v>0.0754679545156173</v>
      </c>
      <c r="V128" s="65" t="n">
        <f aca="false">IF(SUM(F128:H128)&gt;0,AVERAGE(F128:H128),"")</f>
        <v>134.666666666667</v>
      </c>
      <c r="W128" s="66" t="n">
        <f aca="false">IF(SUM(F128:H128)&gt;0, ( IF(F128&gt;0,(F128-V128)^2,0) + IF(G128&gt;0,(G128-V128)^2,0) + IF(H128&gt;0,(H128-V128)^2,0) ) / COUNT(F128:H128),"")</f>
        <v>106.888888888889</v>
      </c>
      <c r="X128" s="63" t="n">
        <f aca="false">IF(SUM(F128:H128)&gt;0,SQRT(W128),"")</f>
        <v>10.3387082795139</v>
      </c>
      <c r="Y128" s="63" t="n">
        <f aca="false">IF(COUNT(F128:H128)&gt;0,VLOOKUP(COUNT(F128:H128),$AX$2:$AZ$5,3)*(X128/SQRT(COUNT(F128:H128))),"")</f>
        <v>25.6848480035013</v>
      </c>
      <c r="Z128" s="63" t="n">
        <f aca="false">IF(COUNT(F128:H128)&gt;0,V128-Y128,"")</f>
        <v>108.981818663165</v>
      </c>
      <c r="AA128" s="63" t="n">
        <f aca="false">IF(COUNT(F128:H128)&gt;0,V128+Y128,"")</f>
        <v>160.351514670168</v>
      </c>
      <c r="AB128" s="64" t="n">
        <f aca="false">IF(COUNT(F128:H128)&gt;0,X128/V128,"")</f>
        <v>0.076772586234014</v>
      </c>
      <c r="AC128" s="26"/>
      <c r="AD128" s="65" t="n">
        <f aca="false">IF(SUM(I128:K128)&gt;0,AVERAGE(I128:K128),"")</f>
        <v>149</v>
      </c>
      <c r="AE128" s="66" t="n">
        <f aca="false">IF(SUM(I128:K128)&gt;0, ( IF(I128&gt;0,(I128-AD128)^2,0) + IF(J128&gt;0,(J128-AD128)^2,0) + IF(K128&gt;0,(K128-AD128)^2,0) ) / COUNT(I128:K128),"")</f>
        <v>458.666666666667</v>
      </c>
      <c r="AF128" s="63" t="n">
        <f aca="false">IF(SUM(I128:K128)&gt;0,SQRT(AE128),"")</f>
        <v>21.4165045389453</v>
      </c>
      <c r="AG128" s="63" t="n">
        <f aca="false">IF(COUNT(I128:K128)&gt;0,VLOOKUP(COUNT(I128:K128),$AX$2:$AZ$5,3)*(AF128/SQRT(COUNT(I128:K128))),"")</f>
        <v>53.205840514824</v>
      </c>
      <c r="AH128" s="63" t="n">
        <f aca="false">IF(COUNT(I128:K128)&gt;0,AD128-AG128,"")</f>
        <v>95.794159485176</v>
      </c>
      <c r="AI128" s="63" t="n">
        <f aca="false">IF(COUNT(I128:K128)&gt;0,AD128+AG128,"")</f>
        <v>202.205840514824</v>
      </c>
      <c r="AJ128" s="64" t="n">
        <f aca="false">IF(COUNT(I128:K128)&gt;0,AF128/AD128,"")</f>
        <v>0.14373492979158</v>
      </c>
      <c r="AK128" s="65" t="n">
        <f aca="false">IF(SUM(L128:N128)&gt;0,AVERAGE(L128:N128),"")</f>
        <v>162</v>
      </c>
      <c r="AL128" s="66" t="n">
        <f aca="false">IF(SUM(L128:N128)&gt;0, ( IF(L128&gt;0,(L128-AK128)^2,0) + IF(M128&gt;0,(M128-AK128)^2,0) + IF(N128&gt;0,(N128-AK128)^2,0) ) / COUNT(L128:N128),"")</f>
        <v>4</v>
      </c>
      <c r="AM128" s="63" t="n">
        <f aca="false">IF(SUM(L128:N128)&gt;0,SQRT(AL128),"")</f>
        <v>2</v>
      </c>
      <c r="AN128" s="63" t="n">
        <f aca="false">IF(COUNT(L128:N128)&gt;0,VLOOKUP(COUNT(L128:N128),$AX$2:$AZ$5,3)*(AM128/SQRT(COUNT(L128:N128))),"")</f>
        <v>17.9689975235125</v>
      </c>
      <c r="AO128" s="63" t="n">
        <f aca="false">IF(COUNT(L128:N128)&gt;0,AK128-AN128,"")</f>
        <v>144.031002476487</v>
      </c>
      <c r="AP128" s="63" t="n">
        <f aca="false">IF(COUNT(L128:N128)&gt;0,AK128+AN128,"")</f>
        <v>179.968997523513</v>
      </c>
      <c r="AQ128" s="64" t="n">
        <f aca="false">IF(COUNT(L128:N128)&gt;0,AM128/AK128,"")</f>
        <v>0.0123456790123457</v>
      </c>
    </row>
    <row r="129" customFormat="false" ht="12.8" hidden="false" customHeight="false" outlineLevel="0" collapsed="false">
      <c r="A129" s="56" t="s">
        <v>46</v>
      </c>
      <c r="B129" s="57" t="n">
        <v>40</v>
      </c>
      <c r="C129" s="56" t="n">
        <v>153</v>
      </c>
      <c r="D129" s="25" t="n">
        <v>151</v>
      </c>
      <c r="E129" s="57" t="n">
        <v>154</v>
      </c>
      <c r="F129" s="58" t="n">
        <v>95</v>
      </c>
      <c r="G129" s="0" t="n">
        <v>97</v>
      </c>
      <c r="H129" s="59" t="n">
        <v>113</v>
      </c>
      <c r="I129" s="56" t="n">
        <v>120</v>
      </c>
      <c r="K129" s="57" t="n">
        <v>140</v>
      </c>
      <c r="L129" s="56"/>
      <c r="M129" s="0" t="n">
        <v>273</v>
      </c>
      <c r="N129" s="57" t="n">
        <v>130</v>
      </c>
      <c r="O129" s="65" t="n">
        <f aca="false">IF(SUM(C129:E129)&gt;0,AVERAGE(C129:E129),"")</f>
        <v>152.666666666667</v>
      </c>
      <c r="P129" s="66" t="n">
        <f aca="false">IF(SUM(C129:E129)&gt;0, ( IF(C129&gt;0,(C129-O129)^2,0) + IF(D129&gt;0,(D129-O129)^2,0) + IF(E129&gt;0,(E129-O129)^2,0) ) / COUNT(C129:E129),"")</f>
        <v>1.55555555555556</v>
      </c>
      <c r="Q129" s="63" t="n">
        <f aca="false">IF(SUM(C129:E129)&gt;0,SQRT(P129),"")</f>
        <v>1.24721912892465</v>
      </c>
      <c r="R129" s="63" t="n">
        <f aca="false">IF(COUNT(C129:E129)&gt;0,VLOOKUP(COUNT(C129:E129),$AX$2:$AZ$5,3)*(Q129/SQRT(COUNT(C129:E129))),"")</f>
        <v>3.09851413613878</v>
      </c>
      <c r="S129" s="63" t="n">
        <f aca="false">IF(COUNT(C129:E129)&gt;0,O129-R129,"")</f>
        <v>149.568152530528</v>
      </c>
      <c r="T129" s="63" t="n">
        <f aca="false">IF(COUNT(C129:E129)&gt;0,O129+R129,"")</f>
        <v>155.765180802805</v>
      </c>
      <c r="U129" s="64" t="n">
        <f aca="false">IF(COUNT(C129:E129)&gt;0,Q129/O129,"")</f>
        <v>0.00816955761304354</v>
      </c>
      <c r="V129" s="65" t="n">
        <f aca="false">IF(SUM(F129:H129)&gt;0,AVERAGE(F129:H129),"")</f>
        <v>101.666666666667</v>
      </c>
      <c r="W129" s="66" t="n">
        <f aca="false">IF(SUM(F129:H129)&gt;0, ( IF(F129&gt;0,(F129-V129)^2,0) + IF(G129&gt;0,(G129-V129)^2,0) + IF(H129&gt;0,(H129-V129)^2,0) ) / COUNT(F129:H129),"")</f>
        <v>64.8888888888889</v>
      </c>
      <c r="X129" s="63" t="n">
        <f aca="false">IF(SUM(F129:H129)&gt;0,SQRT(W129),"")</f>
        <v>8.05536398239638</v>
      </c>
      <c r="Y129" s="63" t="n">
        <f aca="false">IF(COUNT(F129:H129)&gt;0,VLOOKUP(COUNT(F129:H129),$AX$2:$AZ$5,3)*(X129/SQRT(COUNT(F129:H129))),"")</f>
        <v>20.0122485234159</v>
      </c>
      <c r="Z129" s="63" t="n">
        <f aca="false">IF(COUNT(F129:H129)&gt;0,V129-Y129,"")</f>
        <v>81.6544181432507</v>
      </c>
      <c r="AA129" s="63" t="n">
        <f aca="false">IF(COUNT(F129:H129)&gt;0,V129+Y129,"")</f>
        <v>121.678915190083</v>
      </c>
      <c r="AB129" s="64" t="n">
        <f aca="false">IF(COUNT(F129:H129)&gt;0,X129/V129,"")</f>
        <v>0.0792330883514398</v>
      </c>
      <c r="AC129" s="26"/>
      <c r="AD129" s="65" t="n">
        <f aca="false">IF(SUM(I129:K129)&gt;0,AVERAGE(I129:K129),"")</f>
        <v>130</v>
      </c>
      <c r="AE129" s="66" t="n">
        <f aca="false">IF(SUM(I129:K129)&gt;0, ( IF(I129&gt;0,(I129-AD129)^2,0) + IF(J129&gt;0,(J129-AD129)^2,0) + IF(K129&gt;0,(K129-AD129)^2,0) ) / COUNT(I129:K129),"")</f>
        <v>100</v>
      </c>
      <c r="AF129" s="63" t="n">
        <f aca="false">IF(SUM(I129:K129)&gt;0,SQRT(AE129),"")</f>
        <v>10</v>
      </c>
      <c r="AG129" s="63" t="n">
        <f aca="false">IF(COUNT(I129:K129)&gt;0,VLOOKUP(COUNT(I129:K129),$AX$2:$AZ$5,3)*(AF129/SQRT(COUNT(I129:K129))),"")</f>
        <v>89.8449876175627</v>
      </c>
      <c r="AH129" s="63" t="n">
        <f aca="false">IF(COUNT(I129:K129)&gt;0,AD129-AG129,"")</f>
        <v>40.1550123824373</v>
      </c>
      <c r="AI129" s="63" t="n">
        <f aca="false">IF(COUNT(I129:K129)&gt;0,AD129+AG129,"")</f>
        <v>219.844987617563</v>
      </c>
      <c r="AJ129" s="64" t="n">
        <f aca="false">IF(COUNT(I129:K129)&gt;0,AF129/AD129,"")</f>
        <v>0.0769230769230769</v>
      </c>
      <c r="AK129" s="65" t="n">
        <f aca="false">IF(SUM(L129:N129)&gt;0,AVERAGE(L129:N129),"")</f>
        <v>201.5</v>
      </c>
      <c r="AL129" s="66" t="n">
        <f aca="false">IF(SUM(L129:N129)&gt;0, ( IF(L129&gt;0,(L129-AK129)^2,0) + IF(M129&gt;0,(M129-AK129)^2,0) + IF(N129&gt;0,(N129-AK129)^2,0) ) / COUNT(L129:N129),"")</f>
        <v>5112.25</v>
      </c>
      <c r="AM129" s="63" t="n">
        <f aca="false">IF(SUM(L129:N129)&gt;0,SQRT(AL129),"")</f>
        <v>71.5</v>
      </c>
      <c r="AN129" s="63" t="n">
        <f aca="false">IF(COUNT(L129:N129)&gt;0,VLOOKUP(COUNT(L129:N129),$AX$2:$AZ$5,3)*(AM129/SQRT(COUNT(L129:N129))),"")</f>
        <v>642.391661465573</v>
      </c>
      <c r="AO129" s="63" t="n">
        <f aca="false">IF(COUNT(L129:N129)&gt;0,AK129-AN129,"")</f>
        <v>-440.891661465573</v>
      </c>
      <c r="AP129" s="63" t="n">
        <f aca="false">IF(COUNT(L129:N129)&gt;0,AK129+AN129,"")</f>
        <v>843.891661465573</v>
      </c>
      <c r="AQ129" s="64" t="n">
        <f aca="false">IF(COUNT(L129:N129)&gt;0,AM129/AK129,"")</f>
        <v>0.354838709677419</v>
      </c>
    </row>
    <row r="130" customFormat="false" ht="12.8" hidden="false" customHeight="false" outlineLevel="0" collapsed="false">
      <c r="A130" s="56" t="s">
        <v>46</v>
      </c>
      <c r="B130" s="57" t="n">
        <v>50</v>
      </c>
      <c r="C130" s="56" t="n">
        <v>99</v>
      </c>
      <c r="D130" s="25" t="n">
        <v>120</v>
      </c>
      <c r="E130" s="57" t="n">
        <v>116</v>
      </c>
      <c r="F130" s="58" t="n">
        <v>82</v>
      </c>
      <c r="G130" s="0" t="n">
        <v>79</v>
      </c>
      <c r="H130" s="59" t="n">
        <v>83</v>
      </c>
      <c r="I130" s="56" t="n">
        <v>85</v>
      </c>
      <c r="J130" s="0" t="n">
        <v>116</v>
      </c>
      <c r="K130" s="57" t="n">
        <v>99</v>
      </c>
      <c r="L130" s="56"/>
      <c r="M130" s="0" t="n">
        <v>120</v>
      </c>
      <c r="N130" s="57" t="n">
        <v>113</v>
      </c>
      <c r="O130" s="65" t="n">
        <f aca="false">IF(SUM(C130:E130)&gt;0,AVERAGE(C130:E130),"")</f>
        <v>111.666666666667</v>
      </c>
      <c r="P130" s="66" t="n">
        <f aca="false">IF(SUM(C130:E130)&gt;0, ( IF(C130&gt;0,(C130-O130)^2,0) + IF(D130&gt;0,(D130-O130)^2,0) + IF(E130&gt;0,(E130-O130)^2,0) ) / COUNT(C130:E130),"")</f>
        <v>82.8888888888889</v>
      </c>
      <c r="Q130" s="63" t="n">
        <f aca="false">IF(SUM(C130:E130)&gt;0,SQRT(P130),"")</f>
        <v>9.10433352249844</v>
      </c>
      <c r="R130" s="63" t="n">
        <f aca="false">IF(COUNT(C130:E130)&gt;0,VLOOKUP(COUNT(C130:E130),$AX$2:$AZ$5,3)*(Q130/SQRT(COUNT(C130:E130))),"")</f>
        <v>22.6182436312584</v>
      </c>
      <c r="S130" s="63" t="n">
        <f aca="false">IF(COUNT(C130:E130)&gt;0,O130-R130,"")</f>
        <v>89.0484230354082</v>
      </c>
      <c r="T130" s="63" t="n">
        <f aca="false">IF(COUNT(C130:E130)&gt;0,O130+R130,"")</f>
        <v>134.284910297925</v>
      </c>
      <c r="U130" s="64" t="n">
        <f aca="false">IF(COUNT(C130:E130)&gt;0,Q130/O130,"")</f>
        <v>0.081531344977598</v>
      </c>
      <c r="V130" s="65" t="n">
        <f aca="false">IF(SUM(F130:H130)&gt;0,AVERAGE(F130:H130),"")</f>
        <v>81.3333333333333</v>
      </c>
      <c r="W130" s="66" t="n">
        <f aca="false">IF(SUM(F130:H130)&gt;0, ( IF(F130&gt;0,(F130-V130)^2,0) + IF(G130&gt;0,(G130-V130)^2,0) + IF(H130&gt;0,(H130-V130)^2,0) ) / COUNT(F130:H130),"")</f>
        <v>2.88888888888889</v>
      </c>
      <c r="X130" s="63" t="n">
        <f aca="false">IF(SUM(F130:H130)&gt;0,SQRT(W130),"")</f>
        <v>1.6996731711976</v>
      </c>
      <c r="Y130" s="63" t="n">
        <f aca="false">IF(COUNT(F130:H130)&gt;0,VLOOKUP(COUNT(F130:H130),$AX$2:$AZ$5,3)*(X130/SQRT(COUNT(F130:H130))),"")</f>
        <v>4.22256300086764</v>
      </c>
      <c r="Z130" s="63" t="n">
        <f aca="false">IF(COUNT(F130:H130)&gt;0,V130-Y130,"")</f>
        <v>77.1107703324657</v>
      </c>
      <c r="AA130" s="63" t="n">
        <f aca="false">IF(COUNT(F130:H130)&gt;0,V130+Y130,"")</f>
        <v>85.555896334201</v>
      </c>
      <c r="AB130" s="64" t="n">
        <f aca="false">IF(COUNT(F130:H130)&gt;0,X130/V130,"")</f>
        <v>0.0208976209573475</v>
      </c>
      <c r="AC130" s="26"/>
      <c r="AD130" s="65" t="n">
        <f aca="false">IF(SUM(I130:K130)&gt;0,AVERAGE(I130:K130),"")</f>
        <v>100</v>
      </c>
      <c r="AE130" s="66" t="n">
        <f aca="false">IF(SUM(I130:K130)&gt;0, ( IF(I130&gt;0,(I130-AD130)^2,0) + IF(J130&gt;0,(J130-AD130)^2,0) + IF(K130&gt;0,(K130-AD130)^2,0) ) / COUNT(I130:K130),"")</f>
        <v>160.666666666667</v>
      </c>
      <c r="AF130" s="63" t="n">
        <f aca="false">IF(SUM(I130:K130)&gt;0,SQRT(AE130),"")</f>
        <v>12.675435561221</v>
      </c>
      <c r="AG130" s="63" t="n">
        <f aca="false">IF(COUNT(I130:K130)&gt;0,VLOOKUP(COUNT(I130:K130),$AX$2:$AZ$5,3)*(AF130/SQRT(COUNT(I130:K130))),"")</f>
        <v>31.490068871877</v>
      </c>
      <c r="AH130" s="63" t="n">
        <f aca="false">IF(COUNT(I130:K130)&gt;0,AD130-AG130,"")</f>
        <v>68.509931128123</v>
      </c>
      <c r="AI130" s="63" t="n">
        <f aca="false">IF(COUNT(I130:K130)&gt;0,AD130+AG130,"")</f>
        <v>131.490068871877</v>
      </c>
      <c r="AJ130" s="64" t="n">
        <f aca="false">IF(COUNT(I130:K130)&gt;0,AF130/AD130,"")</f>
        <v>0.12675435561221</v>
      </c>
      <c r="AK130" s="65" t="n">
        <f aca="false">IF(SUM(L130:N130)&gt;0,AVERAGE(L130:N130),"")</f>
        <v>116.5</v>
      </c>
      <c r="AL130" s="66" t="n">
        <f aca="false">IF(SUM(L130:N130)&gt;0, ( IF(L130&gt;0,(L130-AK130)^2,0) + IF(M130&gt;0,(M130-AK130)^2,0) + IF(N130&gt;0,(N130-AK130)^2,0) ) / COUNT(L130:N130),"")</f>
        <v>12.25</v>
      </c>
      <c r="AM130" s="63" t="n">
        <f aca="false">IF(SUM(L130:N130)&gt;0,SQRT(AL130),"")</f>
        <v>3.5</v>
      </c>
      <c r="AN130" s="63" t="n">
        <f aca="false">IF(COUNT(L130:N130)&gt;0,VLOOKUP(COUNT(L130:N130),$AX$2:$AZ$5,3)*(AM130/SQRT(COUNT(L130:N130))),"")</f>
        <v>31.445745666147</v>
      </c>
      <c r="AO130" s="63" t="n">
        <f aca="false">IF(COUNT(L130:N130)&gt;0,AK130-AN130,"")</f>
        <v>85.054254333853</v>
      </c>
      <c r="AP130" s="63" t="n">
        <f aca="false">IF(COUNT(L130:N130)&gt;0,AK130+AN130,"")</f>
        <v>147.945745666147</v>
      </c>
      <c r="AQ130" s="64" t="n">
        <f aca="false">IF(COUNT(L130:N130)&gt;0,AM130/AK130,"")</f>
        <v>0.0300429184549356</v>
      </c>
    </row>
    <row r="131" customFormat="false" ht="12.8" hidden="false" customHeight="false" outlineLevel="0" collapsed="false">
      <c r="A131" s="56" t="s">
        <v>46</v>
      </c>
      <c r="B131" s="57" t="n">
        <v>64</v>
      </c>
      <c r="C131" s="56" t="n">
        <v>85</v>
      </c>
      <c r="D131" s="25" t="n">
        <v>112</v>
      </c>
      <c r="E131" s="57" t="n">
        <v>90</v>
      </c>
      <c r="F131" s="58" t="n">
        <v>68</v>
      </c>
      <c r="G131" s="0" t="n">
        <v>71</v>
      </c>
      <c r="H131" s="59" t="n">
        <v>63</v>
      </c>
      <c r="I131" s="56" t="n">
        <v>81</v>
      </c>
      <c r="J131" s="0" t="n">
        <v>119</v>
      </c>
      <c r="K131" s="57" t="n">
        <v>69</v>
      </c>
      <c r="L131" s="56"/>
      <c r="M131" s="0" t="n">
        <v>96</v>
      </c>
      <c r="N131" s="57" t="n">
        <v>92</v>
      </c>
      <c r="O131" s="65" t="n">
        <f aca="false">IF(SUM(C131:E131)&gt;0,AVERAGE(C131:E131),"")</f>
        <v>95.6666666666667</v>
      </c>
      <c r="P131" s="66" t="n">
        <f aca="false">IF(SUM(C131:E131)&gt;0, ( IF(C131&gt;0,(C131-O131)^2,0) + IF(D131&gt;0,(D131-O131)^2,0) + IF(E131&gt;0,(E131-O131)^2,0) ) / COUNT(C131:E131),"")</f>
        <v>137.555555555556</v>
      </c>
      <c r="Q131" s="63" t="n">
        <f aca="false">IF(SUM(C131:E131)&gt;0,SQRT(P131),"")</f>
        <v>11.7284080571728</v>
      </c>
      <c r="R131" s="63" t="n">
        <f aca="false">IF(COUNT(C131:E131)&gt;0,VLOOKUP(COUNT(C131:E131),$AX$2:$AZ$5,3)*(Q131/SQRT(COUNT(C131:E131))),"")</f>
        <v>29.1373322592372</v>
      </c>
      <c r="S131" s="63" t="n">
        <f aca="false">IF(COUNT(C131:E131)&gt;0,O131-R131,"")</f>
        <v>66.5293344074295</v>
      </c>
      <c r="T131" s="63" t="n">
        <f aca="false">IF(COUNT(C131:E131)&gt;0,O131+R131,"")</f>
        <v>124.803998925904</v>
      </c>
      <c r="U131" s="64" t="n">
        <f aca="false">IF(COUNT(C131:E131)&gt;0,Q131/O131,"")</f>
        <v>0.122596599900761</v>
      </c>
      <c r="V131" s="65" t="n">
        <f aca="false">IF(SUM(F131:H131)&gt;0,AVERAGE(F131:H131),"")</f>
        <v>67.3333333333333</v>
      </c>
      <c r="W131" s="66" t="n">
        <f aca="false">IF(SUM(F131:H131)&gt;0, ( IF(F131&gt;0,(F131-V131)^2,0) + IF(G131&gt;0,(G131-V131)^2,0) + IF(H131&gt;0,(H131-V131)^2,0) ) / COUNT(F131:H131),"")</f>
        <v>10.8888888888889</v>
      </c>
      <c r="X131" s="63" t="n">
        <f aca="false">IF(SUM(F131:H131)&gt;0,SQRT(W131),"")</f>
        <v>3.29983164553722</v>
      </c>
      <c r="Y131" s="63" t="n">
        <f aca="false">IF(COUNT(F131:H131)&gt;0,VLOOKUP(COUNT(F131:H131),$AX$2:$AZ$5,3)*(X131/SQRT(COUNT(F131:H131))),"")</f>
        <v>8.19789783804135</v>
      </c>
      <c r="Z131" s="63" t="n">
        <f aca="false">IF(COUNT(F131:H131)&gt;0,V131-Y131,"")</f>
        <v>59.135435495292</v>
      </c>
      <c r="AA131" s="63" t="n">
        <f aca="false">IF(COUNT(F131:H131)&gt;0,V131+Y131,"")</f>
        <v>75.5312311713747</v>
      </c>
      <c r="AB131" s="64" t="n">
        <f aca="false">IF(COUNT(F131:H131)&gt;0,X131/V131,"")</f>
        <v>0.0490074006762954</v>
      </c>
      <c r="AC131" s="26"/>
      <c r="AD131" s="65" t="n">
        <f aca="false">IF(SUM(I131:K131)&gt;0,AVERAGE(I131:K131),"")</f>
        <v>89.6666666666667</v>
      </c>
      <c r="AE131" s="66" t="n">
        <f aca="false">IF(SUM(I131:K131)&gt;0, ( IF(I131&gt;0,(I131-AD131)^2,0) + IF(J131&gt;0,(J131-AD131)^2,0) + IF(K131&gt;0,(K131-AD131)^2,0) ) / COUNT(I131:K131),"")</f>
        <v>454.222222222222</v>
      </c>
      <c r="AF131" s="63" t="n">
        <f aca="false">IF(SUM(I131:K131)&gt;0,SQRT(AE131),"")</f>
        <v>21.3124898175277</v>
      </c>
      <c r="AG131" s="63" t="n">
        <f aca="false">IF(COUNT(I131:K131)&gt;0,VLOOKUP(COUNT(I131:K131),$AX$2:$AZ$5,3)*(AF131/SQRT(COUNT(I131:K131))),"")</f>
        <v>52.9474327681781</v>
      </c>
      <c r="AH131" s="63" t="n">
        <f aca="false">IF(COUNT(I131:K131)&gt;0,AD131-AG131,"")</f>
        <v>36.7192338984886</v>
      </c>
      <c r="AI131" s="63" t="n">
        <f aca="false">IF(COUNT(I131:K131)&gt;0,AD131+AG131,"")</f>
        <v>142.614099434845</v>
      </c>
      <c r="AJ131" s="64" t="n">
        <f aca="false">IF(COUNT(I131:K131)&gt;0,AF131/AD131,"")</f>
        <v>0.237685760046777</v>
      </c>
      <c r="AK131" s="65" t="n">
        <f aca="false">IF(SUM(L131:N131)&gt;0,AVERAGE(L131:N131),"")</f>
        <v>94</v>
      </c>
      <c r="AL131" s="66" t="n">
        <f aca="false">IF(SUM(L131:N131)&gt;0, ( IF(L131&gt;0,(L131-AK131)^2,0) + IF(M131&gt;0,(M131-AK131)^2,0) + IF(N131&gt;0,(N131-AK131)^2,0) ) / COUNT(L131:N131),"")</f>
        <v>4</v>
      </c>
      <c r="AM131" s="63" t="n">
        <f aca="false">IF(SUM(L131:N131)&gt;0,SQRT(AL131),"")</f>
        <v>2</v>
      </c>
      <c r="AN131" s="63" t="n">
        <f aca="false">IF(COUNT(L131:N131)&gt;0,VLOOKUP(COUNT(L131:N131),$AX$2:$AZ$5,3)*(AM131/SQRT(COUNT(L131:N131))),"")</f>
        <v>17.9689975235125</v>
      </c>
      <c r="AO131" s="63" t="n">
        <f aca="false">IF(COUNT(L131:N131)&gt;0,AK131-AN131,"")</f>
        <v>76.0310024764875</v>
      </c>
      <c r="AP131" s="63" t="n">
        <f aca="false">IF(COUNT(L131:N131)&gt;0,AK131+AN131,"")</f>
        <v>111.968997523513</v>
      </c>
      <c r="AQ131" s="64" t="n">
        <f aca="false">IF(COUNT(L131:N131)&gt;0,AM131/AK131,"")</f>
        <v>0.0212765957446809</v>
      </c>
    </row>
    <row r="132" customFormat="false" ht="12.8" hidden="false" customHeight="false" outlineLevel="0" collapsed="false">
      <c r="A132" s="56" t="s">
        <v>46</v>
      </c>
      <c r="B132" s="57" t="n">
        <v>82</v>
      </c>
      <c r="C132" s="56" t="n">
        <v>73</v>
      </c>
      <c r="D132" s="25" t="n">
        <v>89</v>
      </c>
      <c r="E132" s="57" t="n">
        <v>75</v>
      </c>
      <c r="F132" s="58" t="n">
        <v>64</v>
      </c>
      <c r="G132" s="0" t="n">
        <v>56</v>
      </c>
      <c r="H132" s="59" t="n">
        <v>60</v>
      </c>
      <c r="I132" s="56" t="n">
        <v>70</v>
      </c>
      <c r="J132" s="0" t="n">
        <v>92</v>
      </c>
      <c r="K132" s="57" t="n">
        <v>76</v>
      </c>
      <c r="L132" s="56"/>
      <c r="M132" s="0" t="n">
        <v>104</v>
      </c>
      <c r="N132" s="57" t="n">
        <v>81</v>
      </c>
      <c r="O132" s="65" t="n">
        <f aca="false">IF(SUM(C132:E132)&gt;0,AVERAGE(C132:E132),"")</f>
        <v>79</v>
      </c>
      <c r="P132" s="66" t="n">
        <f aca="false">IF(SUM(C132:E132)&gt;0, ( IF(C132&gt;0,(C132-O132)^2,0) + IF(D132&gt;0,(D132-O132)^2,0) + IF(E132&gt;0,(E132-O132)^2,0) ) / COUNT(C132:E132),"")</f>
        <v>50.6666666666667</v>
      </c>
      <c r="Q132" s="63" t="n">
        <f aca="false">IF(SUM(C132:E132)&gt;0,SQRT(P132),"")</f>
        <v>7.11805216802087</v>
      </c>
      <c r="R132" s="63" t="n">
        <f aca="false">IF(COUNT(C132:E132)&gt;0,VLOOKUP(COUNT(C132:E132),$AX$2:$AZ$5,3)*(Q132/SQRT(COUNT(C132:E132))),"")</f>
        <v>17.6836489698503</v>
      </c>
      <c r="S132" s="63" t="n">
        <f aca="false">IF(COUNT(C132:E132)&gt;0,O132-R132,"")</f>
        <v>61.3163510301497</v>
      </c>
      <c r="T132" s="63" t="n">
        <f aca="false">IF(COUNT(C132:E132)&gt;0,O132+R132,"")</f>
        <v>96.6836489698503</v>
      </c>
      <c r="U132" s="64" t="n">
        <f aca="false">IF(COUNT(C132:E132)&gt;0,Q132/O132,"")</f>
        <v>0.0901019261774794</v>
      </c>
      <c r="V132" s="65" t="n">
        <f aca="false">IF(SUM(F132:H132)&gt;0,AVERAGE(F132:H132),"")</f>
        <v>60</v>
      </c>
      <c r="W132" s="66" t="n">
        <f aca="false">IF(SUM(F132:H132)&gt;0, ( IF(F132&gt;0,(F132-V132)^2,0) + IF(G132&gt;0,(G132-V132)^2,0) + IF(H132&gt;0,(H132-V132)^2,0) ) / COUNT(F132:H132),"")</f>
        <v>10.6666666666667</v>
      </c>
      <c r="X132" s="63" t="n">
        <f aca="false">IF(SUM(F132:H132)&gt;0,SQRT(W132),"")</f>
        <v>3.2659863237109</v>
      </c>
      <c r="Y132" s="63" t="n">
        <f aca="false">IF(COUNT(F132:H132)&gt;0,VLOOKUP(COUNT(F132:H132),$AX$2:$AZ$5,3)*(X132/SQRT(COUNT(F132:H132))),"")</f>
        <v>8.11381461185524</v>
      </c>
      <c r="Z132" s="63" t="n">
        <f aca="false">IF(COUNT(F132:H132)&gt;0,V132-Y132,"")</f>
        <v>51.8861853881448</v>
      </c>
      <c r="AA132" s="63" t="n">
        <f aca="false">IF(COUNT(F132:H132)&gt;0,V132+Y132,"")</f>
        <v>68.1138146118552</v>
      </c>
      <c r="AB132" s="64" t="n">
        <f aca="false">IF(COUNT(F132:H132)&gt;0,X132/V132,"")</f>
        <v>0.0544331053951817</v>
      </c>
      <c r="AC132" s="26"/>
      <c r="AD132" s="65" t="n">
        <f aca="false">IF(SUM(I132:K132)&gt;0,AVERAGE(I132:K132),"")</f>
        <v>79.3333333333333</v>
      </c>
      <c r="AE132" s="66" t="n">
        <f aca="false">IF(SUM(I132:K132)&gt;0, ( IF(I132&gt;0,(I132-AD132)^2,0) + IF(J132&gt;0,(J132-AD132)^2,0) + IF(K132&gt;0,(K132-AD132)^2,0) ) / COUNT(I132:K132),"")</f>
        <v>86.2222222222222</v>
      </c>
      <c r="AF132" s="63" t="n">
        <f aca="false">IF(SUM(I132:K132)&gt;0,SQRT(AE132),"")</f>
        <v>9.28559218478941</v>
      </c>
      <c r="AG132" s="63" t="n">
        <f aca="false">IF(COUNT(I132:K132)&gt;0,VLOOKUP(COUNT(I132:K132),$AX$2:$AZ$5,3)*(AF132/SQRT(COUNT(I132:K132))),"")</f>
        <v>23.0685514515774</v>
      </c>
      <c r="AH132" s="63" t="n">
        <f aca="false">IF(COUNT(I132:K132)&gt;0,AD132-AG132,"")</f>
        <v>56.2647818817559</v>
      </c>
      <c r="AI132" s="63" t="n">
        <f aca="false">IF(COUNT(I132:K132)&gt;0,AD132+AG132,"")</f>
        <v>102.401884784911</v>
      </c>
      <c r="AJ132" s="64" t="n">
        <f aca="false">IF(COUNT(I132:K132)&gt;0,AF132/AD132,"")</f>
        <v>0.117045279640203</v>
      </c>
      <c r="AK132" s="65" t="n">
        <f aca="false">IF(SUM(L132:N132)&gt;0,AVERAGE(L132:N132),"")</f>
        <v>92.5</v>
      </c>
      <c r="AL132" s="66" t="n">
        <f aca="false">IF(SUM(L132:N132)&gt;0, ( IF(L132&gt;0,(L132-AK132)^2,0) + IF(M132&gt;0,(M132-AK132)^2,0) + IF(N132&gt;0,(N132-AK132)^2,0) ) / COUNT(L132:N132),"")</f>
        <v>132.25</v>
      </c>
      <c r="AM132" s="63" t="n">
        <f aca="false">IF(SUM(L132:N132)&gt;0,SQRT(AL132),"")</f>
        <v>11.5</v>
      </c>
      <c r="AN132" s="63" t="n">
        <f aca="false">IF(COUNT(L132:N132)&gt;0,VLOOKUP(COUNT(L132:N132),$AX$2:$AZ$5,3)*(AM132/SQRT(COUNT(L132:N132))),"")</f>
        <v>103.321735760197</v>
      </c>
      <c r="AO132" s="63" t="n">
        <f aca="false">IF(COUNT(L132:N132)&gt;0,AK132-AN132,"")</f>
        <v>-10.8217357601971</v>
      </c>
      <c r="AP132" s="63" t="n">
        <f aca="false">IF(COUNT(L132:N132)&gt;0,AK132+AN132,"")</f>
        <v>195.821735760197</v>
      </c>
      <c r="AQ132" s="64" t="n">
        <f aca="false">IF(COUNT(L132:N132)&gt;0,AM132/AK132,"")</f>
        <v>0.124324324324324</v>
      </c>
    </row>
    <row r="133" customFormat="false" ht="12.8" hidden="false" customHeight="false" outlineLevel="0" collapsed="false">
      <c r="A133" s="56" t="s">
        <v>46</v>
      </c>
      <c r="B133" s="57" t="n">
        <v>100</v>
      </c>
      <c r="C133" s="56" t="n">
        <v>54</v>
      </c>
      <c r="D133" s="25" t="n">
        <v>71</v>
      </c>
      <c r="E133" s="57" t="n">
        <v>78</v>
      </c>
      <c r="F133" s="58" t="n">
        <v>54</v>
      </c>
      <c r="G133" s="0" t="n">
        <v>52</v>
      </c>
      <c r="H133" s="59" t="n">
        <v>55</v>
      </c>
      <c r="I133" s="56" t="n">
        <v>66</v>
      </c>
      <c r="J133" s="0" t="n">
        <v>64</v>
      </c>
      <c r="K133" s="57"/>
      <c r="L133" s="56"/>
      <c r="M133" s="0" t="n">
        <v>73</v>
      </c>
      <c r="N133" s="57" t="n">
        <v>59</v>
      </c>
      <c r="O133" s="65" t="n">
        <f aca="false">IF(SUM(C133:E133)&gt;0,AVERAGE(C133:E133),"")</f>
        <v>67.6666666666667</v>
      </c>
      <c r="P133" s="66" t="n">
        <f aca="false">IF(SUM(C133:E133)&gt;0, ( IF(C133&gt;0,(C133-O133)^2,0) + IF(D133&gt;0,(D133-O133)^2,0) + IF(E133&gt;0,(E133-O133)^2,0) ) / COUNT(C133:E133),"")</f>
        <v>101.555555555556</v>
      </c>
      <c r="Q133" s="63" t="n">
        <f aca="false">IF(SUM(C133:E133)&gt;0,SQRT(P133),"")</f>
        <v>10.077477638554</v>
      </c>
      <c r="R133" s="63" t="n">
        <f aca="false">IF(COUNT(C133:E133)&gt;0,VLOOKUP(COUNT(C133:E133),$AX$2:$AZ$5,3)*(Q133/SQRT(COUNT(C133:E133))),"")</f>
        <v>25.0358627409799</v>
      </c>
      <c r="S133" s="63" t="n">
        <f aca="false">IF(COUNT(C133:E133)&gt;0,O133-R133,"")</f>
        <v>42.6308039256868</v>
      </c>
      <c r="T133" s="63" t="n">
        <f aca="false">IF(COUNT(C133:E133)&gt;0,O133+R133,"")</f>
        <v>92.7025294076466</v>
      </c>
      <c r="U133" s="64" t="n">
        <f aca="false">IF(COUNT(C133:E133)&gt;0,Q133/O133,"")</f>
        <v>0.148928240963852</v>
      </c>
      <c r="V133" s="65" t="n">
        <f aca="false">IF(SUM(F133:H133)&gt;0,AVERAGE(F133:H133),"")</f>
        <v>53.6666666666667</v>
      </c>
      <c r="W133" s="66" t="n">
        <f aca="false">IF(SUM(F133:H133)&gt;0, ( IF(F133&gt;0,(F133-V133)^2,0) + IF(G133&gt;0,(G133-V133)^2,0) + IF(H133&gt;0,(H133-V133)^2,0) ) / COUNT(F133:H133),"")</f>
        <v>1.55555555555556</v>
      </c>
      <c r="X133" s="63" t="n">
        <f aca="false">IF(SUM(F133:H133)&gt;0,SQRT(W133),"")</f>
        <v>1.24721912892465</v>
      </c>
      <c r="Y133" s="63" t="n">
        <f aca="false">IF(COUNT(F133:H133)&gt;0,VLOOKUP(COUNT(F133:H133),$AX$2:$AZ$5,3)*(X133/SQRT(COUNT(F133:H133))),"")</f>
        <v>3.09851413613878</v>
      </c>
      <c r="Z133" s="63" t="n">
        <f aca="false">IF(COUNT(F133:H133)&gt;0,V133-Y133,"")</f>
        <v>50.5681525305279</v>
      </c>
      <c r="AA133" s="63" t="n">
        <f aca="false">IF(COUNT(F133:H133)&gt;0,V133+Y133,"")</f>
        <v>56.7651808028054</v>
      </c>
      <c r="AB133" s="64" t="n">
        <f aca="false">IF(COUNT(F133:H133)&gt;0,X133/V133,"")</f>
        <v>0.0232401079923847</v>
      </c>
      <c r="AC133" s="26"/>
      <c r="AD133" s="65" t="n">
        <f aca="false">IF(SUM(I133:K133)&gt;0,AVERAGE(I133:K133),"")</f>
        <v>65</v>
      </c>
      <c r="AE133" s="66" t="n">
        <f aca="false">IF(SUM(I133:K133)&gt;0, ( IF(I133&gt;0,(I133-AD133)^2,0) + IF(J133&gt;0,(J133-AD133)^2,0) + IF(K133&gt;0,(K133-AD133)^2,0) ) / COUNT(I133:K133),"")</f>
        <v>1</v>
      </c>
      <c r="AF133" s="63" t="n">
        <f aca="false">IF(SUM(I133:K133)&gt;0,SQRT(AE133),"")</f>
        <v>1</v>
      </c>
      <c r="AG133" s="63" t="n">
        <f aca="false">IF(COUNT(I133:K133)&gt;0,VLOOKUP(COUNT(I133:K133),$AX$2:$AZ$5,3)*(AF133/SQRT(COUNT(I133:K133))),"")</f>
        <v>8.98449876175627</v>
      </c>
      <c r="AH133" s="63" t="n">
        <f aca="false">IF(COUNT(I133:K133)&gt;0,AD133-AG133,"")</f>
        <v>56.0155012382437</v>
      </c>
      <c r="AI133" s="63" t="n">
        <f aca="false">IF(COUNT(I133:K133)&gt;0,AD133+AG133,"")</f>
        <v>73.9844987617563</v>
      </c>
      <c r="AJ133" s="64" t="n">
        <f aca="false">IF(COUNT(I133:K133)&gt;0,AF133/AD133,"")</f>
        <v>0.0153846153846154</v>
      </c>
      <c r="AK133" s="65" t="n">
        <f aca="false">IF(SUM(L133:N133)&gt;0,AVERAGE(L133:N133),"")</f>
        <v>66</v>
      </c>
      <c r="AL133" s="66" t="n">
        <f aca="false">IF(SUM(L133:N133)&gt;0, ( IF(L133&gt;0,(L133-AK133)^2,0) + IF(M133&gt;0,(M133-AK133)^2,0) + IF(N133&gt;0,(N133-AK133)^2,0) ) / COUNT(L133:N133),"")</f>
        <v>49</v>
      </c>
      <c r="AM133" s="63" t="n">
        <f aca="false">IF(SUM(L133:N133)&gt;0,SQRT(AL133),"")</f>
        <v>7</v>
      </c>
      <c r="AN133" s="63" t="n">
        <f aca="false">IF(COUNT(L133:N133)&gt;0,VLOOKUP(COUNT(L133:N133),$AX$2:$AZ$5,3)*(AM133/SQRT(COUNT(L133:N133))),"")</f>
        <v>62.8914913322939</v>
      </c>
      <c r="AO133" s="63" t="n">
        <f aca="false">IF(COUNT(L133:N133)&gt;0,AK133-AN133,"")</f>
        <v>3.10850866770609</v>
      </c>
      <c r="AP133" s="63" t="n">
        <f aca="false">IF(COUNT(L133:N133)&gt;0,AK133+AN133,"")</f>
        <v>128.891491332294</v>
      </c>
      <c r="AQ133" s="64" t="n">
        <f aca="false">IF(COUNT(L133:N133)&gt;0,AM133/AK133,"")</f>
        <v>0.106060606060606</v>
      </c>
    </row>
    <row r="134" customFormat="false" ht="12.8" hidden="false" customHeight="false" outlineLevel="0" collapsed="false">
      <c r="A134" s="56" t="s">
        <v>47</v>
      </c>
      <c r="B134" s="57" t="n">
        <v>5</v>
      </c>
      <c r="C134" s="56"/>
      <c r="D134" s="25"/>
      <c r="E134" s="57"/>
      <c r="F134" s="58"/>
      <c r="H134" s="59"/>
      <c r="I134" s="56"/>
      <c r="K134" s="57"/>
      <c r="L134" s="56"/>
      <c r="N134" s="57"/>
      <c r="O134" s="65" t="str">
        <f aca="false">IF(SUM(C134:E134)&gt;0,AVERAGE(C134:E134),"")</f>
        <v/>
      </c>
      <c r="P134" s="66" t="str">
        <f aca="false">IF(SUM(C134:E134)&gt;0, ( IF(C134&gt;0,(C134-O134)^2,0) + IF(D134&gt;0,(D134-O134)^2,0) + IF(E134&gt;0,(E134-O134)^2,0) ) / COUNT(C134:E134),"")</f>
        <v/>
      </c>
      <c r="Q134" s="63" t="str">
        <f aca="false">IF(SUM(C134:E134)&gt;0,SQRT(P134),"")</f>
        <v/>
      </c>
      <c r="R134" s="63" t="str">
        <f aca="false">IF(COUNT(C134:E134)&gt;0,VLOOKUP(COUNT(C134:E134),$AX$2:$AZ$5,3)*(Q134/SQRT(COUNT(C134:E134))),"")</f>
        <v/>
      </c>
      <c r="S134" s="63" t="str">
        <f aca="false">IF(COUNT(C134:E134)&gt;0,O134-R134,"")</f>
        <v/>
      </c>
      <c r="T134" s="63" t="str">
        <f aca="false">IF(COUNT(C134:E134)&gt;0,O134+R134,"")</f>
        <v/>
      </c>
      <c r="U134" s="64" t="str">
        <f aca="false">IF(COUNT(C134:E134)&gt;0,Q134/O134,"")</f>
        <v/>
      </c>
      <c r="V134" s="65" t="str">
        <f aca="false">IF(SUM(F134:H134)&gt;0,AVERAGE(F134:H134),"")</f>
        <v/>
      </c>
      <c r="W134" s="66" t="str">
        <f aca="false">IF(SUM(F134:H134)&gt;0, ( IF(F134&gt;0,(F134-V134)^2,0) + IF(G134&gt;0,(G134-V134)^2,0) + IF(H134&gt;0,(H134-V134)^2,0) ) / COUNT(F134:H134),"")</f>
        <v/>
      </c>
      <c r="X134" s="63" t="str">
        <f aca="false">IF(SUM(F134:H134)&gt;0,SQRT(W134),"")</f>
        <v/>
      </c>
      <c r="Y134" s="63" t="str">
        <f aca="false">IF(COUNT(F134:H134)&gt;0,VLOOKUP(COUNT(F134:H134),$AX$2:$AZ$5,3)*(X134/SQRT(COUNT(F134:H134))),"")</f>
        <v/>
      </c>
      <c r="Z134" s="63" t="str">
        <f aca="false">IF(COUNT(F134:H134)&gt;0,V134-Y134,"")</f>
        <v/>
      </c>
      <c r="AA134" s="63" t="str">
        <f aca="false">IF(COUNT(F134:H134)&gt;0,V134+Y134,"")</f>
        <v/>
      </c>
      <c r="AB134" s="64" t="str">
        <f aca="false">IF(COUNT(F134:H134)&gt;0,X134/V134,"")</f>
        <v/>
      </c>
      <c r="AC134" s="26"/>
      <c r="AD134" s="65" t="str">
        <f aca="false">IF(SUM(I134:K134)&gt;0,AVERAGE(I134:K134),"")</f>
        <v/>
      </c>
      <c r="AE134" s="66" t="str">
        <f aca="false">IF(SUM(I134:K134)&gt;0, ( IF(I134&gt;0,(I134-AD134)^2,0) + IF(J134&gt;0,(J134-AD134)^2,0) + IF(K134&gt;0,(K134-AD134)^2,0) ) / COUNT(I134:K134),"")</f>
        <v/>
      </c>
      <c r="AF134" s="63" t="str">
        <f aca="false">IF(SUM(I134:K134)&gt;0,SQRT(AE134),"")</f>
        <v/>
      </c>
      <c r="AG134" s="63" t="str">
        <f aca="false">IF(COUNT(I134:K134)&gt;0,VLOOKUP(COUNT(I134:K134),$AX$2:$AZ$5,3)*(AF134/SQRT(COUNT(I134:K134))),"")</f>
        <v/>
      </c>
      <c r="AH134" s="63" t="str">
        <f aca="false">IF(COUNT(I134:K134)&gt;0,AD134-AG134,"")</f>
        <v/>
      </c>
      <c r="AI134" s="63" t="str">
        <f aca="false">IF(COUNT(I134:K134)&gt;0,AD134+AG134,"")</f>
        <v/>
      </c>
      <c r="AJ134" s="64" t="str">
        <f aca="false">IF(COUNT(I134:K134)&gt;0,AF134/AD134,"")</f>
        <v/>
      </c>
      <c r="AK134" s="65" t="str">
        <f aca="false">IF(SUM(L134:N134)&gt;0,AVERAGE(L134:N134),"")</f>
        <v/>
      </c>
      <c r="AL134" s="66" t="str">
        <f aca="false">IF(SUM(L134:N134)&gt;0, ( IF(L134&gt;0,(L134-AK134)^2,0) + IF(M134&gt;0,(M134-AK134)^2,0) + IF(N134&gt;0,(N134-AK134)^2,0) ) / COUNT(L134:N134),"")</f>
        <v/>
      </c>
      <c r="AM134" s="63" t="str">
        <f aca="false">IF(SUM(L134:N134)&gt;0,SQRT(AL134),"")</f>
        <v/>
      </c>
      <c r="AN134" s="63" t="str">
        <f aca="false">IF(COUNT(L134:N134)&gt;0,VLOOKUP(COUNT(L134:N134),$AX$2:$AZ$5,3)*(AM134/SQRT(COUNT(L134:N134))),"")</f>
        <v/>
      </c>
      <c r="AO134" s="63" t="str">
        <f aca="false">IF(COUNT(L134:N134)&gt;0,AK134-AN134,"")</f>
        <v/>
      </c>
      <c r="AP134" s="63" t="str">
        <f aca="false">IF(COUNT(L134:N134)&gt;0,AK134+AN134,"")</f>
        <v/>
      </c>
      <c r="AQ134" s="64" t="str">
        <f aca="false">IF(COUNT(L134:N134)&gt;0,AM134/AK134,"")</f>
        <v/>
      </c>
    </row>
    <row r="135" customFormat="false" ht="12.8" hidden="false" customHeight="false" outlineLevel="0" collapsed="false">
      <c r="A135" s="56" t="s">
        <v>47</v>
      </c>
      <c r="B135" s="57" t="n">
        <v>10</v>
      </c>
      <c r="C135" s="56" t="n">
        <v>3024</v>
      </c>
      <c r="D135" s="25"/>
      <c r="E135" s="57"/>
      <c r="F135" s="58" t="n">
        <v>2335</v>
      </c>
      <c r="G135" s="0" t="n">
        <v>2001</v>
      </c>
      <c r="H135" s="59" t="n">
        <v>1997</v>
      </c>
      <c r="I135" s="56" t="n">
        <v>2724</v>
      </c>
      <c r="K135" s="57" t="n">
        <v>1489</v>
      </c>
      <c r="L135" s="56"/>
      <c r="N135" s="57"/>
      <c r="O135" s="65" t="n">
        <f aca="false">IF(SUM(C135:E135)&gt;0,AVERAGE(C135:E135),"")</f>
        <v>3024</v>
      </c>
      <c r="P135" s="66" t="n">
        <f aca="false">IF(SUM(C135:E135)&gt;0, ( IF(C135&gt;0,(C135-O135)^2,0) + IF(D135&gt;0,(D135-O135)^2,0) + IF(E135&gt;0,(E135-O135)^2,0) ) / COUNT(C135:E135),"")</f>
        <v>0</v>
      </c>
      <c r="Q135" s="63" t="n">
        <f aca="false">IF(SUM(C135:E135)&gt;0,SQRT(P135),"")</f>
        <v>0</v>
      </c>
      <c r="R135" s="63" t="n">
        <f aca="false">IF(COUNT(C135:E135)&gt;0,VLOOKUP(COUNT(C135:E135),$AX$2:$AZ$5,3)*(Q135/SQRT(COUNT(C135:E135))),"")</f>
        <v>0</v>
      </c>
      <c r="S135" s="63" t="n">
        <f aca="false">IF(COUNT(C135:E135)&gt;0,O135-R135,"")</f>
        <v>3024</v>
      </c>
      <c r="T135" s="63" t="n">
        <f aca="false">IF(COUNT(C135:E135)&gt;0,O135+R135,"")</f>
        <v>3024</v>
      </c>
      <c r="U135" s="64" t="n">
        <f aca="false">IF(COUNT(C135:E135)&gt;0,Q135/O135,"")</f>
        <v>0</v>
      </c>
      <c r="V135" s="65" t="n">
        <f aca="false">IF(SUM(F135:H135)&gt;0,AVERAGE(F135:H135),"")</f>
        <v>2111</v>
      </c>
      <c r="W135" s="66" t="n">
        <f aca="false">IF(SUM(F135:H135)&gt;0, ( IF(F135&gt;0,(F135-V135)^2,0) + IF(G135&gt;0,(G135-V135)^2,0) + IF(H135&gt;0,(H135-V135)^2,0) ) / COUNT(F135:H135),"")</f>
        <v>25090.6666666667</v>
      </c>
      <c r="X135" s="63" t="n">
        <f aca="false">IF(SUM(F135:H135)&gt;0,SQRT(W135),"")</f>
        <v>158.400336699979</v>
      </c>
      <c r="Y135" s="63" t="n">
        <f aca="false">IF(COUNT(F135:H135)&gt;0,VLOOKUP(COUNT(F135:H135),$AX$2:$AZ$5,3)*(X135/SQRT(COUNT(F135:H135))),"")</f>
        <v>393.520008674979</v>
      </c>
      <c r="Z135" s="63" t="n">
        <f aca="false">IF(COUNT(F135:H135)&gt;0,V135-Y135,"")</f>
        <v>1717.47999132502</v>
      </c>
      <c r="AA135" s="63" t="n">
        <f aca="false">IF(COUNT(F135:H135)&gt;0,V135+Y135,"")</f>
        <v>2504.52000867498</v>
      </c>
      <c r="AB135" s="64" t="n">
        <f aca="false">IF(COUNT(F135:H135)&gt;0,X135/V135,"")</f>
        <v>0.0750356876835523</v>
      </c>
      <c r="AC135" s="26"/>
      <c r="AD135" s="65" t="n">
        <f aca="false">IF(SUM(I135:K135)&gt;0,AVERAGE(I135:K135),"")</f>
        <v>2106.5</v>
      </c>
      <c r="AE135" s="66" t="n">
        <f aca="false">IF(SUM(I135:K135)&gt;0, ( IF(I135&gt;0,(I135-AD135)^2,0) + IF(J135&gt;0,(J135-AD135)^2,0) + IF(K135&gt;0,(K135-AD135)^2,0) ) / COUNT(I135:K135),"")</f>
        <v>381306.25</v>
      </c>
      <c r="AF135" s="63" t="n">
        <f aca="false">IF(SUM(I135:K135)&gt;0,SQRT(AE135),"")</f>
        <v>617.5</v>
      </c>
      <c r="AG135" s="63" t="n">
        <f aca="false">IF(COUNT(I135:K135)&gt;0,VLOOKUP(COUNT(I135:K135),$AX$2:$AZ$5,3)*(AF135/SQRT(COUNT(I135:K135))),"")</f>
        <v>5547.9279853845</v>
      </c>
      <c r="AH135" s="63" t="n">
        <f aca="false">IF(COUNT(I135:K135)&gt;0,AD135-AG135,"")</f>
        <v>-3441.4279853845</v>
      </c>
      <c r="AI135" s="63" t="n">
        <f aca="false">IF(COUNT(I135:K135)&gt;0,AD135+AG135,"")</f>
        <v>7654.4279853845</v>
      </c>
      <c r="AJ135" s="64" t="n">
        <f aca="false">IF(COUNT(I135:K135)&gt;0,AF135/AD135,"")</f>
        <v>0.29314028008545</v>
      </c>
      <c r="AK135" s="65" t="str">
        <f aca="false">IF(SUM(L135:N135)&gt;0,AVERAGE(L135:N135),"")</f>
        <v/>
      </c>
      <c r="AL135" s="66" t="str">
        <f aca="false">IF(SUM(L135:N135)&gt;0, ( IF(L135&gt;0,(L135-AK135)^2,0) + IF(M135&gt;0,(M135-AK135)^2,0) + IF(N135&gt;0,(N135-AK135)^2,0) ) / COUNT(L135:N135),"")</f>
        <v/>
      </c>
      <c r="AM135" s="63" t="str">
        <f aca="false">IF(SUM(L135:N135)&gt;0,SQRT(AL135),"")</f>
        <v/>
      </c>
      <c r="AN135" s="63" t="str">
        <f aca="false">IF(COUNT(L135:N135)&gt;0,VLOOKUP(COUNT(L135:N135),$AX$2:$AZ$5,3)*(AM135/SQRT(COUNT(L135:N135))),"")</f>
        <v/>
      </c>
      <c r="AO135" s="63" t="str">
        <f aca="false">IF(COUNT(L135:N135)&gt;0,AK135-AN135,"")</f>
        <v/>
      </c>
      <c r="AP135" s="63" t="str">
        <f aca="false">IF(COUNT(L135:N135)&gt;0,AK135+AN135,"")</f>
        <v/>
      </c>
      <c r="AQ135" s="64" t="str">
        <f aca="false">IF(COUNT(L135:N135)&gt;0,AM135/AK135,"")</f>
        <v/>
      </c>
    </row>
    <row r="136" customFormat="false" ht="12.8" hidden="false" customHeight="false" outlineLevel="0" collapsed="false">
      <c r="A136" s="56" t="s">
        <v>47</v>
      </c>
      <c r="B136" s="57" t="n">
        <v>15</v>
      </c>
      <c r="C136" s="56" t="n">
        <v>1766</v>
      </c>
      <c r="D136" s="25" t="n">
        <v>1589</v>
      </c>
      <c r="E136" s="57" t="n">
        <v>1840</v>
      </c>
      <c r="F136" s="58" t="n">
        <v>1479</v>
      </c>
      <c r="G136" s="0" t="n">
        <v>1426</v>
      </c>
      <c r="H136" s="59" t="n">
        <v>1288</v>
      </c>
      <c r="I136" s="56" t="n">
        <v>1409</v>
      </c>
      <c r="J136" s="0" t="n">
        <v>1490</v>
      </c>
      <c r="K136" s="57" t="n">
        <v>1231</v>
      </c>
      <c r="L136" s="56"/>
      <c r="M136" s="0" t="n">
        <v>1528</v>
      </c>
      <c r="N136" s="57" t="n">
        <v>1526</v>
      </c>
      <c r="O136" s="65" t="n">
        <f aca="false">IF(SUM(C136:E136)&gt;0,AVERAGE(C136:E136),"")</f>
        <v>1731.66666666667</v>
      </c>
      <c r="P136" s="66" t="n">
        <f aca="false">IF(SUM(C136:E136)&gt;0, ( IF(C136&gt;0,(C136-O136)^2,0) + IF(D136&gt;0,(D136-O136)^2,0) + IF(E136&gt;0,(E136-O136)^2,0) ) / COUNT(C136:E136),"")</f>
        <v>11089.5555555556</v>
      </c>
      <c r="Q136" s="63" t="n">
        <f aca="false">IF(SUM(C136:E136)&gt;0,SQRT(P136),"")</f>
        <v>105.306958723323</v>
      </c>
      <c r="R136" s="63" t="n">
        <f aca="false">IF(COUNT(C136:E136)&gt;0,VLOOKUP(COUNT(C136:E136),$AX$2:$AZ$5,3)*(Q136/SQRT(COUNT(C136:E136))),"")</f>
        <v>261.618101158639</v>
      </c>
      <c r="S136" s="63" t="n">
        <f aca="false">IF(COUNT(C136:E136)&gt;0,O136-R136,"")</f>
        <v>1470.04856550803</v>
      </c>
      <c r="T136" s="63" t="n">
        <f aca="false">IF(COUNT(C136:E136)&gt;0,O136+R136,"")</f>
        <v>1993.28476782531</v>
      </c>
      <c r="U136" s="64" t="n">
        <f aca="false">IF(COUNT(C136:E136)&gt;0,Q136/O136,"")</f>
        <v>0.0608124881944115</v>
      </c>
      <c r="V136" s="65" t="n">
        <f aca="false">IF(SUM(F136:H136)&gt;0,AVERAGE(F136:H136),"")</f>
        <v>1397.66666666667</v>
      </c>
      <c r="W136" s="66" t="n">
        <f aca="false">IF(SUM(F136:H136)&gt;0, ( IF(F136&gt;0,(F136-V136)^2,0) + IF(G136&gt;0,(G136-V136)^2,0) + IF(H136&gt;0,(H136-V136)^2,0) ) / COUNT(F136:H136),"")</f>
        <v>6481.55555555556</v>
      </c>
      <c r="X136" s="63" t="n">
        <f aca="false">IF(SUM(F136:H136)&gt;0,SQRT(W136),"")</f>
        <v>80.5081086323332</v>
      </c>
      <c r="Y136" s="63" t="n">
        <f aca="false">IF(COUNT(F136:H136)&gt;0,VLOOKUP(COUNT(F136:H136),$AX$2:$AZ$5,3)*(X136/SQRT(COUNT(F136:H136))),"")</f>
        <v>200.009370355121</v>
      </c>
      <c r="Z136" s="63" t="n">
        <f aca="false">IF(COUNT(F136:H136)&gt;0,V136-Y136,"")</f>
        <v>1197.65729631155</v>
      </c>
      <c r="AA136" s="63" t="n">
        <f aca="false">IF(COUNT(F136:H136)&gt;0,V136+Y136,"")</f>
        <v>1597.67603702179</v>
      </c>
      <c r="AB136" s="64" t="n">
        <f aca="false">IF(COUNT(F136:H136)&gt;0,X136/V136,"")</f>
        <v>0.0576017948716908</v>
      </c>
      <c r="AC136" s="26"/>
      <c r="AD136" s="65" t="n">
        <f aca="false">IF(SUM(I136:K136)&gt;0,AVERAGE(I136:K136),"")</f>
        <v>1376.66666666667</v>
      </c>
      <c r="AE136" s="66" t="n">
        <f aca="false">IF(SUM(I136:K136)&gt;0, ( IF(I136&gt;0,(I136-AD136)^2,0) + IF(J136&gt;0,(J136-AD136)^2,0) + IF(K136&gt;0,(K136-AD136)^2,0) ) / COUNT(I136:K136),"")</f>
        <v>11702.8888888889</v>
      </c>
      <c r="AF136" s="63" t="n">
        <f aca="false">IF(SUM(I136:K136)&gt;0,SQRT(AE136),"")</f>
        <v>108.17989133332</v>
      </c>
      <c r="AG136" s="63" t="n">
        <f aca="false">IF(COUNT(I136:K136)&gt;0,VLOOKUP(COUNT(I136:K136),$AX$2:$AZ$5,3)*(AF136/SQRT(COUNT(I136:K136))),"")</f>
        <v>268.755437411592</v>
      </c>
      <c r="AH136" s="63" t="n">
        <f aca="false">IF(COUNT(I136:K136)&gt;0,AD136-AG136,"")</f>
        <v>1107.91122925507</v>
      </c>
      <c r="AI136" s="63" t="n">
        <f aca="false">IF(COUNT(I136:K136)&gt;0,AD136+AG136,"")</f>
        <v>1645.42210407826</v>
      </c>
      <c r="AJ136" s="64" t="n">
        <f aca="false">IF(COUNT(I136:K136)&gt;0,AF136/AD136,"")</f>
        <v>0.0785810348668183</v>
      </c>
      <c r="AK136" s="65" t="n">
        <f aca="false">IF(SUM(L136:N136)&gt;0,AVERAGE(L136:N136),"")</f>
        <v>1527</v>
      </c>
      <c r="AL136" s="66" t="n">
        <f aca="false">IF(SUM(L136:N136)&gt;0, ( IF(L136&gt;0,(L136-AK136)^2,0) + IF(M136&gt;0,(M136-AK136)^2,0) + IF(N136&gt;0,(N136-AK136)^2,0) ) / COUNT(L136:N136),"")</f>
        <v>1</v>
      </c>
      <c r="AM136" s="63" t="n">
        <f aca="false">IF(SUM(L136:N136)&gt;0,SQRT(AL136),"")</f>
        <v>1</v>
      </c>
      <c r="AN136" s="63" t="n">
        <f aca="false">IF(COUNT(L136:N136)&gt;0,VLOOKUP(COUNT(L136:N136),$AX$2:$AZ$5,3)*(AM136/SQRT(COUNT(L136:N136))),"")</f>
        <v>8.98449876175627</v>
      </c>
      <c r="AO136" s="63" t="n">
        <f aca="false">IF(COUNT(L136:N136)&gt;0,AK136-AN136,"")</f>
        <v>1518.01550123824</v>
      </c>
      <c r="AP136" s="63" t="n">
        <f aca="false">IF(COUNT(L136:N136)&gt;0,AK136+AN136,"")</f>
        <v>1535.98449876176</v>
      </c>
      <c r="AQ136" s="64" t="n">
        <f aca="false">IF(COUNT(L136:N136)&gt;0,AM136/AK136,"")</f>
        <v>0.000654878847413229</v>
      </c>
    </row>
    <row r="137" customFormat="false" ht="12.8" hidden="false" customHeight="false" outlineLevel="0" collapsed="false">
      <c r="A137" s="56" t="s">
        <v>47</v>
      </c>
      <c r="B137" s="57" t="n">
        <v>20</v>
      </c>
      <c r="C137" s="56" t="n">
        <v>1254</v>
      </c>
      <c r="D137" s="25" t="n">
        <v>1370</v>
      </c>
      <c r="E137" s="57" t="n">
        <v>1203</v>
      </c>
      <c r="F137" s="58" t="n">
        <v>980</v>
      </c>
      <c r="G137" s="0" t="n">
        <v>967</v>
      </c>
      <c r="H137" s="59" t="n">
        <v>1073</v>
      </c>
      <c r="I137" s="56" t="n">
        <v>1177</v>
      </c>
      <c r="J137" s="0" t="n">
        <v>1308</v>
      </c>
      <c r="K137" s="57" t="n">
        <v>802</v>
      </c>
      <c r="L137" s="56"/>
      <c r="M137" s="0" t="n">
        <v>1038</v>
      </c>
      <c r="N137" s="57" t="n">
        <v>1176</v>
      </c>
      <c r="O137" s="65" t="n">
        <f aca="false">IF(SUM(C137:E137)&gt;0,AVERAGE(C137:E137),"")</f>
        <v>1275.66666666667</v>
      </c>
      <c r="P137" s="66" t="n">
        <f aca="false">IF(SUM(C137:E137)&gt;0, ( IF(C137&gt;0,(C137-O137)^2,0) + IF(D137&gt;0,(D137-O137)^2,0) + IF(E137&gt;0,(E137-O137)^2,0) ) / COUNT(C137:E137),"")</f>
        <v>4882.88888888889</v>
      </c>
      <c r="Q137" s="63" t="n">
        <f aca="false">IF(SUM(C137:E137)&gt;0,SQRT(P137),"")</f>
        <v>69.8776708891251</v>
      </c>
      <c r="R137" s="63" t="n">
        <f aca="false">IF(COUNT(C137:E137)&gt;0,VLOOKUP(COUNT(C137:E137),$AX$2:$AZ$5,3)*(Q137/SQRT(COUNT(C137:E137))),"")</f>
        <v>173.599767698471</v>
      </c>
      <c r="S137" s="63" t="n">
        <f aca="false">IF(COUNT(C137:E137)&gt;0,O137-R137,"")</f>
        <v>1102.0668989682</v>
      </c>
      <c r="T137" s="63" t="n">
        <f aca="false">IF(COUNT(C137:E137)&gt;0,O137+R137,"")</f>
        <v>1449.26643436514</v>
      </c>
      <c r="U137" s="64" t="n">
        <f aca="false">IF(COUNT(C137:E137)&gt;0,Q137/O137,"")</f>
        <v>0.0547773746191208</v>
      </c>
      <c r="V137" s="65" t="n">
        <f aca="false">IF(SUM(F137:H137)&gt;0,AVERAGE(F137:H137),"")</f>
        <v>1006.66666666667</v>
      </c>
      <c r="W137" s="66" t="n">
        <f aca="false">IF(SUM(F137:H137)&gt;0, ( IF(F137&gt;0,(F137-V137)^2,0) + IF(G137&gt;0,(G137-V137)^2,0) + IF(H137&gt;0,(H137-V137)^2,0) ) / COUNT(F137:H137),"")</f>
        <v>2228.22222222222</v>
      </c>
      <c r="X137" s="63" t="n">
        <f aca="false">IF(SUM(F137:H137)&gt;0,SQRT(W137),"")</f>
        <v>47.2040487905669</v>
      </c>
      <c r="Y137" s="63" t="n">
        <f aca="false">IF(COUNT(F137:H137)&gt;0,VLOOKUP(COUNT(F137:H137),$AX$2:$AZ$5,3)*(X137/SQRT(COUNT(F137:H137))),"")</f>
        <v>117.270821997947</v>
      </c>
      <c r="Z137" s="63" t="n">
        <f aca="false">IF(COUNT(F137:H137)&gt;0,V137-Y137,"")</f>
        <v>889.39584466872</v>
      </c>
      <c r="AA137" s="63" t="n">
        <f aca="false">IF(COUNT(F137:H137)&gt;0,V137+Y137,"")</f>
        <v>1123.93748866461</v>
      </c>
      <c r="AB137" s="64" t="n">
        <f aca="false">IF(COUNT(F137:H137)&gt;0,X137/V137,"")</f>
        <v>0.0468914391959274</v>
      </c>
      <c r="AC137" s="26"/>
      <c r="AD137" s="65" t="n">
        <f aca="false">IF(SUM(I137:K137)&gt;0,AVERAGE(I137:K137),"")</f>
        <v>1095.66666666667</v>
      </c>
      <c r="AE137" s="66" t="n">
        <f aca="false">IF(SUM(I137:K137)&gt;0, ( IF(I137&gt;0,(I137-AD137)^2,0) + IF(J137&gt;0,(J137-AD137)^2,0) + IF(K137&gt;0,(K137-AD137)^2,0) ) / COUNT(I137:K137),"")</f>
        <v>45980.2222222222</v>
      </c>
      <c r="AF137" s="63" t="n">
        <f aca="false">IF(SUM(I137:K137)&gt;0,SQRT(AE137),"")</f>
        <v>214.429993756056</v>
      </c>
      <c r="AG137" s="63" t="n">
        <f aca="false">IF(COUNT(I137:K137)&gt;0,VLOOKUP(COUNT(I137:K137),$AX$2:$AZ$5,3)*(AF137/SQRT(COUNT(I137:K137))),"")</f>
        <v>532.716626498624</v>
      </c>
      <c r="AH137" s="63" t="n">
        <f aca="false">IF(COUNT(I137:K137)&gt;0,AD137-AG137,"")</f>
        <v>562.950040168043</v>
      </c>
      <c r="AI137" s="63" t="n">
        <f aca="false">IF(COUNT(I137:K137)&gt;0,AD137+AG137,"")</f>
        <v>1628.38329316529</v>
      </c>
      <c r="AJ137" s="64" t="n">
        <f aca="false">IF(COUNT(I137:K137)&gt;0,AF137/AD137,"")</f>
        <v>0.195707326214837</v>
      </c>
      <c r="AK137" s="65" t="n">
        <f aca="false">IF(SUM(L137:N137)&gt;0,AVERAGE(L137:N137),"")</f>
        <v>1107</v>
      </c>
      <c r="AL137" s="66" t="n">
        <f aca="false">IF(SUM(L137:N137)&gt;0, ( IF(L137&gt;0,(L137-AK137)^2,0) + IF(M137&gt;0,(M137-AK137)^2,0) + IF(N137&gt;0,(N137-AK137)^2,0) ) / COUNT(L137:N137),"")</f>
        <v>4761</v>
      </c>
      <c r="AM137" s="63" t="n">
        <f aca="false">IF(SUM(L137:N137)&gt;0,SQRT(AL137),"")</f>
        <v>69</v>
      </c>
      <c r="AN137" s="63" t="n">
        <f aca="false">IF(COUNT(L137:N137)&gt;0,VLOOKUP(COUNT(L137:N137),$AX$2:$AZ$5,3)*(AM137/SQRT(COUNT(L137:N137))),"")</f>
        <v>619.930414561183</v>
      </c>
      <c r="AO137" s="63" t="n">
        <f aca="false">IF(COUNT(L137:N137)&gt;0,AK137-AN137,"")</f>
        <v>487.069585438817</v>
      </c>
      <c r="AP137" s="63" t="n">
        <f aca="false">IF(COUNT(L137:N137)&gt;0,AK137+AN137,"")</f>
        <v>1726.93041456118</v>
      </c>
      <c r="AQ137" s="64" t="n">
        <f aca="false">IF(COUNT(L137:N137)&gt;0,AM137/AK137,"")</f>
        <v>0.0623306233062331</v>
      </c>
    </row>
    <row r="138" customFormat="false" ht="12.8" hidden="false" customHeight="false" outlineLevel="0" collapsed="false">
      <c r="A138" s="56" t="s">
        <v>47</v>
      </c>
      <c r="B138" s="57" t="n">
        <v>30</v>
      </c>
      <c r="C138" s="56" t="n">
        <v>821</v>
      </c>
      <c r="D138" s="25" t="n">
        <v>821</v>
      </c>
      <c r="E138" s="57" t="n">
        <v>840</v>
      </c>
      <c r="F138" s="58" t="n">
        <v>658</v>
      </c>
      <c r="G138" s="0" t="n">
        <v>682</v>
      </c>
      <c r="H138" s="59" t="n">
        <v>664</v>
      </c>
      <c r="I138" s="56" t="n">
        <v>817</v>
      </c>
      <c r="J138" s="0" t="n">
        <v>819</v>
      </c>
      <c r="K138" s="57" t="n">
        <v>802</v>
      </c>
      <c r="L138" s="56"/>
      <c r="M138" s="0" t="n">
        <v>821</v>
      </c>
      <c r="N138" s="57" t="n">
        <v>864</v>
      </c>
      <c r="O138" s="65" t="n">
        <f aca="false">IF(SUM(C138:E138)&gt;0,AVERAGE(C138:E138),"")</f>
        <v>827.333333333333</v>
      </c>
      <c r="P138" s="66" t="n">
        <f aca="false">IF(SUM(C138:E138)&gt;0, ( IF(C138&gt;0,(C138-O138)^2,0) + IF(D138&gt;0,(D138-O138)^2,0) + IF(E138&gt;0,(E138-O138)^2,0) ) / COUNT(C138:E138),"")</f>
        <v>80.2222222222222</v>
      </c>
      <c r="Q138" s="63" t="n">
        <f aca="false">IF(SUM(C138:E138)&gt;0,SQRT(P138),"")</f>
        <v>8.9566858950296</v>
      </c>
      <c r="R138" s="63" t="n">
        <f aca="false">IF(COUNT(C138:E138)&gt;0,VLOOKUP(COUNT(C138:E138),$AX$2:$AZ$5,3)*(Q138/SQRT(COUNT(C138:E138))),"")</f>
        <v>22.2514369889694</v>
      </c>
      <c r="S138" s="63" t="n">
        <f aca="false">IF(COUNT(C138:E138)&gt;0,O138-R138,"")</f>
        <v>805.081896344364</v>
      </c>
      <c r="T138" s="63" t="n">
        <f aca="false">IF(COUNT(C138:E138)&gt;0,O138+R138,"")</f>
        <v>849.584770322303</v>
      </c>
      <c r="U138" s="64" t="n">
        <f aca="false">IF(COUNT(C138:E138)&gt;0,Q138/O138,"")</f>
        <v>0.0108259700584564</v>
      </c>
      <c r="V138" s="65" t="n">
        <f aca="false">IF(SUM(F138:H138)&gt;0,AVERAGE(F138:H138),"")</f>
        <v>668</v>
      </c>
      <c r="W138" s="66" t="n">
        <f aca="false">IF(SUM(F138:H138)&gt;0, ( IF(F138&gt;0,(F138-V138)^2,0) + IF(G138&gt;0,(G138-V138)^2,0) + IF(H138&gt;0,(H138-V138)^2,0) ) / COUNT(F138:H138),"")</f>
        <v>104</v>
      </c>
      <c r="X138" s="63" t="n">
        <f aca="false">IF(SUM(F138:H138)&gt;0,SQRT(W138),"")</f>
        <v>10.1980390271856</v>
      </c>
      <c r="Y138" s="63" t="n">
        <f aca="false">IF(COUNT(F138:H138)&gt;0,VLOOKUP(COUNT(F138:H138),$AX$2:$AZ$5,3)*(X138/SQRT(COUNT(F138:H138))),"")</f>
        <v>25.3353780052058</v>
      </c>
      <c r="Z138" s="63" t="n">
        <f aca="false">IF(COUNT(F138:H138)&gt;0,V138-Y138,"")</f>
        <v>642.664621994794</v>
      </c>
      <c r="AA138" s="63" t="n">
        <f aca="false">IF(COUNT(F138:H138)&gt;0,V138+Y138,"")</f>
        <v>693.335378005206</v>
      </c>
      <c r="AB138" s="64" t="n">
        <f aca="false">IF(COUNT(F138:H138)&gt;0,X138/V138,"")</f>
        <v>0.0152665254897988</v>
      </c>
      <c r="AC138" s="26"/>
      <c r="AD138" s="65" t="n">
        <f aca="false">IF(SUM(I138:K138)&gt;0,AVERAGE(I138:K138),"")</f>
        <v>812.666666666667</v>
      </c>
      <c r="AE138" s="66" t="n">
        <f aca="false">IF(SUM(I138:K138)&gt;0, ( IF(I138&gt;0,(I138-AD138)^2,0) + IF(J138&gt;0,(J138-AD138)^2,0) + IF(K138&gt;0,(K138-AD138)^2,0) ) / COUNT(I138:K138),"")</f>
        <v>57.5555555555556</v>
      </c>
      <c r="AF138" s="63" t="n">
        <f aca="false">IF(SUM(I138:K138)&gt;0,SQRT(AE138),"")</f>
        <v>7.58653778449403</v>
      </c>
      <c r="AG138" s="63" t="n">
        <f aca="false">IF(COUNT(I138:K138)&gt;0,VLOOKUP(COUNT(I138:K138),$AX$2:$AZ$5,3)*(AF138/SQRT(COUNT(I138:K138))),"")</f>
        <v>18.8475256869043</v>
      </c>
      <c r="AH138" s="63" t="n">
        <f aca="false">IF(COUNT(I138:K138)&gt;0,AD138-AG138,"")</f>
        <v>793.819140979762</v>
      </c>
      <c r="AI138" s="63" t="n">
        <f aca="false">IF(COUNT(I138:K138)&gt;0,AD138+AG138,"")</f>
        <v>831.514192353571</v>
      </c>
      <c r="AJ138" s="64" t="n">
        <f aca="false">IF(COUNT(I138:K138)&gt;0,AF138/AD138,"")</f>
        <v>0.00933536232710504</v>
      </c>
      <c r="AK138" s="65" t="n">
        <f aca="false">IF(SUM(L138:N138)&gt;0,AVERAGE(L138:N138),"")</f>
        <v>842.5</v>
      </c>
      <c r="AL138" s="66" t="n">
        <f aca="false">IF(SUM(L138:N138)&gt;0, ( IF(L138&gt;0,(L138-AK138)^2,0) + IF(M138&gt;0,(M138-AK138)^2,0) + IF(N138&gt;0,(N138-AK138)^2,0) ) / COUNT(L138:N138),"")</f>
        <v>462.25</v>
      </c>
      <c r="AM138" s="63" t="n">
        <f aca="false">IF(SUM(L138:N138)&gt;0,SQRT(AL138),"")</f>
        <v>21.5</v>
      </c>
      <c r="AN138" s="63" t="n">
        <f aca="false">IF(COUNT(L138:N138)&gt;0,VLOOKUP(COUNT(L138:N138),$AX$2:$AZ$5,3)*(AM138/SQRT(COUNT(L138:N138))),"")</f>
        <v>193.16672337776</v>
      </c>
      <c r="AO138" s="63" t="n">
        <f aca="false">IF(COUNT(L138:N138)&gt;0,AK138-AN138,"")</f>
        <v>649.33327662224</v>
      </c>
      <c r="AP138" s="63" t="n">
        <f aca="false">IF(COUNT(L138:N138)&gt;0,AK138+AN138,"")</f>
        <v>1035.66672337776</v>
      </c>
      <c r="AQ138" s="64" t="n">
        <f aca="false">IF(COUNT(L138:N138)&gt;0,AM138/AK138,"")</f>
        <v>0.0255192878338279</v>
      </c>
    </row>
    <row r="139" customFormat="false" ht="12.8" hidden="false" customHeight="false" outlineLevel="0" collapsed="false">
      <c r="A139" s="56" t="s">
        <v>47</v>
      </c>
      <c r="B139" s="57" t="n">
        <v>40</v>
      </c>
      <c r="C139" s="56" t="n">
        <v>591</v>
      </c>
      <c r="D139" s="25" t="n">
        <v>624</v>
      </c>
      <c r="E139" s="57" t="n">
        <v>684</v>
      </c>
      <c r="F139" s="58" t="n">
        <v>545</v>
      </c>
      <c r="G139" s="0" t="n">
        <v>521</v>
      </c>
      <c r="H139" s="59" t="n">
        <v>508</v>
      </c>
      <c r="I139" s="56" t="n">
        <v>602</v>
      </c>
      <c r="J139" s="0" t="n">
        <v>619</v>
      </c>
      <c r="K139" s="57" t="n">
        <v>485</v>
      </c>
      <c r="L139" s="56"/>
      <c r="M139" s="0" t="n">
        <v>611</v>
      </c>
      <c r="N139" s="57" t="n">
        <v>725</v>
      </c>
      <c r="O139" s="65" t="n">
        <f aca="false">IF(SUM(C139:E139)&gt;0,AVERAGE(C139:E139),"")</f>
        <v>633</v>
      </c>
      <c r="P139" s="66" t="n">
        <f aca="false">IF(SUM(C139:E139)&gt;0, ( IF(C139&gt;0,(C139-O139)^2,0) + IF(D139&gt;0,(D139-O139)^2,0) + IF(E139&gt;0,(E139-O139)^2,0) ) / COUNT(C139:E139),"")</f>
        <v>1482</v>
      </c>
      <c r="Q139" s="63" t="n">
        <f aca="false">IF(SUM(C139:E139)&gt;0,SQRT(P139),"")</f>
        <v>38.4967531098403</v>
      </c>
      <c r="R139" s="63" t="n">
        <f aca="false">IF(COUNT(C139:E139)&gt;0,VLOOKUP(COUNT(C139:E139),$AX$2:$AZ$5,3)*(Q139/SQRT(COUNT(C139:E139))),"")</f>
        <v>95.638954647152</v>
      </c>
      <c r="S139" s="63" t="n">
        <f aca="false">IF(COUNT(C139:E139)&gt;0,O139-R139,"")</f>
        <v>537.361045352848</v>
      </c>
      <c r="T139" s="63" t="n">
        <f aca="false">IF(COUNT(C139:E139)&gt;0,O139+R139,"")</f>
        <v>728.638954647152</v>
      </c>
      <c r="U139" s="64" t="n">
        <f aca="false">IF(COUNT(C139:E139)&gt;0,Q139/O139,"")</f>
        <v>0.0608163556237604</v>
      </c>
      <c r="V139" s="65" t="n">
        <f aca="false">IF(SUM(F139:H139)&gt;0,AVERAGE(F139:H139),"")</f>
        <v>524.666666666667</v>
      </c>
      <c r="W139" s="66" t="n">
        <f aca="false">IF(SUM(F139:H139)&gt;0, ( IF(F139&gt;0,(F139-V139)^2,0) + IF(G139&gt;0,(G139-V139)^2,0) + IF(H139&gt;0,(H139-V139)^2,0) ) / COUNT(F139:H139),"")</f>
        <v>234.888888888889</v>
      </c>
      <c r="X139" s="63" t="n">
        <f aca="false">IF(SUM(F139:H139)&gt;0,SQRT(W139),"")</f>
        <v>15.3260852434302</v>
      </c>
      <c r="Y139" s="63" t="n">
        <f aca="false">IF(COUNT(F139:H139)&gt;0,VLOOKUP(COUNT(F139:H139),$AX$2:$AZ$5,3)*(X139/SQRT(COUNT(F139:H139))),"")</f>
        <v>38.0751791542683</v>
      </c>
      <c r="Z139" s="63" t="n">
        <f aca="false">IF(COUNT(F139:H139)&gt;0,V139-Y139,"")</f>
        <v>486.591487512398</v>
      </c>
      <c r="AA139" s="63" t="n">
        <f aca="false">IF(COUNT(F139:H139)&gt;0,V139+Y139,"")</f>
        <v>562.741845820935</v>
      </c>
      <c r="AB139" s="64" t="n">
        <f aca="false">IF(COUNT(F139:H139)&gt;0,X139/V139,"")</f>
        <v>0.0292110900446573</v>
      </c>
      <c r="AC139" s="26"/>
      <c r="AD139" s="65" t="n">
        <f aca="false">IF(SUM(I139:K139)&gt;0,AVERAGE(I139:K139),"")</f>
        <v>568.666666666667</v>
      </c>
      <c r="AE139" s="66" t="n">
        <f aca="false">IF(SUM(I139:K139)&gt;0, ( IF(I139&gt;0,(I139-AD139)^2,0) + IF(J139&gt;0,(J139-AD139)^2,0) + IF(K139&gt;0,(K139-AD139)^2,0) ) / COUNT(I139:K139),"")</f>
        <v>3548.22222222222</v>
      </c>
      <c r="AF139" s="63" t="n">
        <f aca="false">IF(SUM(I139:K139)&gt;0,SQRT(AE139),"")</f>
        <v>59.5669557911282</v>
      </c>
      <c r="AG139" s="63" t="n">
        <f aca="false">IF(COUNT(I139:K139)&gt;0,VLOOKUP(COUNT(I139:K139),$AX$2:$AZ$5,3)*(AF139/SQRT(COUNT(I139:K139))),"")</f>
        <v>147.984464225384</v>
      </c>
      <c r="AH139" s="63" t="n">
        <f aca="false">IF(COUNT(I139:K139)&gt;0,AD139-AG139,"")</f>
        <v>420.682202441282</v>
      </c>
      <c r="AI139" s="63" t="n">
        <f aca="false">IF(COUNT(I139:K139)&gt;0,AD139+AG139,"")</f>
        <v>716.651130892051</v>
      </c>
      <c r="AJ139" s="64" t="n">
        <f aca="false">IF(COUNT(I139:K139)&gt;0,AF139/AD139,"")</f>
        <v>0.104748456842547</v>
      </c>
      <c r="AK139" s="65" t="n">
        <f aca="false">IF(SUM(L139:N139)&gt;0,AVERAGE(L139:N139),"")</f>
        <v>668</v>
      </c>
      <c r="AL139" s="66" t="n">
        <f aca="false">IF(SUM(L139:N139)&gt;0, ( IF(L139&gt;0,(L139-AK139)^2,0) + IF(M139&gt;0,(M139-AK139)^2,0) + IF(N139&gt;0,(N139-AK139)^2,0) ) / COUNT(L139:N139),"")</f>
        <v>3249</v>
      </c>
      <c r="AM139" s="63" t="n">
        <f aca="false">IF(SUM(L139:N139)&gt;0,SQRT(AL139),"")</f>
        <v>57</v>
      </c>
      <c r="AN139" s="63" t="n">
        <f aca="false">IF(COUNT(L139:N139)&gt;0,VLOOKUP(COUNT(L139:N139),$AX$2:$AZ$5,3)*(AM139/SQRT(COUNT(L139:N139))),"")</f>
        <v>512.116429420108</v>
      </c>
      <c r="AO139" s="63" t="n">
        <f aca="false">IF(COUNT(L139:N139)&gt;0,AK139-AN139,"")</f>
        <v>155.883570579893</v>
      </c>
      <c r="AP139" s="63" t="n">
        <f aca="false">IF(COUNT(L139:N139)&gt;0,AK139+AN139,"")</f>
        <v>1180.11642942011</v>
      </c>
      <c r="AQ139" s="64" t="n">
        <f aca="false">IF(COUNT(L139:N139)&gt;0,AM139/AK139,"")</f>
        <v>0.0853293413173653</v>
      </c>
    </row>
    <row r="140" customFormat="false" ht="12.8" hidden="false" customHeight="false" outlineLevel="0" collapsed="false">
      <c r="A140" s="56" t="s">
        <v>47</v>
      </c>
      <c r="B140" s="57" t="n">
        <v>50</v>
      </c>
      <c r="C140" s="56" t="n">
        <v>479</v>
      </c>
      <c r="D140" s="25" t="n">
        <v>551</v>
      </c>
      <c r="E140" s="57" t="n">
        <v>507</v>
      </c>
      <c r="F140" s="58" t="n">
        <v>429</v>
      </c>
      <c r="G140" s="0" t="n">
        <v>458</v>
      </c>
      <c r="H140" s="59" t="n">
        <v>398</v>
      </c>
      <c r="I140" s="56" t="n">
        <v>492</v>
      </c>
      <c r="K140" s="57" t="n">
        <v>470</v>
      </c>
      <c r="L140" s="56"/>
      <c r="M140" s="0" t="n">
        <v>567</v>
      </c>
      <c r="N140" s="57" t="n">
        <v>507</v>
      </c>
      <c r="O140" s="65" t="n">
        <f aca="false">IF(SUM(C140:E140)&gt;0,AVERAGE(C140:E140),"")</f>
        <v>512.333333333333</v>
      </c>
      <c r="P140" s="66" t="n">
        <f aca="false">IF(SUM(C140:E140)&gt;0, ( IF(C140&gt;0,(C140-O140)^2,0) + IF(D140&gt;0,(D140-O140)^2,0) + IF(E140&gt;0,(E140-O140)^2,0) ) / COUNT(C140:E140),"")</f>
        <v>878.222222222222</v>
      </c>
      <c r="Q140" s="63" t="n">
        <f aca="false">IF(SUM(C140:E140)&gt;0,SQRT(P140),"")</f>
        <v>29.6348143611905</v>
      </c>
      <c r="R140" s="63" t="n">
        <f aca="false">IF(COUNT(C140:E140)&gt;0,VLOOKUP(COUNT(C140:E140),$AX$2:$AZ$5,3)*(Q140/SQRT(COUNT(C140:E140))),"")</f>
        <v>73.6229016140635</v>
      </c>
      <c r="S140" s="63" t="n">
        <f aca="false">IF(COUNT(C140:E140)&gt;0,O140-R140,"")</f>
        <v>438.71043171927</v>
      </c>
      <c r="T140" s="63" t="n">
        <f aca="false">IF(COUNT(C140:E140)&gt;0,O140+R140,"")</f>
        <v>585.956234947397</v>
      </c>
      <c r="U140" s="64" t="n">
        <f aca="false">IF(COUNT(C140:E140)&gt;0,Q140/O140,"")</f>
        <v>0.0578428387010875</v>
      </c>
      <c r="V140" s="65" t="n">
        <f aca="false">IF(SUM(F140:H140)&gt;0,AVERAGE(F140:H140),"")</f>
        <v>428.333333333333</v>
      </c>
      <c r="W140" s="66" t="n">
        <f aca="false">IF(SUM(F140:H140)&gt;0, ( IF(F140&gt;0,(F140-V140)^2,0) + IF(G140&gt;0,(G140-V140)^2,0) + IF(H140&gt;0,(H140-V140)^2,0) ) / COUNT(F140:H140),"")</f>
        <v>600.222222222222</v>
      </c>
      <c r="X140" s="63" t="n">
        <f aca="false">IF(SUM(F140:H140)&gt;0,SQRT(W140),"")</f>
        <v>24.4994331000173</v>
      </c>
      <c r="Y140" s="63" t="n">
        <f aca="false">IF(COUNT(F140:H140)&gt;0,VLOOKUP(COUNT(F140:H140),$AX$2:$AZ$5,3)*(X140/SQRT(COUNT(F140:H140))),"")</f>
        <v>60.8648777326251</v>
      </c>
      <c r="Z140" s="63" t="n">
        <f aca="false">IF(COUNT(F140:H140)&gt;0,V140-Y140,"")</f>
        <v>367.468455600708</v>
      </c>
      <c r="AA140" s="63" t="n">
        <f aca="false">IF(COUNT(F140:H140)&gt;0,V140+Y140,"")</f>
        <v>489.198211065958</v>
      </c>
      <c r="AB140" s="64" t="n">
        <f aca="false">IF(COUNT(F140:H140)&gt;0,X140/V140,"")</f>
        <v>0.0571971200778614</v>
      </c>
      <c r="AC140" s="26"/>
      <c r="AD140" s="65" t="n">
        <f aca="false">IF(SUM(I140:K140)&gt;0,AVERAGE(I140:K140),"")</f>
        <v>481</v>
      </c>
      <c r="AE140" s="66" t="n">
        <f aca="false">IF(SUM(I140:K140)&gt;0, ( IF(I140&gt;0,(I140-AD140)^2,0) + IF(J140&gt;0,(J140-AD140)^2,0) + IF(K140&gt;0,(K140-AD140)^2,0) ) / COUNT(I140:K140),"")</f>
        <v>121</v>
      </c>
      <c r="AF140" s="63" t="n">
        <f aca="false">IF(SUM(I140:K140)&gt;0,SQRT(AE140),"")</f>
        <v>11</v>
      </c>
      <c r="AG140" s="63" t="n">
        <f aca="false">IF(COUNT(I140:K140)&gt;0,VLOOKUP(COUNT(I140:K140),$AX$2:$AZ$5,3)*(AF140/SQRT(COUNT(I140:K140))),"")</f>
        <v>98.829486379319</v>
      </c>
      <c r="AH140" s="63" t="n">
        <f aca="false">IF(COUNT(I140:K140)&gt;0,AD140-AG140,"")</f>
        <v>382.170513620681</v>
      </c>
      <c r="AI140" s="63" t="n">
        <f aca="false">IF(COUNT(I140:K140)&gt;0,AD140+AG140,"")</f>
        <v>579.829486379319</v>
      </c>
      <c r="AJ140" s="64" t="n">
        <f aca="false">IF(COUNT(I140:K140)&gt;0,AF140/AD140,"")</f>
        <v>0.0228690228690229</v>
      </c>
      <c r="AK140" s="65" t="n">
        <f aca="false">IF(SUM(L140:N140)&gt;0,AVERAGE(L140:N140),"")</f>
        <v>537</v>
      </c>
      <c r="AL140" s="66" t="n">
        <f aca="false">IF(SUM(L140:N140)&gt;0, ( IF(L140&gt;0,(L140-AK140)^2,0) + IF(M140&gt;0,(M140-AK140)^2,0) + IF(N140&gt;0,(N140-AK140)^2,0) ) / COUNT(L140:N140),"")</f>
        <v>900</v>
      </c>
      <c r="AM140" s="63" t="n">
        <f aca="false">IF(SUM(L140:N140)&gt;0,SQRT(AL140),"")</f>
        <v>30</v>
      </c>
      <c r="AN140" s="63" t="n">
        <f aca="false">IF(COUNT(L140:N140)&gt;0,VLOOKUP(COUNT(L140:N140),$AX$2:$AZ$5,3)*(AM140/SQRT(COUNT(L140:N140))),"")</f>
        <v>269.534962852688</v>
      </c>
      <c r="AO140" s="63" t="n">
        <f aca="false">IF(COUNT(L140:N140)&gt;0,AK140-AN140,"")</f>
        <v>267.465037147312</v>
      </c>
      <c r="AP140" s="63" t="n">
        <f aca="false">IF(COUNT(L140:N140)&gt;0,AK140+AN140,"")</f>
        <v>806.534962852688</v>
      </c>
      <c r="AQ140" s="64" t="n">
        <f aca="false">IF(COUNT(L140:N140)&gt;0,AM140/AK140,"")</f>
        <v>0.0558659217877095</v>
      </c>
    </row>
    <row r="141" customFormat="false" ht="12.8" hidden="false" customHeight="false" outlineLevel="0" collapsed="false">
      <c r="A141" s="56" t="s">
        <v>47</v>
      </c>
      <c r="B141" s="57" t="n">
        <v>64</v>
      </c>
      <c r="C141" s="56" t="n">
        <v>419</v>
      </c>
      <c r="D141" s="25" t="n">
        <v>685</v>
      </c>
      <c r="E141" s="57" t="n">
        <v>488</v>
      </c>
      <c r="F141" s="58" t="n">
        <v>373</v>
      </c>
      <c r="G141" s="0" t="n">
        <v>355</v>
      </c>
      <c r="H141" s="59" t="n">
        <v>336</v>
      </c>
      <c r="I141" s="56" t="n">
        <v>434</v>
      </c>
      <c r="J141" s="0" t="n">
        <v>516</v>
      </c>
      <c r="K141" s="57" t="n">
        <v>354</v>
      </c>
      <c r="L141" s="56"/>
      <c r="M141" s="0" t="n">
        <v>453</v>
      </c>
      <c r="N141" s="57" t="n">
        <v>463</v>
      </c>
      <c r="O141" s="65" t="n">
        <f aca="false">IF(SUM(C141:E141)&gt;0,AVERAGE(C141:E141),"")</f>
        <v>530.666666666667</v>
      </c>
      <c r="P141" s="66" t="n">
        <f aca="false">IF(SUM(C141:E141)&gt;0, ( IF(C141&gt;0,(C141-O141)^2,0) + IF(D141&gt;0,(D141-O141)^2,0) + IF(E141&gt;0,(E141-O141)^2,0) ) / COUNT(C141:E141),"")</f>
        <v>12702.8888888889</v>
      </c>
      <c r="Q141" s="63" t="n">
        <f aca="false">IF(SUM(C141:E141)&gt;0,SQRT(P141),"")</f>
        <v>112.707093338835</v>
      </c>
      <c r="R141" s="63" t="n">
        <f aca="false">IF(COUNT(C141:E141)&gt;0,VLOOKUP(COUNT(C141:E141),$AX$2:$AZ$5,3)*(Q141/SQRT(COUNT(C141:E141))),"")</f>
        <v>280.00253833069</v>
      </c>
      <c r="S141" s="63" t="n">
        <f aca="false">IF(COUNT(C141:E141)&gt;0,O141-R141,"")</f>
        <v>250.664128335976</v>
      </c>
      <c r="T141" s="63" t="n">
        <f aca="false">IF(COUNT(C141:E141)&gt;0,O141+R141,"")</f>
        <v>810.669204997357</v>
      </c>
      <c r="U141" s="64" t="n">
        <f aca="false">IF(COUNT(C141:E141)&gt;0,Q141/O141,"")</f>
        <v>0.212387738703835</v>
      </c>
      <c r="V141" s="65" t="n">
        <f aca="false">IF(SUM(F141:H141)&gt;0,AVERAGE(F141:H141),"")</f>
        <v>354.666666666667</v>
      </c>
      <c r="W141" s="66" t="n">
        <f aca="false">IF(SUM(F141:H141)&gt;0, ( IF(F141&gt;0,(F141-V141)^2,0) + IF(G141&gt;0,(G141-V141)^2,0) + IF(H141&gt;0,(H141-V141)^2,0) ) / COUNT(F141:H141),"")</f>
        <v>228.222222222222</v>
      </c>
      <c r="X141" s="63" t="n">
        <f aca="false">IF(SUM(F141:H141)&gt;0,SQRT(W141),"")</f>
        <v>15.1070255914995</v>
      </c>
      <c r="Y141" s="63" t="n">
        <f aca="false">IF(COUNT(F141:H141)&gt;0,VLOOKUP(COUNT(F141:H141),$AX$2:$AZ$5,3)*(X141/SQRT(COUNT(F141:H141))),"")</f>
        <v>37.5309608910751</v>
      </c>
      <c r="Z141" s="63" t="n">
        <f aca="false">IF(COUNT(F141:H141)&gt;0,V141-Y141,"")</f>
        <v>317.135705775592</v>
      </c>
      <c r="AA141" s="63" t="n">
        <f aca="false">IF(COUNT(F141:H141)&gt;0,V141+Y141,"")</f>
        <v>392.197627557742</v>
      </c>
      <c r="AB141" s="64" t="n">
        <f aca="false">IF(COUNT(F141:H141)&gt;0,X141/V141,"")</f>
        <v>0.0425949969685138</v>
      </c>
      <c r="AC141" s="26"/>
      <c r="AD141" s="65" t="n">
        <f aca="false">IF(SUM(I141:K141)&gt;0,AVERAGE(I141:K141),"")</f>
        <v>434.666666666667</v>
      </c>
      <c r="AE141" s="66" t="n">
        <f aca="false">IF(SUM(I141:K141)&gt;0, ( IF(I141&gt;0,(I141-AD141)^2,0) + IF(J141&gt;0,(J141-AD141)^2,0) + IF(K141&gt;0,(K141-AD141)^2,0) ) / COUNT(I141:K141),"")</f>
        <v>4374.22222222222</v>
      </c>
      <c r="AF141" s="63" t="n">
        <f aca="false">IF(SUM(I141:K141)&gt;0,SQRT(AE141),"")</f>
        <v>66.1379030679248</v>
      </c>
      <c r="AG141" s="63" t="n">
        <f aca="false">IF(COUNT(I141:K141)&gt;0,VLOOKUP(COUNT(I141:K141),$AX$2:$AZ$5,3)*(AF141/SQRT(COUNT(I141:K141))),"")</f>
        <v>164.308919610006</v>
      </c>
      <c r="AH141" s="63" t="n">
        <f aca="false">IF(COUNT(I141:K141)&gt;0,AD141-AG141,"")</f>
        <v>270.357747056661</v>
      </c>
      <c r="AI141" s="63" t="n">
        <f aca="false">IF(COUNT(I141:K141)&gt;0,AD141+AG141,"")</f>
        <v>598.975586276673</v>
      </c>
      <c r="AJ141" s="64" t="n">
        <f aca="false">IF(COUNT(I141:K141)&gt;0,AF141/AD141,"")</f>
        <v>0.152157752456882</v>
      </c>
      <c r="AK141" s="65" t="n">
        <f aca="false">IF(SUM(L141:N141)&gt;0,AVERAGE(L141:N141),"")</f>
        <v>458</v>
      </c>
      <c r="AL141" s="66" t="n">
        <f aca="false">IF(SUM(L141:N141)&gt;0, ( IF(L141&gt;0,(L141-AK141)^2,0) + IF(M141&gt;0,(M141-AK141)^2,0) + IF(N141&gt;0,(N141-AK141)^2,0) ) / COUNT(L141:N141),"")</f>
        <v>25</v>
      </c>
      <c r="AM141" s="63" t="n">
        <f aca="false">IF(SUM(L141:N141)&gt;0,SQRT(AL141),"")</f>
        <v>5</v>
      </c>
      <c r="AN141" s="63" t="n">
        <f aca="false">IF(COUNT(L141:N141)&gt;0,VLOOKUP(COUNT(L141:N141),$AX$2:$AZ$5,3)*(AM141/SQRT(COUNT(L141:N141))),"")</f>
        <v>44.9224938087814</v>
      </c>
      <c r="AO141" s="63" t="n">
        <f aca="false">IF(COUNT(L141:N141)&gt;0,AK141-AN141,"")</f>
        <v>413.077506191219</v>
      </c>
      <c r="AP141" s="63" t="n">
        <f aca="false">IF(COUNT(L141:N141)&gt;0,AK141+AN141,"")</f>
        <v>502.922493808781</v>
      </c>
      <c r="AQ141" s="64" t="n">
        <f aca="false">IF(COUNT(L141:N141)&gt;0,AM141/AK141,"")</f>
        <v>0.0109170305676856</v>
      </c>
    </row>
    <row r="142" customFormat="false" ht="12.8" hidden="false" customHeight="false" outlineLevel="0" collapsed="false">
      <c r="A142" s="56" t="s">
        <v>47</v>
      </c>
      <c r="B142" s="57" t="n">
        <v>82</v>
      </c>
      <c r="C142" s="56" t="n">
        <v>348</v>
      </c>
      <c r="D142" s="25" t="n">
        <v>383</v>
      </c>
      <c r="E142" s="57" t="n">
        <v>384</v>
      </c>
      <c r="F142" s="58" t="n">
        <v>305</v>
      </c>
      <c r="G142" s="0" t="n">
        <v>276</v>
      </c>
      <c r="H142" s="59" t="n">
        <v>323</v>
      </c>
      <c r="I142" s="56" t="n">
        <v>383</v>
      </c>
      <c r="J142" s="0" t="n">
        <v>336</v>
      </c>
      <c r="K142" s="57" t="n">
        <v>366</v>
      </c>
      <c r="L142" s="56"/>
      <c r="M142" s="0" t="n">
        <v>406</v>
      </c>
      <c r="N142" s="57" t="n">
        <v>358</v>
      </c>
      <c r="O142" s="65" t="n">
        <f aca="false">IF(SUM(C142:E142)&gt;0,AVERAGE(C142:E142),"")</f>
        <v>371.666666666667</v>
      </c>
      <c r="P142" s="66" t="n">
        <f aca="false">IF(SUM(C142:E142)&gt;0, ( IF(C142&gt;0,(C142-O142)^2,0) + IF(D142&gt;0,(D142-O142)^2,0) + IF(E142&gt;0,(E142-O142)^2,0) ) / COUNT(C142:E142),"")</f>
        <v>280.222222222222</v>
      </c>
      <c r="Q142" s="63" t="n">
        <f aca="false">IF(SUM(C142:E142)&gt;0,SQRT(P142),"")</f>
        <v>16.739839372653</v>
      </c>
      <c r="R142" s="63" t="n">
        <f aca="false">IF(COUNT(C142:E142)&gt;0,VLOOKUP(COUNT(C142:E142),$AX$2:$AZ$5,3)*(Q142/SQRT(COUNT(C142:E142))),"")</f>
        <v>41.5874225546708</v>
      </c>
      <c r="S142" s="63" t="n">
        <f aca="false">IF(COUNT(C142:E142)&gt;0,O142-R142,"")</f>
        <v>330.079244111996</v>
      </c>
      <c r="T142" s="63" t="n">
        <f aca="false">IF(COUNT(C142:E142)&gt;0,O142+R142,"")</f>
        <v>413.254089221338</v>
      </c>
      <c r="U142" s="64" t="n">
        <f aca="false">IF(COUNT(C142:E142)&gt;0,Q142/O142,"")</f>
        <v>0.0450399265631918</v>
      </c>
      <c r="V142" s="65" t="n">
        <f aca="false">IF(SUM(F142:H142)&gt;0,AVERAGE(F142:H142),"")</f>
        <v>301.333333333333</v>
      </c>
      <c r="W142" s="66" t="n">
        <f aca="false">IF(SUM(F142:H142)&gt;0, ( IF(F142&gt;0,(F142-V142)^2,0) + IF(G142&gt;0,(G142-V142)^2,0) + IF(H142&gt;0,(H142-V142)^2,0) ) / COUNT(F142:H142),"")</f>
        <v>374.888888888889</v>
      </c>
      <c r="X142" s="63" t="n">
        <f aca="false">IF(SUM(F142:H142)&gt;0,SQRT(W142),"")</f>
        <v>19.3620476419435</v>
      </c>
      <c r="Y142" s="63" t="n">
        <f aca="false">IF(COUNT(F142:H142)&gt;0,VLOOKUP(COUNT(F142:H142),$AX$2:$AZ$5,3)*(X142/SQRT(COUNT(F142:H142))),"")</f>
        <v>48.1018747482496</v>
      </c>
      <c r="Z142" s="63" t="n">
        <f aca="false">IF(COUNT(F142:H142)&gt;0,V142-Y142,"")</f>
        <v>253.231458585084</v>
      </c>
      <c r="AA142" s="63" t="n">
        <f aca="false">IF(COUNT(F142:H142)&gt;0,V142+Y142,"")</f>
        <v>349.435208081583</v>
      </c>
      <c r="AB142" s="64" t="n">
        <f aca="false">IF(COUNT(F142:H142)&gt;0,X142/V142,"")</f>
        <v>0.0642545828825558</v>
      </c>
      <c r="AC142" s="26"/>
      <c r="AD142" s="65" t="n">
        <f aca="false">IF(SUM(I142:K142)&gt;0,AVERAGE(I142:K142),"")</f>
        <v>361.666666666667</v>
      </c>
      <c r="AE142" s="66" t="n">
        <f aca="false">IF(SUM(I142:K142)&gt;0, ( IF(I142&gt;0,(I142-AD142)^2,0) + IF(J142&gt;0,(J142-AD142)^2,0) + IF(K142&gt;0,(K142-AD142)^2,0) ) / COUNT(I142:K142),"")</f>
        <v>377.555555555556</v>
      </c>
      <c r="AF142" s="63" t="n">
        <f aca="false">IF(SUM(I142:K142)&gt;0,SQRT(AE142),"")</f>
        <v>19.4307888557196</v>
      </c>
      <c r="AG142" s="63" t="n">
        <f aca="false">IF(COUNT(I142:K142)&gt;0,VLOOKUP(COUNT(I142:K142),$AX$2:$AZ$5,3)*(AF142/SQRT(COUNT(I142:K142))),"")</f>
        <v>48.2726511721201</v>
      </c>
      <c r="AH142" s="63" t="n">
        <f aca="false">IF(COUNT(I142:K142)&gt;0,AD142-AG142,"")</f>
        <v>313.394015494547</v>
      </c>
      <c r="AI142" s="63" t="n">
        <f aca="false">IF(COUNT(I142:K142)&gt;0,AD142+AG142,"")</f>
        <v>409.939317838787</v>
      </c>
      <c r="AJ142" s="64" t="n">
        <f aca="false">IF(COUNT(I142:K142)&gt;0,AF142/AD142,"")</f>
        <v>0.0537256834720357</v>
      </c>
      <c r="AK142" s="65" t="n">
        <f aca="false">IF(SUM(L142:N142)&gt;0,AVERAGE(L142:N142),"")</f>
        <v>382</v>
      </c>
      <c r="AL142" s="66" t="n">
        <f aca="false">IF(SUM(L142:N142)&gt;0, ( IF(L142&gt;0,(L142-AK142)^2,0) + IF(M142&gt;0,(M142-AK142)^2,0) + IF(N142&gt;0,(N142-AK142)^2,0) ) / COUNT(L142:N142),"")</f>
        <v>576</v>
      </c>
      <c r="AM142" s="63" t="n">
        <f aca="false">IF(SUM(L142:N142)&gt;0,SQRT(AL142),"")</f>
        <v>24</v>
      </c>
      <c r="AN142" s="63" t="n">
        <f aca="false">IF(COUNT(L142:N142)&gt;0,VLOOKUP(COUNT(L142:N142),$AX$2:$AZ$5,3)*(AM142/SQRT(COUNT(L142:N142))),"")</f>
        <v>215.627970282151</v>
      </c>
      <c r="AO142" s="63" t="n">
        <f aca="false">IF(COUNT(L142:N142)&gt;0,AK142-AN142,"")</f>
        <v>166.372029717849</v>
      </c>
      <c r="AP142" s="63" t="n">
        <f aca="false">IF(COUNT(L142:N142)&gt;0,AK142+AN142,"")</f>
        <v>597.627970282151</v>
      </c>
      <c r="AQ142" s="64" t="n">
        <f aca="false">IF(COUNT(L142:N142)&gt;0,AM142/AK142,"")</f>
        <v>0.0628272251308901</v>
      </c>
    </row>
    <row r="143" customFormat="false" ht="12.8" hidden="false" customHeight="false" outlineLevel="0" collapsed="false">
      <c r="A143" s="56" t="s">
        <v>47</v>
      </c>
      <c r="B143" s="57" t="n">
        <v>100</v>
      </c>
      <c r="C143" s="56" t="n">
        <v>291</v>
      </c>
      <c r="D143" s="25" t="n">
        <v>341</v>
      </c>
      <c r="E143" s="57" t="n">
        <v>392</v>
      </c>
      <c r="F143" s="58" t="n">
        <v>277</v>
      </c>
      <c r="G143" s="0" t="n">
        <v>284</v>
      </c>
      <c r="H143" s="59" t="n">
        <v>257</v>
      </c>
      <c r="I143" s="56" t="n">
        <v>317</v>
      </c>
      <c r="J143" s="0" t="n">
        <v>332</v>
      </c>
      <c r="K143" s="57"/>
      <c r="L143" s="56"/>
      <c r="M143" s="0" t="n">
        <v>371</v>
      </c>
      <c r="N143" s="57" t="n">
        <v>327</v>
      </c>
      <c r="O143" s="65" t="n">
        <f aca="false">IF(SUM(C143:E143)&gt;0,AVERAGE(C143:E143),"")</f>
        <v>341.333333333333</v>
      </c>
      <c r="P143" s="66" t="n">
        <f aca="false">IF(SUM(C143:E143)&gt;0, ( IF(C143&gt;0,(C143-O143)^2,0) + IF(D143&gt;0,(D143-O143)^2,0) + IF(E143&gt;0,(E143-O143)^2,0) ) / COUNT(C143:E143),"")</f>
        <v>1700.22222222222</v>
      </c>
      <c r="Q143" s="63" t="n">
        <f aca="false">IF(SUM(C143:E143)&gt;0,SQRT(P143),"")</f>
        <v>41.2337510083939</v>
      </c>
      <c r="R143" s="63" t="n">
        <f aca="false">IF(COUNT(C143:E143)&gt;0,VLOOKUP(COUNT(C143:E143),$AX$2:$AZ$5,3)*(Q143/SQRT(COUNT(C143:E143))),"")</f>
        <v>102.438583102628</v>
      </c>
      <c r="S143" s="63" t="n">
        <f aca="false">IF(COUNT(C143:E143)&gt;0,O143-R143,"")</f>
        <v>238.894750230705</v>
      </c>
      <c r="T143" s="63" t="n">
        <f aca="false">IF(COUNT(C143:E143)&gt;0,O143+R143,"")</f>
        <v>443.771916435962</v>
      </c>
      <c r="U143" s="64" t="n">
        <f aca="false">IF(COUNT(C143:E143)&gt;0,Q143/O143,"")</f>
        <v>0.120802004907404</v>
      </c>
      <c r="V143" s="65" t="n">
        <f aca="false">IF(SUM(F143:H143)&gt;0,AVERAGE(F143:H143),"")</f>
        <v>272.666666666667</v>
      </c>
      <c r="W143" s="66" t="n">
        <f aca="false">IF(SUM(F143:H143)&gt;0, ( IF(F143&gt;0,(F143-V143)^2,0) + IF(G143&gt;0,(G143-V143)^2,0) + IF(H143&gt;0,(H143-V143)^2,0) ) / COUNT(F143:H143),"")</f>
        <v>130.888888888889</v>
      </c>
      <c r="X143" s="63" t="n">
        <f aca="false">IF(SUM(F143:H143)&gt;0,SQRT(W143),"")</f>
        <v>11.4406682011537</v>
      </c>
      <c r="Y143" s="63" t="n">
        <f aca="false">IF(COUNT(F143:H143)&gt;0,VLOOKUP(COUNT(F143:H143),$AX$2:$AZ$5,3)*(X143/SQRT(COUNT(F143:H143))),"")</f>
        <v>28.4224891408716</v>
      </c>
      <c r="Z143" s="63" t="n">
        <f aca="false">IF(COUNT(F143:H143)&gt;0,V143-Y143,"")</f>
        <v>244.244177525795</v>
      </c>
      <c r="AA143" s="63" t="n">
        <f aca="false">IF(COUNT(F143:H143)&gt;0,V143+Y143,"")</f>
        <v>301.089155807538</v>
      </c>
      <c r="AB143" s="64" t="n">
        <f aca="false">IF(COUNT(F143:H143)&gt;0,X143/V143,"")</f>
        <v>0.0419584408355269</v>
      </c>
      <c r="AC143" s="26"/>
      <c r="AD143" s="65" t="n">
        <f aca="false">IF(SUM(I143:K143)&gt;0,AVERAGE(I143:K143),"")</f>
        <v>324.5</v>
      </c>
      <c r="AE143" s="66" t="n">
        <f aca="false">IF(SUM(I143:K143)&gt;0, ( IF(I143&gt;0,(I143-AD143)^2,0) + IF(J143&gt;0,(J143-AD143)^2,0) + IF(K143&gt;0,(K143-AD143)^2,0) ) / COUNT(I143:K143),"")</f>
        <v>56.25</v>
      </c>
      <c r="AF143" s="63" t="n">
        <f aca="false">IF(SUM(I143:K143)&gt;0,SQRT(AE143),"")</f>
        <v>7.5</v>
      </c>
      <c r="AG143" s="63" t="n">
        <f aca="false">IF(COUNT(I143:K143)&gt;0,VLOOKUP(COUNT(I143:K143),$AX$2:$AZ$5,3)*(AF143/SQRT(COUNT(I143:K143))),"")</f>
        <v>67.383740713172</v>
      </c>
      <c r="AH143" s="63" t="n">
        <f aca="false">IF(COUNT(I143:K143)&gt;0,AD143-AG143,"")</f>
        <v>257.116259286828</v>
      </c>
      <c r="AI143" s="63" t="n">
        <f aca="false">IF(COUNT(I143:K143)&gt;0,AD143+AG143,"")</f>
        <v>391.883740713172</v>
      </c>
      <c r="AJ143" s="64" t="n">
        <f aca="false">IF(COUNT(I143:K143)&gt;0,AF143/AD143,"")</f>
        <v>0.0231124807395994</v>
      </c>
      <c r="AK143" s="65" t="n">
        <f aca="false">IF(SUM(L143:N143)&gt;0,AVERAGE(L143:N143),"")</f>
        <v>349</v>
      </c>
      <c r="AL143" s="66" t="n">
        <f aca="false">IF(SUM(L143:N143)&gt;0, ( IF(L143&gt;0,(L143-AK143)^2,0) + IF(M143&gt;0,(M143-AK143)^2,0) + IF(N143&gt;0,(N143-AK143)^2,0) ) / COUNT(L143:N143),"")</f>
        <v>484</v>
      </c>
      <c r="AM143" s="63" t="n">
        <f aca="false">IF(SUM(L143:N143)&gt;0,SQRT(AL143),"")</f>
        <v>22</v>
      </c>
      <c r="AN143" s="63" t="n">
        <f aca="false">IF(COUNT(L143:N143)&gt;0,VLOOKUP(COUNT(L143:N143),$AX$2:$AZ$5,3)*(AM143/SQRT(COUNT(L143:N143))),"")</f>
        <v>197.658972758638</v>
      </c>
      <c r="AO143" s="63" t="n">
        <f aca="false">IF(COUNT(L143:N143)&gt;0,AK143-AN143,"")</f>
        <v>151.341027241362</v>
      </c>
      <c r="AP143" s="63" t="n">
        <f aca="false">IF(COUNT(L143:N143)&gt;0,AK143+AN143,"")</f>
        <v>546.658972758638</v>
      </c>
      <c r="AQ143" s="64" t="n">
        <f aca="false">IF(COUNT(L143:N143)&gt;0,AM143/AK143,"")</f>
        <v>0.0630372492836676</v>
      </c>
    </row>
    <row r="144" customFormat="false" ht="12.8" hidden="false" customHeight="false" outlineLevel="0" collapsed="false">
      <c r="A144" s="56" t="s">
        <v>45</v>
      </c>
      <c r="B144" s="57" t="n">
        <v>5</v>
      </c>
      <c r="C144" s="56"/>
      <c r="D144" s="25"/>
      <c r="E144" s="57"/>
      <c r="F144" s="58"/>
      <c r="H144" s="59"/>
      <c r="I144" s="56"/>
      <c r="K144" s="57"/>
      <c r="L144" s="56"/>
      <c r="N144" s="57"/>
      <c r="O144" s="65" t="str">
        <f aca="false">IF(SUM(C144:E144)&gt;0,AVERAGE(C144:E144),"")</f>
        <v/>
      </c>
      <c r="P144" s="66" t="str">
        <f aca="false">IF(SUM(C144:E144)&gt;0, ( IF(C144&gt;0,(C144-O144)^2,0) + IF(D144&gt;0,(D144-O144)^2,0) + IF(E144&gt;0,(E144-O144)^2,0) ) / COUNT(C144:E144),"")</f>
        <v/>
      </c>
      <c r="Q144" s="63" t="str">
        <f aca="false">IF(SUM(C144:E144)&gt;0,SQRT(P144),"")</f>
        <v/>
      </c>
      <c r="R144" s="63" t="str">
        <f aca="false">IF(COUNT(C144:E144)&gt;0,VLOOKUP(COUNT(C144:E144),$AX$2:$AZ$5,3)*(Q144/SQRT(COUNT(C144:E144))),"")</f>
        <v/>
      </c>
      <c r="S144" s="63" t="str">
        <f aca="false">IF(COUNT(C144:E144)&gt;0,O144-R144,"")</f>
        <v/>
      </c>
      <c r="T144" s="63" t="str">
        <f aca="false">IF(COUNT(C144:E144)&gt;0,O144+R144,"")</f>
        <v/>
      </c>
      <c r="U144" s="64" t="str">
        <f aca="false">IF(COUNT(C144:E144)&gt;0,Q144/O144,"")</f>
        <v/>
      </c>
      <c r="V144" s="65" t="str">
        <f aca="false">IF(SUM(F144:H144)&gt;0,AVERAGE(F144:H144),"")</f>
        <v/>
      </c>
      <c r="W144" s="66" t="str">
        <f aca="false">IF(SUM(F144:H144)&gt;0, ( IF(F144&gt;0,(F144-V144)^2,0) + IF(G144&gt;0,(G144-V144)^2,0) + IF(H144&gt;0,(H144-V144)^2,0) ) / COUNT(F144:H144),"")</f>
        <v/>
      </c>
      <c r="X144" s="63" t="str">
        <f aca="false">IF(SUM(F144:H144)&gt;0,SQRT(W144),"")</f>
        <v/>
      </c>
      <c r="Y144" s="63" t="str">
        <f aca="false">IF(COUNT(F144:H144)&gt;0,VLOOKUP(COUNT(F144:H144),$AX$2:$AZ$5,3)*(X144/SQRT(COUNT(F144:H144))),"")</f>
        <v/>
      </c>
      <c r="Z144" s="63" t="str">
        <f aca="false">IF(COUNT(F144:H144)&gt;0,V144-Y144,"")</f>
        <v/>
      </c>
      <c r="AA144" s="63" t="str">
        <f aca="false">IF(COUNT(F144:H144)&gt;0,V144+Y144,"")</f>
        <v/>
      </c>
      <c r="AB144" s="64" t="str">
        <f aca="false">IF(COUNT(F144:H144)&gt;0,X144/V144,"")</f>
        <v/>
      </c>
      <c r="AC144" s="26"/>
      <c r="AD144" s="65" t="str">
        <f aca="false">IF(SUM(I144:K144)&gt;0,AVERAGE(I144:K144),"")</f>
        <v/>
      </c>
      <c r="AE144" s="66" t="str">
        <f aca="false">IF(SUM(I144:K144)&gt;0, ( IF(I144&gt;0,(I144-AD144)^2,0) + IF(J144&gt;0,(J144-AD144)^2,0) + IF(K144&gt;0,(K144-AD144)^2,0) ) / COUNT(I144:K144),"")</f>
        <v/>
      </c>
      <c r="AF144" s="63" t="str">
        <f aca="false">IF(SUM(I144:K144)&gt;0,SQRT(AE144),"")</f>
        <v/>
      </c>
      <c r="AG144" s="63" t="str">
        <f aca="false">IF(COUNT(I144:K144)&gt;0,VLOOKUP(COUNT(I144:K144),$AX$2:$AZ$5,3)*(AF144/SQRT(COUNT(I144:K144))),"")</f>
        <v/>
      </c>
      <c r="AH144" s="63" t="str">
        <f aca="false">IF(COUNT(I144:K144)&gt;0,AD144-AG144,"")</f>
        <v/>
      </c>
      <c r="AI144" s="63" t="str">
        <f aca="false">IF(COUNT(I144:K144)&gt;0,AD144+AG144,"")</f>
        <v/>
      </c>
      <c r="AJ144" s="64" t="str">
        <f aca="false">IF(COUNT(I144:K144)&gt;0,AF144/AD144,"")</f>
        <v/>
      </c>
      <c r="AK144" s="65" t="str">
        <f aca="false">IF(SUM(L144:N144)&gt;0,AVERAGE(L144:N144),"")</f>
        <v/>
      </c>
      <c r="AL144" s="66" t="str">
        <f aca="false">IF(SUM(L144:N144)&gt;0, ( IF(L144&gt;0,(L144-AK144)^2,0) + IF(M144&gt;0,(M144-AK144)^2,0) + IF(N144&gt;0,(N144-AK144)^2,0) ) / COUNT(L144:N144),"")</f>
        <v/>
      </c>
      <c r="AM144" s="63" t="str">
        <f aca="false">IF(SUM(L144:N144)&gt;0,SQRT(AL144),"")</f>
        <v/>
      </c>
      <c r="AN144" s="63" t="str">
        <f aca="false">IF(COUNT(L144:N144)&gt;0,VLOOKUP(COUNT(L144:N144),$AX$2:$AZ$5,3)*(AM144/SQRT(COUNT(L144:N144))),"")</f>
        <v/>
      </c>
      <c r="AO144" s="63" t="str">
        <f aca="false">IF(COUNT(L144:N144)&gt;0,AK144-AN144,"")</f>
        <v/>
      </c>
      <c r="AP144" s="63" t="str">
        <f aca="false">IF(COUNT(L144:N144)&gt;0,AK144+AN144,"")</f>
        <v/>
      </c>
      <c r="AQ144" s="64" t="str">
        <f aca="false">IF(COUNT(L144:N144)&gt;0,AM144/AK144,"")</f>
        <v/>
      </c>
    </row>
    <row r="145" customFormat="false" ht="12.8" hidden="false" customHeight="false" outlineLevel="0" collapsed="false">
      <c r="A145" s="56" t="s">
        <v>45</v>
      </c>
      <c r="B145" s="57" t="n">
        <v>10</v>
      </c>
      <c r="C145" s="56"/>
      <c r="D145" s="25"/>
      <c r="E145" s="57"/>
      <c r="F145" s="58"/>
      <c r="H145" s="59"/>
      <c r="I145" s="56"/>
      <c r="K145" s="57"/>
      <c r="L145" s="56"/>
      <c r="N145" s="57"/>
      <c r="O145" s="65" t="str">
        <f aca="false">IF(SUM(C145:E145)&gt;0,AVERAGE(C145:E145),"")</f>
        <v/>
      </c>
      <c r="P145" s="66" t="str">
        <f aca="false">IF(SUM(C145:E145)&gt;0, ( IF(C145&gt;0,(C145-O145)^2,0) + IF(D145&gt;0,(D145-O145)^2,0) + IF(E145&gt;0,(E145-O145)^2,0) ) / COUNT(C145:E145),"")</f>
        <v/>
      </c>
      <c r="Q145" s="63" t="str">
        <f aca="false">IF(SUM(C145:E145)&gt;0,SQRT(P145),"")</f>
        <v/>
      </c>
      <c r="R145" s="63" t="str">
        <f aca="false">IF(COUNT(C145:E145)&gt;0,VLOOKUP(COUNT(C145:E145),$AX$2:$AZ$5,3)*(Q145/SQRT(COUNT(C145:E145))),"")</f>
        <v/>
      </c>
      <c r="S145" s="63" t="str">
        <f aca="false">IF(COUNT(C145:E145)&gt;0,O145-R145,"")</f>
        <v/>
      </c>
      <c r="T145" s="63" t="str">
        <f aca="false">IF(COUNT(C145:E145)&gt;0,O145+R145,"")</f>
        <v/>
      </c>
      <c r="U145" s="64" t="str">
        <f aca="false">IF(COUNT(C145:E145)&gt;0,Q145/O145,"")</f>
        <v/>
      </c>
      <c r="V145" s="65" t="str">
        <f aca="false">IF(SUM(F145:H145)&gt;0,AVERAGE(F145:H145),"")</f>
        <v/>
      </c>
      <c r="W145" s="66" t="str">
        <f aca="false">IF(SUM(F145:H145)&gt;0, ( IF(F145&gt;0,(F145-V145)^2,0) + IF(G145&gt;0,(G145-V145)^2,0) + IF(H145&gt;0,(H145-V145)^2,0) ) / COUNT(F145:H145),"")</f>
        <v/>
      </c>
      <c r="X145" s="63" t="str">
        <f aca="false">IF(SUM(F145:H145)&gt;0,SQRT(W145),"")</f>
        <v/>
      </c>
      <c r="Y145" s="63" t="str">
        <f aca="false">IF(COUNT(F145:H145)&gt;0,VLOOKUP(COUNT(F145:H145),$AX$2:$AZ$5,3)*(X145/SQRT(COUNT(F145:H145))),"")</f>
        <v/>
      </c>
      <c r="Z145" s="63" t="str">
        <f aca="false">IF(COUNT(F145:H145)&gt;0,V145-Y145,"")</f>
        <v/>
      </c>
      <c r="AA145" s="63" t="str">
        <f aca="false">IF(COUNT(F145:H145)&gt;0,V145+Y145,"")</f>
        <v/>
      </c>
      <c r="AB145" s="64" t="str">
        <f aca="false">IF(COUNT(F145:H145)&gt;0,X145/V145,"")</f>
        <v/>
      </c>
      <c r="AC145" s="26"/>
      <c r="AD145" s="65" t="str">
        <f aca="false">IF(SUM(I145:K145)&gt;0,AVERAGE(I145:K145),"")</f>
        <v/>
      </c>
      <c r="AE145" s="66" t="str">
        <f aca="false">IF(SUM(I145:K145)&gt;0, ( IF(I145&gt;0,(I145-AD145)^2,0) + IF(J145&gt;0,(J145-AD145)^2,0) + IF(K145&gt;0,(K145-AD145)^2,0) ) / COUNT(I145:K145),"")</f>
        <v/>
      </c>
      <c r="AF145" s="63" t="str">
        <f aca="false">IF(SUM(I145:K145)&gt;0,SQRT(AE145),"")</f>
        <v/>
      </c>
      <c r="AG145" s="63" t="str">
        <f aca="false">IF(COUNT(I145:K145)&gt;0,VLOOKUP(COUNT(I145:K145),$AX$2:$AZ$5,3)*(AF145/SQRT(COUNT(I145:K145))),"")</f>
        <v/>
      </c>
      <c r="AH145" s="63" t="str">
        <f aca="false">IF(COUNT(I145:K145)&gt;0,AD145-AG145,"")</f>
        <v/>
      </c>
      <c r="AI145" s="63" t="str">
        <f aca="false">IF(COUNT(I145:K145)&gt;0,AD145+AG145,"")</f>
        <v/>
      </c>
      <c r="AJ145" s="64" t="str">
        <f aca="false">IF(COUNT(I145:K145)&gt;0,AF145/AD145,"")</f>
        <v/>
      </c>
      <c r="AK145" s="65" t="str">
        <f aca="false">IF(SUM(L145:N145)&gt;0,AVERAGE(L145:N145),"")</f>
        <v/>
      </c>
      <c r="AL145" s="66" t="str">
        <f aca="false">IF(SUM(L145:N145)&gt;0, ( IF(L145&gt;0,(L145-AK145)^2,0) + IF(M145&gt;0,(M145-AK145)^2,0) + IF(N145&gt;0,(N145-AK145)^2,0) ) / COUNT(L145:N145),"")</f>
        <v/>
      </c>
      <c r="AM145" s="63" t="str">
        <f aca="false">IF(SUM(L145:N145)&gt;0,SQRT(AL145),"")</f>
        <v/>
      </c>
      <c r="AN145" s="63" t="str">
        <f aca="false">IF(COUNT(L145:N145)&gt;0,VLOOKUP(COUNT(L145:N145),$AX$2:$AZ$5,3)*(AM145/SQRT(COUNT(L145:N145))),"")</f>
        <v/>
      </c>
      <c r="AO145" s="63" t="str">
        <f aca="false">IF(COUNT(L145:N145)&gt;0,AK145-AN145,"")</f>
        <v/>
      </c>
      <c r="AP145" s="63" t="str">
        <f aca="false">IF(COUNT(L145:N145)&gt;0,AK145+AN145,"")</f>
        <v/>
      </c>
      <c r="AQ145" s="64" t="str">
        <f aca="false">IF(COUNT(L145:N145)&gt;0,AM145/AK145,"")</f>
        <v/>
      </c>
    </row>
    <row r="146" customFormat="false" ht="12.8" hidden="false" customHeight="false" outlineLevel="0" collapsed="false">
      <c r="A146" s="56" t="s">
        <v>45</v>
      </c>
      <c r="B146" s="57" t="n">
        <v>15</v>
      </c>
      <c r="C146" s="56" t="n">
        <v>3090</v>
      </c>
      <c r="D146" s="25"/>
      <c r="E146" s="57" t="n">
        <v>3682</v>
      </c>
      <c r="F146" s="58"/>
      <c r="H146" s="59"/>
      <c r="I146" s="56"/>
      <c r="K146" s="57"/>
      <c r="L146" s="56"/>
      <c r="N146" s="57"/>
      <c r="O146" s="65" t="n">
        <f aca="false">IF(SUM(C146:E146)&gt;0,AVERAGE(C146:E146),"")</f>
        <v>3386</v>
      </c>
      <c r="P146" s="66" t="n">
        <f aca="false">IF(SUM(C146:E146)&gt;0, ( IF(C146&gt;0,(C146-O146)^2,0) + IF(D146&gt;0,(D146-O146)^2,0) + IF(E146&gt;0,(E146-O146)^2,0) ) / COUNT(C146:E146),"")</f>
        <v>87616</v>
      </c>
      <c r="Q146" s="63" t="n">
        <f aca="false">IF(SUM(C146:E146)&gt;0,SQRT(P146),"")</f>
        <v>296</v>
      </c>
      <c r="R146" s="63" t="n">
        <f aca="false">IF(COUNT(C146:E146)&gt;0,VLOOKUP(COUNT(C146:E146),$AX$2:$AZ$5,3)*(Q146/SQRT(COUNT(C146:E146))),"")</f>
        <v>2659.41163347986</v>
      </c>
      <c r="S146" s="63" t="n">
        <f aca="false">IF(COUNT(C146:E146)&gt;0,O146-R146,"")</f>
        <v>726.588366520144</v>
      </c>
      <c r="T146" s="63" t="n">
        <f aca="false">IF(COUNT(C146:E146)&gt;0,O146+R146,"")</f>
        <v>6045.41163347986</v>
      </c>
      <c r="U146" s="64" t="n">
        <f aca="false">IF(COUNT(C146:E146)&gt;0,Q146/O146,"")</f>
        <v>0.0874187832250443</v>
      </c>
      <c r="V146" s="65" t="str">
        <f aca="false">IF(SUM(F146:H146)&gt;0,AVERAGE(F146:H146),"")</f>
        <v/>
      </c>
      <c r="W146" s="66" t="str">
        <f aca="false">IF(SUM(F146:H146)&gt;0, ( IF(F146&gt;0,(F146-V146)^2,0) + IF(G146&gt;0,(G146-V146)^2,0) + IF(H146&gt;0,(H146-V146)^2,0) ) / COUNT(F146:H146),"")</f>
        <v/>
      </c>
      <c r="X146" s="63" t="str">
        <f aca="false">IF(SUM(F146:H146)&gt;0,SQRT(W146),"")</f>
        <v/>
      </c>
      <c r="Y146" s="63" t="str">
        <f aca="false">IF(COUNT(F146:H146)&gt;0,VLOOKUP(COUNT(F146:H146),$AX$2:$AZ$5,3)*(X146/SQRT(COUNT(F146:H146))),"")</f>
        <v/>
      </c>
      <c r="Z146" s="63" t="str">
        <f aca="false">IF(COUNT(F146:H146)&gt;0,V146-Y146,"")</f>
        <v/>
      </c>
      <c r="AA146" s="63" t="str">
        <f aca="false">IF(COUNT(F146:H146)&gt;0,V146+Y146,"")</f>
        <v/>
      </c>
      <c r="AB146" s="64" t="str">
        <f aca="false">IF(COUNT(F146:H146)&gt;0,X146/V146,"")</f>
        <v/>
      </c>
      <c r="AC146" s="26"/>
      <c r="AD146" s="65" t="str">
        <f aca="false">IF(SUM(I146:K146)&gt;0,AVERAGE(I146:K146),"")</f>
        <v/>
      </c>
      <c r="AE146" s="66" t="str">
        <f aca="false">IF(SUM(I146:K146)&gt;0, ( IF(I146&gt;0,(I146-AD146)^2,0) + IF(J146&gt;0,(J146-AD146)^2,0) + IF(K146&gt;0,(K146-AD146)^2,0) ) / COUNT(I146:K146),"")</f>
        <v/>
      </c>
      <c r="AF146" s="63" t="str">
        <f aca="false">IF(SUM(I146:K146)&gt;0,SQRT(AE146),"")</f>
        <v/>
      </c>
      <c r="AG146" s="63" t="str">
        <f aca="false">IF(COUNT(I146:K146)&gt;0,VLOOKUP(COUNT(I146:K146),$AX$2:$AZ$5,3)*(AF146/SQRT(COUNT(I146:K146))),"")</f>
        <v/>
      </c>
      <c r="AH146" s="63" t="str">
        <f aca="false">IF(COUNT(I146:K146)&gt;0,AD146-AG146,"")</f>
        <v/>
      </c>
      <c r="AI146" s="63" t="str">
        <f aca="false">IF(COUNT(I146:K146)&gt;0,AD146+AG146,"")</f>
        <v/>
      </c>
      <c r="AJ146" s="64" t="str">
        <f aca="false">IF(COUNT(I146:K146)&gt;0,AF146/AD146,"")</f>
        <v/>
      </c>
      <c r="AK146" s="65" t="str">
        <f aca="false">IF(SUM(L146:N146)&gt;0,AVERAGE(L146:N146),"")</f>
        <v/>
      </c>
      <c r="AL146" s="66" t="str">
        <f aca="false">IF(SUM(L146:N146)&gt;0, ( IF(L146&gt;0,(L146-AK146)^2,0) + IF(M146&gt;0,(M146-AK146)^2,0) + IF(N146&gt;0,(N146-AK146)^2,0) ) / COUNT(L146:N146),"")</f>
        <v/>
      </c>
      <c r="AM146" s="63" t="str">
        <f aca="false">IF(SUM(L146:N146)&gt;0,SQRT(AL146),"")</f>
        <v/>
      </c>
      <c r="AN146" s="63" t="str">
        <f aca="false">IF(COUNT(L146:N146)&gt;0,VLOOKUP(COUNT(L146:N146),$AX$2:$AZ$5,3)*(AM146/SQRT(COUNT(L146:N146))),"")</f>
        <v/>
      </c>
      <c r="AO146" s="63" t="str">
        <f aca="false">IF(COUNT(L146:N146)&gt;0,AK146-AN146,"")</f>
        <v/>
      </c>
      <c r="AP146" s="63" t="str">
        <f aca="false">IF(COUNT(L146:N146)&gt;0,AK146+AN146,"")</f>
        <v/>
      </c>
      <c r="AQ146" s="64" t="str">
        <f aca="false">IF(COUNT(L146:N146)&gt;0,AM146/AK146,"")</f>
        <v/>
      </c>
    </row>
    <row r="147" customFormat="false" ht="12.8" hidden="false" customHeight="false" outlineLevel="0" collapsed="false">
      <c r="A147" s="56" t="s">
        <v>45</v>
      </c>
      <c r="B147" s="57" t="n">
        <v>20</v>
      </c>
      <c r="C147" s="56" t="n">
        <v>2172</v>
      </c>
      <c r="D147" s="25"/>
      <c r="E147" s="57" t="n">
        <v>2275</v>
      </c>
      <c r="F147" s="58"/>
      <c r="H147" s="59"/>
      <c r="I147" s="56"/>
      <c r="K147" s="57"/>
      <c r="L147" s="56"/>
      <c r="N147" s="57"/>
      <c r="O147" s="65" t="n">
        <f aca="false">IF(SUM(C147:E147)&gt;0,AVERAGE(C147:E147),"")</f>
        <v>2223.5</v>
      </c>
      <c r="P147" s="66" t="n">
        <f aca="false">IF(SUM(C147:E147)&gt;0, ( IF(C147&gt;0,(C147-O147)^2,0) + IF(D147&gt;0,(D147-O147)^2,0) + IF(E147&gt;0,(E147-O147)^2,0) ) / COUNT(C147:E147),"")</f>
        <v>2652.25</v>
      </c>
      <c r="Q147" s="63" t="n">
        <f aca="false">IF(SUM(C147:E147)&gt;0,SQRT(P147),"")</f>
        <v>51.5</v>
      </c>
      <c r="R147" s="63" t="n">
        <f aca="false">IF(COUNT(C147:E147)&gt;0,VLOOKUP(COUNT(C147:E147),$AX$2:$AZ$5,3)*(Q147/SQRT(COUNT(C147:E147))),"")</f>
        <v>462.701686230448</v>
      </c>
      <c r="S147" s="63" t="n">
        <f aca="false">IF(COUNT(C147:E147)&gt;0,O147-R147,"")</f>
        <v>1760.79831376955</v>
      </c>
      <c r="T147" s="63" t="n">
        <f aca="false">IF(COUNT(C147:E147)&gt;0,O147+R147,"")</f>
        <v>2686.20168623045</v>
      </c>
      <c r="U147" s="64" t="n">
        <f aca="false">IF(COUNT(C147:E147)&gt;0,Q147/O147,"")</f>
        <v>0.0231616820328311</v>
      </c>
      <c r="V147" s="65" t="str">
        <f aca="false">IF(SUM(F147:H147)&gt;0,AVERAGE(F147:H147),"")</f>
        <v/>
      </c>
      <c r="W147" s="66" t="str">
        <f aca="false">IF(SUM(F147:H147)&gt;0, ( IF(F147&gt;0,(F147-V147)^2,0) + IF(G147&gt;0,(G147-V147)^2,0) + IF(H147&gt;0,(H147-V147)^2,0) ) / COUNT(F147:H147),"")</f>
        <v/>
      </c>
      <c r="X147" s="63" t="str">
        <f aca="false">IF(SUM(F147:H147)&gt;0,SQRT(W147),"")</f>
        <v/>
      </c>
      <c r="Y147" s="63" t="str">
        <f aca="false">IF(COUNT(F147:H147)&gt;0,VLOOKUP(COUNT(F147:H147),$AX$2:$AZ$5,3)*(X147/SQRT(COUNT(F147:H147))),"")</f>
        <v/>
      </c>
      <c r="Z147" s="63" t="str">
        <f aca="false">IF(COUNT(F147:H147)&gt;0,V147-Y147,"")</f>
        <v/>
      </c>
      <c r="AA147" s="63" t="str">
        <f aca="false">IF(COUNT(F147:H147)&gt;0,V147+Y147,"")</f>
        <v/>
      </c>
      <c r="AB147" s="64" t="str">
        <f aca="false">IF(COUNT(F147:H147)&gt;0,X147/V147,"")</f>
        <v/>
      </c>
      <c r="AC147" s="26"/>
      <c r="AD147" s="65" t="str">
        <f aca="false">IF(SUM(I147:K147)&gt;0,AVERAGE(I147:K147),"")</f>
        <v/>
      </c>
      <c r="AE147" s="66" t="str">
        <f aca="false">IF(SUM(I147:K147)&gt;0, ( IF(I147&gt;0,(I147-AD147)^2,0) + IF(J147&gt;0,(J147-AD147)^2,0) + IF(K147&gt;0,(K147-AD147)^2,0) ) / COUNT(I147:K147),"")</f>
        <v/>
      </c>
      <c r="AF147" s="63" t="str">
        <f aca="false">IF(SUM(I147:K147)&gt;0,SQRT(AE147),"")</f>
        <v/>
      </c>
      <c r="AG147" s="63" t="str">
        <f aca="false">IF(COUNT(I147:K147)&gt;0,VLOOKUP(COUNT(I147:K147),$AX$2:$AZ$5,3)*(AF147/SQRT(COUNT(I147:K147))),"")</f>
        <v/>
      </c>
      <c r="AH147" s="63" t="str">
        <f aca="false">IF(COUNT(I147:K147)&gt;0,AD147-AG147,"")</f>
        <v/>
      </c>
      <c r="AI147" s="63" t="str">
        <f aca="false">IF(COUNT(I147:K147)&gt;0,AD147+AG147,"")</f>
        <v/>
      </c>
      <c r="AJ147" s="64" t="str">
        <f aca="false">IF(COUNT(I147:K147)&gt;0,AF147/AD147,"")</f>
        <v/>
      </c>
      <c r="AK147" s="65" t="str">
        <f aca="false">IF(SUM(L147:N147)&gt;0,AVERAGE(L147:N147),"")</f>
        <v/>
      </c>
      <c r="AL147" s="66" t="str">
        <f aca="false">IF(SUM(L147:N147)&gt;0, ( IF(L147&gt;0,(L147-AK147)^2,0) + IF(M147&gt;0,(M147-AK147)^2,0) + IF(N147&gt;0,(N147-AK147)^2,0) ) / COUNT(L147:N147),"")</f>
        <v/>
      </c>
      <c r="AM147" s="63" t="str">
        <f aca="false">IF(SUM(L147:N147)&gt;0,SQRT(AL147),"")</f>
        <v/>
      </c>
      <c r="AN147" s="63" t="str">
        <f aca="false">IF(COUNT(L147:N147)&gt;0,VLOOKUP(COUNT(L147:N147),$AX$2:$AZ$5,3)*(AM147/SQRT(COUNT(L147:N147))),"")</f>
        <v/>
      </c>
      <c r="AO147" s="63" t="str">
        <f aca="false">IF(COUNT(L147:N147)&gt;0,AK147-AN147,"")</f>
        <v/>
      </c>
      <c r="AP147" s="63" t="str">
        <f aca="false">IF(COUNT(L147:N147)&gt;0,AK147+AN147,"")</f>
        <v/>
      </c>
      <c r="AQ147" s="64" t="str">
        <f aca="false">IF(COUNT(L147:N147)&gt;0,AM147/AK147,"")</f>
        <v/>
      </c>
    </row>
    <row r="148" customFormat="false" ht="12.8" hidden="false" customHeight="false" outlineLevel="0" collapsed="false">
      <c r="A148" s="56" t="s">
        <v>45</v>
      </c>
      <c r="B148" s="57" t="n">
        <v>30</v>
      </c>
      <c r="C148" s="56" t="n">
        <v>2233</v>
      </c>
      <c r="D148" s="25" t="n">
        <v>1975</v>
      </c>
      <c r="E148" s="57" t="n">
        <v>1577</v>
      </c>
      <c r="F148" s="58"/>
      <c r="H148" s="59"/>
      <c r="I148" s="56"/>
      <c r="K148" s="57"/>
      <c r="L148" s="56"/>
      <c r="N148" s="57"/>
      <c r="O148" s="65" t="n">
        <f aca="false">IF(SUM(C148:E148)&gt;0,AVERAGE(C148:E148),"")</f>
        <v>1928.33333333333</v>
      </c>
      <c r="P148" s="66" t="n">
        <f aca="false">IF(SUM(C148:E148)&gt;0, ( IF(C148&gt;0,(C148-O148)^2,0) + IF(D148&gt;0,(D148-O148)^2,0) + IF(E148&gt;0,(E148-O148)^2,0) ) / COUNT(C148:E148),"")</f>
        <v>72811.5555555556</v>
      </c>
      <c r="Q148" s="63" t="n">
        <f aca="false">IF(SUM(C148:E148)&gt;0,SQRT(P148),"")</f>
        <v>269.8361642841</v>
      </c>
      <c r="R148" s="63" t="n">
        <f aca="false">IF(COUNT(C148:E148)&gt;0,VLOOKUP(COUNT(C148:E148),$AX$2:$AZ$5,3)*(Q148/SQRT(COUNT(C148:E148))),"")</f>
        <v>670.3642929183</v>
      </c>
      <c r="S148" s="63" t="n">
        <f aca="false">IF(COUNT(C148:E148)&gt;0,O148-R148,"")</f>
        <v>1257.96904041503</v>
      </c>
      <c r="T148" s="63" t="n">
        <f aca="false">IF(COUNT(C148:E148)&gt;0,O148+R148,"")</f>
        <v>2598.69762625163</v>
      </c>
      <c r="U148" s="64" t="n">
        <f aca="false">IF(COUNT(C148:E148)&gt;0,Q148/O148,"")</f>
        <v>0.139932323742835</v>
      </c>
      <c r="V148" s="65" t="str">
        <f aca="false">IF(SUM(F148:H148)&gt;0,AVERAGE(F148:H148),"")</f>
        <v/>
      </c>
      <c r="W148" s="66" t="str">
        <f aca="false">IF(SUM(F148:H148)&gt;0, ( IF(F148&gt;0,(F148-V148)^2,0) + IF(G148&gt;0,(G148-V148)^2,0) + IF(H148&gt;0,(H148-V148)^2,0) ) / COUNT(F148:H148),"")</f>
        <v/>
      </c>
      <c r="X148" s="63" t="str">
        <f aca="false">IF(SUM(F148:H148)&gt;0,SQRT(W148),"")</f>
        <v/>
      </c>
      <c r="Y148" s="63" t="str">
        <f aca="false">IF(COUNT(F148:H148)&gt;0,VLOOKUP(COUNT(F148:H148),$AX$2:$AZ$5,3)*(X148/SQRT(COUNT(F148:H148))),"")</f>
        <v/>
      </c>
      <c r="Z148" s="63" t="str">
        <f aca="false">IF(COUNT(F148:H148)&gt;0,V148-Y148,"")</f>
        <v/>
      </c>
      <c r="AA148" s="63" t="str">
        <f aca="false">IF(COUNT(F148:H148)&gt;0,V148+Y148,"")</f>
        <v/>
      </c>
      <c r="AB148" s="64" t="str">
        <f aca="false">IF(COUNT(F148:H148)&gt;0,X148/V148,"")</f>
        <v/>
      </c>
      <c r="AC148" s="26"/>
      <c r="AD148" s="65" t="str">
        <f aca="false">IF(SUM(I148:K148)&gt;0,AVERAGE(I148:K148),"")</f>
        <v/>
      </c>
      <c r="AE148" s="66" t="str">
        <f aca="false">IF(SUM(I148:K148)&gt;0, ( IF(I148&gt;0,(I148-AD148)^2,0) + IF(J148&gt;0,(J148-AD148)^2,0) + IF(K148&gt;0,(K148-AD148)^2,0) ) / COUNT(I148:K148),"")</f>
        <v/>
      </c>
      <c r="AF148" s="63" t="str">
        <f aca="false">IF(SUM(I148:K148)&gt;0,SQRT(AE148),"")</f>
        <v/>
      </c>
      <c r="AG148" s="63" t="str">
        <f aca="false">IF(COUNT(I148:K148)&gt;0,VLOOKUP(COUNT(I148:K148),$AX$2:$AZ$5,3)*(AF148/SQRT(COUNT(I148:K148))),"")</f>
        <v/>
      </c>
      <c r="AH148" s="63" t="str">
        <f aca="false">IF(COUNT(I148:K148)&gt;0,AD148-AG148,"")</f>
        <v/>
      </c>
      <c r="AI148" s="63" t="str">
        <f aca="false">IF(COUNT(I148:K148)&gt;0,AD148+AG148,"")</f>
        <v/>
      </c>
      <c r="AJ148" s="64" t="str">
        <f aca="false">IF(COUNT(I148:K148)&gt;0,AF148/AD148,"")</f>
        <v/>
      </c>
      <c r="AK148" s="65" t="str">
        <f aca="false">IF(SUM(L148:N148)&gt;0,AVERAGE(L148:N148),"")</f>
        <v/>
      </c>
      <c r="AL148" s="66" t="str">
        <f aca="false">IF(SUM(L148:N148)&gt;0, ( IF(L148&gt;0,(L148-AK148)^2,0) + IF(M148&gt;0,(M148-AK148)^2,0) + IF(N148&gt;0,(N148-AK148)^2,0) ) / COUNT(L148:N148),"")</f>
        <v/>
      </c>
      <c r="AM148" s="63" t="str">
        <f aca="false">IF(SUM(L148:N148)&gt;0,SQRT(AL148),"")</f>
        <v/>
      </c>
      <c r="AN148" s="63" t="str">
        <f aca="false">IF(COUNT(L148:N148)&gt;0,VLOOKUP(COUNT(L148:N148),$AX$2:$AZ$5,3)*(AM148/SQRT(COUNT(L148:N148))),"")</f>
        <v/>
      </c>
      <c r="AO148" s="63" t="str">
        <f aca="false">IF(COUNT(L148:N148)&gt;0,AK148-AN148,"")</f>
        <v/>
      </c>
      <c r="AP148" s="63" t="str">
        <f aca="false">IF(COUNT(L148:N148)&gt;0,AK148+AN148,"")</f>
        <v/>
      </c>
      <c r="AQ148" s="64" t="str">
        <f aca="false">IF(COUNT(L148:N148)&gt;0,AM148/AK148,"")</f>
        <v/>
      </c>
    </row>
    <row r="149" customFormat="false" ht="12.8" hidden="false" customHeight="false" outlineLevel="0" collapsed="false">
      <c r="A149" s="56" t="s">
        <v>45</v>
      </c>
      <c r="B149" s="57" t="n">
        <v>40</v>
      </c>
      <c r="C149" s="56" t="n">
        <v>1339</v>
      </c>
      <c r="D149" s="25" t="n">
        <v>1151</v>
      </c>
      <c r="E149" s="57" t="n">
        <v>1576</v>
      </c>
      <c r="F149" s="58"/>
      <c r="H149" s="59"/>
      <c r="I149" s="56"/>
      <c r="K149" s="57"/>
      <c r="L149" s="56"/>
      <c r="N149" s="57"/>
      <c r="O149" s="65" t="n">
        <f aca="false">IF(SUM(C149:E149)&gt;0,AVERAGE(C149:E149),"")</f>
        <v>1355.33333333333</v>
      </c>
      <c r="P149" s="66" t="n">
        <f aca="false">IF(SUM(C149:E149)&gt;0, ( IF(C149&gt;0,(C149-O149)^2,0) + IF(D149&gt;0,(D149-O149)^2,0) + IF(E149&gt;0,(E149-O149)^2,0) ) / COUNT(C149:E149),"")</f>
        <v>30237.5555555556</v>
      </c>
      <c r="Q149" s="63" t="n">
        <f aca="false">IF(SUM(C149:E149)&gt;0,SQRT(P149),"")</f>
        <v>173.88949236672</v>
      </c>
      <c r="R149" s="63" t="n">
        <f aca="false">IF(COUNT(C149:E149)&gt;0,VLOOKUP(COUNT(C149:E149),$AX$2:$AZ$5,3)*(Q149/SQRT(COUNT(C149:E149))),"")</f>
        <v>432.000309912526</v>
      </c>
      <c r="S149" s="63" t="n">
        <f aca="false">IF(COUNT(C149:E149)&gt;0,O149-R149,"")</f>
        <v>923.333023420807</v>
      </c>
      <c r="T149" s="63" t="n">
        <f aca="false">IF(COUNT(C149:E149)&gt;0,O149+R149,"")</f>
        <v>1787.33364324586</v>
      </c>
      <c r="U149" s="64" t="n">
        <f aca="false">IF(COUNT(C149:E149)&gt;0,Q149/O149,"")</f>
        <v>0.128300166527339</v>
      </c>
      <c r="V149" s="65" t="str">
        <f aca="false">IF(SUM(F149:H149)&gt;0,AVERAGE(F149:H149),"")</f>
        <v/>
      </c>
      <c r="W149" s="66" t="str">
        <f aca="false">IF(SUM(F149:H149)&gt;0, ( IF(F149&gt;0,(F149-V149)^2,0) + IF(G149&gt;0,(G149-V149)^2,0) + IF(H149&gt;0,(H149-V149)^2,0) ) / COUNT(F149:H149),"")</f>
        <v/>
      </c>
      <c r="X149" s="63" t="str">
        <f aca="false">IF(SUM(F149:H149)&gt;0,SQRT(W149),"")</f>
        <v/>
      </c>
      <c r="Y149" s="63" t="str">
        <f aca="false">IF(COUNT(F149:H149)&gt;0,VLOOKUP(COUNT(F149:H149),$AX$2:$AZ$5,3)*(X149/SQRT(COUNT(F149:H149))),"")</f>
        <v/>
      </c>
      <c r="Z149" s="63" t="str">
        <f aca="false">IF(COUNT(F149:H149)&gt;0,V149-Y149,"")</f>
        <v/>
      </c>
      <c r="AA149" s="63" t="str">
        <f aca="false">IF(COUNT(F149:H149)&gt;0,V149+Y149,"")</f>
        <v/>
      </c>
      <c r="AB149" s="64" t="str">
        <f aca="false">IF(COUNT(F149:H149)&gt;0,X149/V149,"")</f>
        <v/>
      </c>
      <c r="AC149" s="26"/>
      <c r="AD149" s="65" t="str">
        <f aca="false">IF(SUM(I149:K149)&gt;0,AVERAGE(I149:K149),"")</f>
        <v/>
      </c>
      <c r="AE149" s="66" t="str">
        <f aca="false">IF(SUM(I149:K149)&gt;0, ( IF(I149&gt;0,(I149-AD149)^2,0) + IF(J149&gt;0,(J149-AD149)^2,0) + IF(K149&gt;0,(K149-AD149)^2,0) ) / COUNT(I149:K149),"")</f>
        <v/>
      </c>
      <c r="AF149" s="63" t="str">
        <f aca="false">IF(SUM(I149:K149)&gt;0,SQRT(AE149),"")</f>
        <v/>
      </c>
      <c r="AG149" s="63" t="str">
        <f aca="false">IF(COUNT(I149:K149)&gt;0,VLOOKUP(COUNT(I149:K149),$AX$2:$AZ$5,3)*(AF149/SQRT(COUNT(I149:K149))),"")</f>
        <v/>
      </c>
      <c r="AH149" s="63" t="str">
        <f aca="false">IF(COUNT(I149:K149)&gt;0,AD149-AG149,"")</f>
        <v/>
      </c>
      <c r="AI149" s="63" t="str">
        <f aca="false">IF(COUNT(I149:K149)&gt;0,AD149+AG149,"")</f>
        <v/>
      </c>
      <c r="AJ149" s="64" t="str">
        <f aca="false">IF(COUNT(I149:K149)&gt;0,AF149/AD149,"")</f>
        <v/>
      </c>
      <c r="AK149" s="65" t="str">
        <f aca="false">IF(SUM(L149:N149)&gt;0,AVERAGE(L149:N149),"")</f>
        <v/>
      </c>
      <c r="AL149" s="66" t="str">
        <f aca="false">IF(SUM(L149:N149)&gt;0, ( IF(L149&gt;0,(L149-AK149)^2,0) + IF(M149&gt;0,(M149-AK149)^2,0) + IF(N149&gt;0,(N149-AK149)^2,0) ) / COUNT(L149:N149),"")</f>
        <v/>
      </c>
      <c r="AM149" s="63" t="str">
        <f aca="false">IF(SUM(L149:N149)&gt;0,SQRT(AL149),"")</f>
        <v/>
      </c>
      <c r="AN149" s="63" t="str">
        <f aca="false">IF(COUNT(L149:N149)&gt;0,VLOOKUP(COUNT(L149:N149),$AX$2:$AZ$5,3)*(AM149/SQRT(COUNT(L149:N149))),"")</f>
        <v/>
      </c>
      <c r="AO149" s="63" t="str">
        <f aca="false">IF(COUNT(L149:N149)&gt;0,AK149-AN149,"")</f>
        <v/>
      </c>
      <c r="AP149" s="63" t="str">
        <f aca="false">IF(COUNT(L149:N149)&gt;0,AK149+AN149,"")</f>
        <v/>
      </c>
      <c r="AQ149" s="64" t="str">
        <f aca="false">IF(COUNT(L149:N149)&gt;0,AM149/AK149,"")</f>
        <v/>
      </c>
    </row>
    <row r="150" customFormat="false" ht="12.8" hidden="false" customHeight="false" outlineLevel="0" collapsed="false">
      <c r="A150" s="56" t="s">
        <v>45</v>
      </c>
      <c r="B150" s="57" t="n">
        <v>50</v>
      </c>
      <c r="C150" s="56" t="n">
        <v>1136</v>
      </c>
      <c r="D150" s="25" t="n">
        <v>998</v>
      </c>
      <c r="E150" s="57" t="n">
        <v>1028</v>
      </c>
      <c r="F150" s="58"/>
      <c r="H150" s="59"/>
      <c r="I150" s="56"/>
      <c r="K150" s="57"/>
      <c r="L150" s="56"/>
      <c r="N150" s="57"/>
      <c r="O150" s="65" t="n">
        <f aca="false">IF(SUM(C150:E150)&gt;0,AVERAGE(C150:E150),"")</f>
        <v>1054</v>
      </c>
      <c r="P150" s="66" t="n">
        <f aca="false">IF(SUM(C150:E150)&gt;0, ( IF(C150&gt;0,(C150-O150)^2,0) + IF(D150&gt;0,(D150-O150)^2,0) + IF(E150&gt;0,(E150-O150)^2,0) ) / COUNT(C150:E150),"")</f>
        <v>3512</v>
      </c>
      <c r="Q150" s="63" t="n">
        <f aca="false">IF(SUM(C150:E150)&gt;0,SQRT(P150),"")</f>
        <v>59.2621295601162</v>
      </c>
      <c r="R150" s="63" t="n">
        <f aca="false">IF(COUNT(C150:E150)&gt;0,VLOOKUP(COUNT(C150:E150),$AX$2:$AZ$5,3)*(Q150/SQRT(COUNT(C150:E150))),"")</f>
        <v>147.227172772782</v>
      </c>
      <c r="S150" s="63" t="n">
        <f aca="false">IF(COUNT(C150:E150)&gt;0,O150-R150,"")</f>
        <v>906.772827227218</v>
      </c>
      <c r="T150" s="63" t="n">
        <f aca="false">IF(COUNT(C150:E150)&gt;0,O150+R150,"")</f>
        <v>1201.22717277278</v>
      </c>
      <c r="U150" s="64" t="n">
        <f aca="false">IF(COUNT(C150:E150)&gt;0,Q150/O150,"")</f>
        <v>0.0562259293739243</v>
      </c>
      <c r="V150" s="65" t="str">
        <f aca="false">IF(SUM(F150:H150)&gt;0,AVERAGE(F150:H150),"")</f>
        <v/>
      </c>
      <c r="W150" s="66" t="str">
        <f aca="false">IF(SUM(F150:H150)&gt;0, ( IF(F150&gt;0,(F150-V150)^2,0) + IF(G150&gt;0,(G150-V150)^2,0) + IF(H150&gt;0,(H150-V150)^2,0) ) / COUNT(F150:H150),"")</f>
        <v/>
      </c>
      <c r="X150" s="63" t="str">
        <f aca="false">IF(SUM(F150:H150)&gt;0,SQRT(W150),"")</f>
        <v/>
      </c>
      <c r="Y150" s="63" t="str">
        <f aca="false">IF(COUNT(F150:H150)&gt;0,VLOOKUP(COUNT(F150:H150),$AX$2:$AZ$5,3)*(X150/SQRT(COUNT(F150:H150))),"")</f>
        <v/>
      </c>
      <c r="Z150" s="63" t="str">
        <f aca="false">IF(COUNT(F150:H150)&gt;0,V150-Y150,"")</f>
        <v/>
      </c>
      <c r="AA150" s="63" t="str">
        <f aca="false">IF(COUNT(F150:H150)&gt;0,V150+Y150,"")</f>
        <v/>
      </c>
      <c r="AB150" s="64" t="str">
        <f aca="false">IF(COUNT(F150:H150)&gt;0,X150/V150,"")</f>
        <v/>
      </c>
      <c r="AC150" s="26"/>
      <c r="AD150" s="65" t="str">
        <f aca="false">IF(SUM(I150:K150)&gt;0,AVERAGE(I150:K150),"")</f>
        <v/>
      </c>
      <c r="AE150" s="66" t="str">
        <f aca="false">IF(SUM(I150:K150)&gt;0, ( IF(I150&gt;0,(I150-AD150)^2,0) + IF(J150&gt;0,(J150-AD150)^2,0) + IF(K150&gt;0,(K150-AD150)^2,0) ) / COUNT(I150:K150),"")</f>
        <v/>
      </c>
      <c r="AF150" s="63" t="str">
        <f aca="false">IF(SUM(I150:K150)&gt;0,SQRT(AE150),"")</f>
        <v/>
      </c>
      <c r="AG150" s="63" t="str">
        <f aca="false">IF(COUNT(I150:K150)&gt;0,VLOOKUP(COUNT(I150:K150),$AX$2:$AZ$5,3)*(AF150/SQRT(COUNT(I150:K150))),"")</f>
        <v/>
      </c>
      <c r="AH150" s="63" t="str">
        <f aca="false">IF(COUNT(I150:K150)&gt;0,AD150-AG150,"")</f>
        <v/>
      </c>
      <c r="AI150" s="63" t="str">
        <f aca="false">IF(COUNT(I150:K150)&gt;0,AD150+AG150,"")</f>
        <v/>
      </c>
      <c r="AJ150" s="64" t="str">
        <f aca="false">IF(COUNT(I150:K150)&gt;0,AF150/AD150,"")</f>
        <v/>
      </c>
      <c r="AK150" s="65" t="str">
        <f aca="false">IF(SUM(L150:N150)&gt;0,AVERAGE(L150:N150),"")</f>
        <v/>
      </c>
      <c r="AL150" s="66" t="str">
        <f aca="false">IF(SUM(L150:N150)&gt;0, ( IF(L150&gt;0,(L150-AK150)^2,0) + IF(M150&gt;0,(M150-AK150)^2,0) + IF(N150&gt;0,(N150-AK150)^2,0) ) / COUNT(L150:N150),"")</f>
        <v/>
      </c>
      <c r="AM150" s="63" t="str">
        <f aca="false">IF(SUM(L150:N150)&gt;0,SQRT(AL150),"")</f>
        <v/>
      </c>
      <c r="AN150" s="63" t="str">
        <f aca="false">IF(COUNT(L150:N150)&gt;0,VLOOKUP(COUNT(L150:N150),$AX$2:$AZ$5,3)*(AM150/SQRT(COUNT(L150:N150))),"")</f>
        <v/>
      </c>
      <c r="AO150" s="63" t="str">
        <f aca="false">IF(COUNT(L150:N150)&gt;0,AK150-AN150,"")</f>
        <v/>
      </c>
      <c r="AP150" s="63" t="str">
        <f aca="false">IF(COUNT(L150:N150)&gt;0,AK150+AN150,"")</f>
        <v/>
      </c>
      <c r="AQ150" s="64" t="str">
        <f aca="false">IF(COUNT(L150:N150)&gt;0,AM150/AK150,"")</f>
        <v/>
      </c>
    </row>
    <row r="151" customFormat="false" ht="12.8" hidden="false" customHeight="false" outlineLevel="0" collapsed="false">
      <c r="A151" s="56" t="s">
        <v>45</v>
      </c>
      <c r="B151" s="57" t="n">
        <v>64</v>
      </c>
      <c r="C151" s="56" t="n">
        <v>831</v>
      </c>
      <c r="D151" s="25" t="n">
        <v>806</v>
      </c>
      <c r="E151" s="57" t="n">
        <v>818</v>
      </c>
      <c r="F151" s="58"/>
      <c r="H151" s="59"/>
      <c r="I151" s="56"/>
      <c r="K151" s="57"/>
      <c r="L151" s="56"/>
      <c r="N151" s="57"/>
      <c r="O151" s="65" t="n">
        <f aca="false">IF(SUM(C151:E151)&gt;0,AVERAGE(C151:E151),"")</f>
        <v>818.333333333333</v>
      </c>
      <c r="P151" s="66" t="n">
        <f aca="false">IF(SUM(C151:E151)&gt;0, ( IF(C151&gt;0,(C151-O151)^2,0) + IF(D151&gt;0,(D151-O151)^2,0) + IF(E151&gt;0,(E151-O151)^2,0) ) / COUNT(C151:E151),"")</f>
        <v>104.222222222222</v>
      </c>
      <c r="Q151" s="63" t="n">
        <f aca="false">IF(SUM(C151:E151)&gt;0,SQRT(P151),"")</f>
        <v>10.2089285540757</v>
      </c>
      <c r="R151" s="63" t="n">
        <f aca="false">IF(COUNT(C151:E151)&gt;0,VLOOKUP(COUNT(C151:E151),$AX$2:$AZ$5,3)*(Q151/SQRT(COUNT(C151:E151))),"")</f>
        <v>25.3624312729295</v>
      </c>
      <c r="S151" s="63" t="n">
        <f aca="false">IF(COUNT(C151:E151)&gt;0,O151-R151,"")</f>
        <v>792.970902060404</v>
      </c>
      <c r="T151" s="63" t="n">
        <f aca="false">IF(COUNT(C151:E151)&gt;0,O151+R151,"")</f>
        <v>843.695764606263</v>
      </c>
      <c r="U151" s="64" t="n">
        <f aca="false">IF(COUNT(C151:E151)&gt;0,Q151/O151,"")</f>
        <v>0.0124752691088501</v>
      </c>
      <c r="V151" s="65" t="str">
        <f aca="false">IF(SUM(F151:H151)&gt;0,AVERAGE(F151:H151),"")</f>
        <v/>
      </c>
      <c r="W151" s="66" t="str">
        <f aca="false">IF(SUM(F151:H151)&gt;0, ( IF(F151&gt;0,(F151-V151)^2,0) + IF(G151&gt;0,(G151-V151)^2,0) + IF(H151&gt;0,(H151-V151)^2,0) ) / COUNT(F151:H151),"")</f>
        <v/>
      </c>
      <c r="X151" s="63" t="str">
        <f aca="false">IF(SUM(F151:H151)&gt;0,SQRT(W151),"")</f>
        <v/>
      </c>
      <c r="Y151" s="63" t="str">
        <f aca="false">IF(COUNT(F151:H151)&gt;0,VLOOKUP(COUNT(F151:H151),$AX$2:$AZ$5,3)*(X151/SQRT(COUNT(F151:H151))),"")</f>
        <v/>
      </c>
      <c r="Z151" s="63" t="str">
        <f aca="false">IF(COUNT(F151:H151)&gt;0,V151-Y151,"")</f>
        <v/>
      </c>
      <c r="AA151" s="63" t="str">
        <f aca="false">IF(COUNT(F151:H151)&gt;0,V151+Y151,"")</f>
        <v/>
      </c>
      <c r="AB151" s="64" t="str">
        <f aca="false">IF(COUNT(F151:H151)&gt;0,X151/V151,"")</f>
        <v/>
      </c>
      <c r="AC151" s="26"/>
      <c r="AD151" s="65" t="str">
        <f aca="false">IF(SUM(I151:K151)&gt;0,AVERAGE(I151:K151),"")</f>
        <v/>
      </c>
      <c r="AE151" s="66" t="str">
        <f aca="false">IF(SUM(I151:K151)&gt;0, ( IF(I151&gt;0,(I151-AD151)^2,0) + IF(J151&gt;0,(J151-AD151)^2,0) + IF(K151&gt;0,(K151-AD151)^2,0) ) / COUNT(I151:K151),"")</f>
        <v/>
      </c>
      <c r="AF151" s="63" t="str">
        <f aca="false">IF(SUM(I151:K151)&gt;0,SQRT(AE151),"")</f>
        <v/>
      </c>
      <c r="AG151" s="63" t="str">
        <f aca="false">IF(COUNT(I151:K151)&gt;0,VLOOKUP(COUNT(I151:K151),$AX$2:$AZ$5,3)*(AF151/SQRT(COUNT(I151:K151))),"")</f>
        <v/>
      </c>
      <c r="AH151" s="63" t="str">
        <f aca="false">IF(COUNT(I151:K151)&gt;0,AD151-AG151,"")</f>
        <v/>
      </c>
      <c r="AI151" s="63" t="str">
        <f aca="false">IF(COUNT(I151:K151)&gt;0,AD151+AG151,"")</f>
        <v/>
      </c>
      <c r="AJ151" s="64" t="str">
        <f aca="false">IF(COUNT(I151:K151)&gt;0,AF151/AD151,"")</f>
        <v/>
      </c>
      <c r="AK151" s="65" t="str">
        <f aca="false">IF(SUM(L151:N151)&gt;0,AVERAGE(L151:N151),"")</f>
        <v/>
      </c>
      <c r="AL151" s="66" t="str">
        <f aca="false">IF(SUM(L151:N151)&gt;0, ( IF(L151&gt;0,(L151-AK151)^2,0) + IF(M151&gt;0,(M151-AK151)^2,0) + IF(N151&gt;0,(N151-AK151)^2,0) ) / COUNT(L151:N151),"")</f>
        <v/>
      </c>
      <c r="AM151" s="63" t="str">
        <f aca="false">IF(SUM(L151:N151)&gt;0,SQRT(AL151),"")</f>
        <v/>
      </c>
      <c r="AN151" s="63" t="str">
        <f aca="false">IF(COUNT(L151:N151)&gt;0,VLOOKUP(COUNT(L151:N151),$AX$2:$AZ$5,3)*(AM151/SQRT(COUNT(L151:N151))),"")</f>
        <v/>
      </c>
      <c r="AO151" s="63" t="str">
        <f aca="false">IF(COUNT(L151:N151)&gt;0,AK151-AN151,"")</f>
        <v/>
      </c>
      <c r="AP151" s="63" t="str">
        <f aca="false">IF(COUNT(L151:N151)&gt;0,AK151+AN151,"")</f>
        <v/>
      </c>
      <c r="AQ151" s="64" t="str">
        <f aca="false">IF(COUNT(L151:N151)&gt;0,AM151/AK151,"")</f>
        <v/>
      </c>
    </row>
    <row r="152" customFormat="false" ht="12.8" hidden="false" customHeight="false" outlineLevel="0" collapsed="false">
      <c r="A152" s="56" t="s">
        <v>45</v>
      </c>
      <c r="B152" s="57" t="n">
        <v>82</v>
      </c>
      <c r="C152" s="56" t="n">
        <v>826</v>
      </c>
      <c r="D152" s="25" t="n">
        <v>682</v>
      </c>
      <c r="E152" s="57" t="n">
        <v>656</v>
      </c>
      <c r="F152" s="58"/>
      <c r="H152" s="59"/>
      <c r="I152" s="56"/>
      <c r="K152" s="57"/>
      <c r="L152" s="56"/>
      <c r="N152" s="57"/>
      <c r="O152" s="65" t="n">
        <f aca="false">IF(SUM(C152:E152)&gt;0,AVERAGE(C152:E152),"")</f>
        <v>721.333333333333</v>
      </c>
      <c r="P152" s="66" t="n">
        <f aca="false">IF(SUM(C152:E152)&gt;0, ( IF(C152&gt;0,(C152-O152)^2,0) + IF(D152&gt;0,(D152-O152)^2,0) + IF(E152&gt;0,(E152-O152)^2,0) ) / COUNT(C152:E152),"")</f>
        <v>5590.22222222222</v>
      </c>
      <c r="Q152" s="63" t="n">
        <f aca="false">IF(SUM(C152:E152)&gt;0,SQRT(P152),"")</f>
        <v>74.7677886674618</v>
      </c>
      <c r="R152" s="63" t="n">
        <f aca="false">IF(COUNT(C152:E152)&gt;0,VLOOKUP(COUNT(C152:E152),$AX$2:$AZ$5,3)*(Q152/SQRT(COUNT(C152:E152))),"")</f>
        <v>185.748474138392</v>
      </c>
      <c r="S152" s="63" t="n">
        <f aca="false">IF(COUNT(C152:E152)&gt;0,O152-R152,"")</f>
        <v>535.584859194942</v>
      </c>
      <c r="T152" s="63" t="n">
        <f aca="false">IF(COUNT(C152:E152)&gt;0,O152+R152,"")</f>
        <v>907.081807471725</v>
      </c>
      <c r="U152" s="64" t="n">
        <f aca="false">IF(COUNT(C152:E152)&gt;0,Q152/O152,"")</f>
        <v>0.10365220240406</v>
      </c>
      <c r="V152" s="65" t="str">
        <f aca="false">IF(SUM(F152:H152)&gt;0,AVERAGE(F152:H152),"")</f>
        <v/>
      </c>
      <c r="W152" s="66" t="str">
        <f aca="false">IF(SUM(F152:H152)&gt;0, ( IF(F152&gt;0,(F152-V152)^2,0) + IF(G152&gt;0,(G152-V152)^2,0) + IF(H152&gt;0,(H152-V152)^2,0) ) / COUNT(F152:H152),"")</f>
        <v/>
      </c>
      <c r="X152" s="63" t="str">
        <f aca="false">IF(SUM(F152:H152)&gt;0,SQRT(W152),"")</f>
        <v/>
      </c>
      <c r="Y152" s="63" t="str">
        <f aca="false">IF(COUNT(F152:H152)&gt;0,VLOOKUP(COUNT(F152:H152),$AX$2:$AZ$5,3)*(X152/SQRT(COUNT(F152:H152))),"")</f>
        <v/>
      </c>
      <c r="Z152" s="63" t="str">
        <f aca="false">IF(COUNT(F152:H152)&gt;0,V152-Y152,"")</f>
        <v/>
      </c>
      <c r="AA152" s="63" t="str">
        <f aca="false">IF(COUNT(F152:H152)&gt;0,V152+Y152,"")</f>
        <v/>
      </c>
      <c r="AB152" s="64" t="str">
        <f aca="false">IF(COUNT(F152:H152)&gt;0,X152/V152,"")</f>
        <v/>
      </c>
      <c r="AC152" s="26"/>
      <c r="AD152" s="65" t="str">
        <f aca="false">IF(SUM(I152:K152)&gt;0,AVERAGE(I152:K152),"")</f>
        <v/>
      </c>
      <c r="AE152" s="66" t="str">
        <f aca="false">IF(SUM(I152:K152)&gt;0, ( IF(I152&gt;0,(I152-AD152)^2,0) + IF(J152&gt;0,(J152-AD152)^2,0) + IF(K152&gt;0,(K152-AD152)^2,0) ) / COUNT(I152:K152),"")</f>
        <v/>
      </c>
      <c r="AF152" s="63" t="str">
        <f aca="false">IF(SUM(I152:K152)&gt;0,SQRT(AE152),"")</f>
        <v/>
      </c>
      <c r="AG152" s="63" t="str">
        <f aca="false">IF(COUNT(I152:K152)&gt;0,VLOOKUP(COUNT(I152:K152),$AX$2:$AZ$5,3)*(AF152/SQRT(COUNT(I152:K152))),"")</f>
        <v/>
      </c>
      <c r="AH152" s="63" t="str">
        <f aca="false">IF(COUNT(I152:K152)&gt;0,AD152-AG152,"")</f>
        <v/>
      </c>
      <c r="AI152" s="63" t="str">
        <f aca="false">IF(COUNT(I152:K152)&gt;0,AD152+AG152,"")</f>
        <v/>
      </c>
      <c r="AJ152" s="64" t="str">
        <f aca="false">IF(COUNT(I152:K152)&gt;0,AF152/AD152,"")</f>
        <v/>
      </c>
      <c r="AK152" s="65" t="str">
        <f aca="false">IF(SUM(L152:N152)&gt;0,AVERAGE(L152:N152),"")</f>
        <v/>
      </c>
      <c r="AL152" s="66" t="str">
        <f aca="false">IF(SUM(L152:N152)&gt;0, ( IF(L152&gt;0,(L152-AK152)^2,0) + IF(M152&gt;0,(M152-AK152)^2,0) + IF(N152&gt;0,(N152-AK152)^2,0) ) / COUNT(L152:N152),"")</f>
        <v/>
      </c>
      <c r="AM152" s="63" t="str">
        <f aca="false">IF(SUM(L152:N152)&gt;0,SQRT(AL152),"")</f>
        <v/>
      </c>
      <c r="AN152" s="63" t="str">
        <f aca="false">IF(COUNT(L152:N152)&gt;0,VLOOKUP(COUNT(L152:N152),$AX$2:$AZ$5,3)*(AM152/SQRT(COUNT(L152:N152))),"")</f>
        <v/>
      </c>
      <c r="AO152" s="63" t="str">
        <f aca="false">IF(COUNT(L152:N152)&gt;0,AK152-AN152,"")</f>
        <v/>
      </c>
      <c r="AP152" s="63" t="str">
        <f aca="false">IF(COUNT(L152:N152)&gt;0,AK152+AN152,"")</f>
        <v/>
      </c>
      <c r="AQ152" s="64" t="str">
        <f aca="false">IF(COUNT(L152:N152)&gt;0,AM152/AK152,"")</f>
        <v/>
      </c>
    </row>
    <row r="153" customFormat="false" ht="12.8" hidden="false" customHeight="false" outlineLevel="0" collapsed="false">
      <c r="A153" s="56" t="s">
        <v>45</v>
      </c>
      <c r="B153" s="57" t="n">
        <v>100</v>
      </c>
      <c r="C153" s="56" t="n">
        <v>602</v>
      </c>
      <c r="D153" s="25" t="n">
        <v>583</v>
      </c>
      <c r="E153" s="57" t="n">
        <v>520</v>
      </c>
      <c r="F153" s="58"/>
      <c r="H153" s="59"/>
      <c r="I153" s="56"/>
      <c r="K153" s="57"/>
      <c r="L153" s="56"/>
      <c r="N153" s="57"/>
      <c r="O153" s="65" t="n">
        <f aca="false">IF(SUM(C153:E153)&gt;0,AVERAGE(C153:E153),"")</f>
        <v>568.333333333333</v>
      </c>
      <c r="P153" s="66" t="n">
        <f aca="false">IF(SUM(C153:E153)&gt;0, ( IF(C153&gt;0,(C153-O153)^2,0) + IF(D153&gt;0,(D153-O153)^2,0) + IF(E153&gt;0,(E153-O153)^2,0) ) / COUNT(C153:E153),"")</f>
        <v>1228.22222222222</v>
      </c>
      <c r="Q153" s="63" t="n">
        <f aca="false">IF(SUM(C153:E153)&gt;0,SQRT(P153),"")</f>
        <v>35.0460015154685</v>
      </c>
      <c r="R153" s="63" t="n">
        <f aca="false">IF(COUNT(C153:E153)&gt;0,VLOOKUP(COUNT(C153:E153),$AX$2:$AZ$5,3)*(Q153/SQRT(COUNT(C153:E153))),"")</f>
        <v>87.0661206138228</v>
      </c>
      <c r="S153" s="63" t="n">
        <f aca="false">IF(COUNT(C153:E153)&gt;0,O153-R153,"")</f>
        <v>481.267212719511</v>
      </c>
      <c r="T153" s="63" t="n">
        <f aca="false">IF(COUNT(C153:E153)&gt;0,O153+R153,"")</f>
        <v>655.399453947156</v>
      </c>
      <c r="U153" s="64" t="n">
        <f aca="false">IF(COUNT(C153:E153)&gt;0,Q153/O153,"")</f>
        <v>0.0616645187955458</v>
      </c>
      <c r="V153" s="65" t="str">
        <f aca="false">IF(SUM(F153:H153)&gt;0,AVERAGE(F153:H153),"")</f>
        <v/>
      </c>
      <c r="W153" s="66" t="str">
        <f aca="false">IF(SUM(F153:H153)&gt;0, ( IF(F153&gt;0,(F153-V153)^2,0) + IF(G153&gt;0,(G153-V153)^2,0) + IF(H153&gt;0,(H153-V153)^2,0) ) / COUNT(F153:H153),"")</f>
        <v/>
      </c>
      <c r="X153" s="63" t="str">
        <f aca="false">IF(SUM(F153:H153)&gt;0,SQRT(W153),"")</f>
        <v/>
      </c>
      <c r="Y153" s="63" t="str">
        <f aca="false">IF(COUNT(F153:H153)&gt;0,VLOOKUP(COUNT(F153:H153),$AX$2:$AZ$5,3)*(X153/SQRT(COUNT(F153:H153))),"")</f>
        <v/>
      </c>
      <c r="Z153" s="63" t="str">
        <f aca="false">IF(COUNT(F153:H153)&gt;0,V153-Y153,"")</f>
        <v/>
      </c>
      <c r="AA153" s="63" t="str">
        <f aca="false">IF(COUNT(F153:H153)&gt;0,V153+Y153,"")</f>
        <v/>
      </c>
      <c r="AB153" s="64" t="str">
        <f aca="false">IF(COUNT(F153:H153)&gt;0,X153/V153,"")</f>
        <v/>
      </c>
      <c r="AC153" s="26"/>
      <c r="AD153" s="65" t="str">
        <f aca="false">IF(SUM(I153:K153)&gt;0,AVERAGE(I153:K153),"")</f>
        <v/>
      </c>
      <c r="AE153" s="66" t="str">
        <f aca="false">IF(SUM(I153:K153)&gt;0, ( IF(I153&gt;0,(I153-AD153)^2,0) + IF(J153&gt;0,(J153-AD153)^2,0) + IF(K153&gt;0,(K153-AD153)^2,0) ) / COUNT(I153:K153),"")</f>
        <v/>
      </c>
      <c r="AF153" s="63" t="str">
        <f aca="false">IF(SUM(I153:K153)&gt;0,SQRT(AE153),"")</f>
        <v/>
      </c>
      <c r="AG153" s="63" t="str">
        <f aca="false">IF(COUNT(I153:K153)&gt;0,VLOOKUP(COUNT(I153:K153),$AX$2:$AZ$5,3)*(AF153/SQRT(COUNT(I153:K153))),"")</f>
        <v/>
      </c>
      <c r="AH153" s="63" t="str">
        <f aca="false">IF(COUNT(I153:K153)&gt;0,AD153-AG153,"")</f>
        <v/>
      </c>
      <c r="AI153" s="63" t="str">
        <f aca="false">IF(COUNT(I153:K153)&gt;0,AD153+AG153,"")</f>
        <v/>
      </c>
      <c r="AJ153" s="64" t="str">
        <f aca="false">IF(COUNT(I153:K153)&gt;0,AF153/AD153,"")</f>
        <v/>
      </c>
      <c r="AK153" s="65" t="str">
        <f aca="false">IF(SUM(L153:N153)&gt;0,AVERAGE(L153:N153),"")</f>
        <v/>
      </c>
      <c r="AL153" s="66" t="str">
        <f aca="false">IF(SUM(L153:N153)&gt;0, ( IF(L153&gt;0,(L153-AK153)^2,0) + IF(M153&gt;0,(M153-AK153)^2,0) + IF(N153&gt;0,(N153-AK153)^2,0) ) / COUNT(L153:N153),"")</f>
        <v/>
      </c>
      <c r="AM153" s="63" t="str">
        <f aca="false">IF(SUM(L153:N153)&gt;0,SQRT(AL153),"")</f>
        <v/>
      </c>
      <c r="AN153" s="63" t="str">
        <f aca="false">IF(COUNT(L153:N153)&gt;0,VLOOKUP(COUNT(L153:N153),$AX$2:$AZ$5,3)*(AM153/SQRT(COUNT(L153:N153))),"")</f>
        <v/>
      </c>
      <c r="AO153" s="63" t="str">
        <f aca="false">IF(COUNT(L153:N153)&gt;0,AK153-AN153,"")</f>
        <v/>
      </c>
      <c r="AP153" s="63" t="str">
        <f aca="false">IF(COUNT(L153:N153)&gt;0,AK153+AN153,"")</f>
        <v/>
      </c>
      <c r="AQ153" s="64" t="str">
        <f aca="false">IF(COUNT(L153:N153)&gt;0,AM153/AK153,"")</f>
        <v/>
      </c>
    </row>
    <row r="154" customFormat="false" ht="12.8" hidden="false" customHeight="false" outlineLevel="0" collapsed="false">
      <c r="A154" s="56" t="s">
        <v>48</v>
      </c>
      <c r="B154" s="57" t="n">
        <v>5</v>
      </c>
      <c r="C154" s="56"/>
      <c r="D154" s="25"/>
      <c r="E154" s="57"/>
      <c r="F154" s="58"/>
      <c r="H154" s="59"/>
      <c r="I154" s="56"/>
      <c r="K154" s="57" t="n">
        <v>1266</v>
      </c>
      <c r="L154" s="56"/>
      <c r="N154" s="57"/>
      <c r="O154" s="65" t="str">
        <f aca="false">IF(SUM(C154:E154)&gt;0,AVERAGE(C154:E154),"")</f>
        <v/>
      </c>
      <c r="P154" s="66" t="str">
        <f aca="false">IF(SUM(C154:E154)&gt;0, ( IF(C154&gt;0,(C154-O154)^2,0) + IF(D154&gt;0,(D154-O154)^2,0) + IF(E154&gt;0,(E154-O154)^2,0) ) / COUNT(C154:E154),"")</f>
        <v/>
      </c>
      <c r="Q154" s="63" t="str">
        <f aca="false">IF(SUM(C154:E154)&gt;0,SQRT(P154),"")</f>
        <v/>
      </c>
      <c r="R154" s="63" t="str">
        <f aca="false">IF(COUNT(C154:E154)&gt;0,VLOOKUP(COUNT(C154:E154),$AX$2:$AZ$5,3)*(Q154/SQRT(COUNT(C154:E154))),"")</f>
        <v/>
      </c>
      <c r="S154" s="63" t="str">
        <f aca="false">IF(COUNT(C154:E154)&gt;0,O154-R154,"")</f>
        <v/>
      </c>
      <c r="T154" s="63" t="str">
        <f aca="false">IF(COUNT(C154:E154)&gt;0,O154+R154,"")</f>
        <v/>
      </c>
      <c r="U154" s="64" t="str">
        <f aca="false">IF(COUNT(C154:E154)&gt;0,Q154/O154,"")</f>
        <v/>
      </c>
      <c r="V154" s="65" t="str">
        <f aca="false">IF(SUM(F154:H154)&gt;0,AVERAGE(F154:H154),"")</f>
        <v/>
      </c>
      <c r="W154" s="66" t="str">
        <f aca="false">IF(SUM(F154:H154)&gt;0, ( IF(F154&gt;0,(F154-V154)^2,0) + IF(G154&gt;0,(G154-V154)^2,0) + IF(H154&gt;0,(H154-V154)^2,0) ) / COUNT(F154:H154),"")</f>
        <v/>
      </c>
      <c r="X154" s="63" t="str">
        <f aca="false">IF(SUM(F154:H154)&gt;0,SQRT(W154),"")</f>
        <v/>
      </c>
      <c r="Y154" s="63" t="str">
        <f aca="false">IF(COUNT(F154:H154)&gt;0,VLOOKUP(COUNT(F154:H154),$AX$2:$AZ$5,3)*(X154/SQRT(COUNT(F154:H154))),"")</f>
        <v/>
      </c>
      <c r="Z154" s="63" t="str">
        <f aca="false">IF(COUNT(F154:H154)&gt;0,V154-Y154,"")</f>
        <v/>
      </c>
      <c r="AA154" s="63" t="str">
        <f aca="false">IF(COUNT(F154:H154)&gt;0,V154+Y154,"")</f>
        <v/>
      </c>
      <c r="AB154" s="64" t="str">
        <f aca="false">IF(COUNT(F154:H154)&gt;0,X154/V154,"")</f>
        <v/>
      </c>
      <c r="AC154" s="26"/>
      <c r="AD154" s="65" t="n">
        <f aca="false">IF(SUM(I154:K154)&gt;0,AVERAGE(I154:K154),"")</f>
        <v>1266</v>
      </c>
      <c r="AE154" s="66" t="n">
        <f aca="false">IF(SUM(I154:K154)&gt;0, ( IF(I154&gt;0,(I154-AD154)^2,0) + IF(J154&gt;0,(J154-AD154)^2,0) + IF(K154&gt;0,(K154-AD154)^2,0) ) / COUNT(I154:K154),"")</f>
        <v>0</v>
      </c>
      <c r="AF154" s="63" t="n">
        <f aca="false">IF(SUM(I154:K154)&gt;0,SQRT(AE154),"")</f>
        <v>0</v>
      </c>
      <c r="AG154" s="63" t="n">
        <f aca="false">IF(COUNT(I154:K154)&gt;0,VLOOKUP(COUNT(I154:K154),$AX$2:$AZ$5,3)*(AF154/SQRT(COUNT(I154:K154))),"")</f>
        <v>0</v>
      </c>
      <c r="AH154" s="63" t="n">
        <f aca="false">IF(COUNT(I154:K154)&gt;0,AD154-AG154,"")</f>
        <v>1266</v>
      </c>
      <c r="AI154" s="63" t="n">
        <f aca="false">IF(COUNT(I154:K154)&gt;0,AD154+AG154,"")</f>
        <v>1266</v>
      </c>
      <c r="AJ154" s="64" t="n">
        <f aca="false">IF(COUNT(I154:K154)&gt;0,AF154/AD154,"")</f>
        <v>0</v>
      </c>
      <c r="AK154" s="65" t="str">
        <f aca="false">IF(SUM(L154:N154)&gt;0,AVERAGE(L154:N154),"")</f>
        <v/>
      </c>
      <c r="AL154" s="66" t="str">
        <f aca="false">IF(SUM(L154:N154)&gt;0, ( IF(L154&gt;0,(L154-AK154)^2,0) + IF(M154&gt;0,(M154-AK154)^2,0) + IF(N154&gt;0,(N154-AK154)^2,0) ) / COUNT(L154:N154),"")</f>
        <v/>
      </c>
      <c r="AM154" s="63" t="str">
        <f aca="false">IF(SUM(L154:N154)&gt;0,SQRT(AL154),"")</f>
        <v/>
      </c>
      <c r="AN154" s="63" t="str">
        <f aca="false">IF(COUNT(L154:N154)&gt;0,VLOOKUP(COUNT(L154:N154),$AX$2:$AZ$5,3)*(AM154/SQRT(COUNT(L154:N154))),"")</f>
        <v/>
      </c>
      <c r="AO154" s="63" t="str">
        <f aca="false">IF(COUNT(L154:N154)&gt;0,AK154-AN154,"")</f>
        <v/>
      </c>
      <c r="AP154" s="63" t="str">
        <f aca="false">IF(COUNT(L154:N154)&gt;0,AK154+AN154,"")</f>
        <v/>
      </c>
      <c r="AQ154" s="64" t="str">
        <f aca="false">IF(COUNT(L154:N154)&gt;0,AM154/AK154,"")</f>
        <v/>
      </c>
    </row>
    <row r="155" customFormat="false" ht="12.8" hidden="false" customHeight="false" outlineLevel="0" collapsed="false">
      <c r="A155" s="56" t="s">
        <v>48</v>
      </c>
      <c r="B155" s="57" t="n">
        <v>10</v>
      </c>
      <c r="C155" s="56" t="n">
        <v>1323</v>
      </c>
      <c r="D155" s="25" t="n">
        <v>1271</v>
      </c>
      <c r="E155" s="57" t="n">
        <v>1329</v>
      </c>
      <c r="F155" s="58" t="n">
        <v>1277</v>
      </c>
      <c r="H155" s="59" t="n">
        <v>1237</v>
      </c>
      <c r="I155" s="56" t="n">
        <v>1395</v>
      </c>
      <c r="J155" s="0" t="n">
        <v>1682</v>
      </c>
      <c r="K155" s="57"/>
      <c r="L155" s="56"/>
      <c r="M155" s="0" t="n">
        <v>1271</v>
      </c>
      <c r="N155" s="57" t="n">
        <v>1329</v>
      </c>
      <c r="O155" s="65" t="n">
        <f aca="false">IF(SUM(C155:E155)&gt;0,AVERAGE(C155:E155),"")</f>
        <v>1307.66666666667</v>
      </c>
      <c r="P155" s="66" t="n">
        <f aca="false">IF(SUM(C155:E155)&gt;0, ( IF(C155&gt;0,(C155-O155)^2,0) + IF(D155&gt;0,(D155-O155)^2,0) + IF(E155&gt;0,(E155-O155)^2,0) ) / COUNT(C155:E155),"")</f>
        <v>678.222222222222</v>
      </c>
      <c r="Q155" s="63" t="n">
        <f aca="false">IF(SUM(C155:E155)&gt;0,SQRT(P155),"")</f>
        <v>26.0426999794995</v>
      </c>
      <c r="R155" s="63" t="n">
        <f aca="false">IF(COUNT(C155:E155)&gt;0,VLOOKUP(COUNT(C155:E155),$AX$2:$AZ$5,3)*(Q155/SQRT(COUNT(C155:E155))),"")</f>
        <v>64.6988746069621</v>
      </c>
      <c r="S155" s="63" t="n">
        <f aca="false">IF(COUNT(C155:E155)&gt;0,O155-R155,"")</f>
        <v>1242.9677920597</v>
      </c>
      <c r="T155" s="63" t="n">
        <f aca="false">IF(COUNT(C155:E155)&gt;0,O155+R155,"")</f>
        <v>1372.36554127363</v>
      </c>
      <c r="U155" s="64" t="n">
        <f aca="false">IF(COUNT(C155:E155)&gt;0,Q155/O155,"")</f>
        <v>0.019915396364644</v>
      </c>
      <c r="V155" s="65" t="n">
        <f aca="false">IF(SUM(F155:H155)&gt;0,AVERAGE(F155:H155),"")</f>
        <v>1257</v>
      </c>
      <c r="W155" s="66" t="n">
        <f aca="false">IF(SUM(F155:H155)&gt;0, ( IF(F155&gt;0,(F155-V155)^2,0) + IF(G155&gt;0,(G155-V155)^2,0) + IF(H155&gt;0,(H155-V155)^2,0) ) / COUNT(F155:H155),"")</f>
        <v>400</v>
      </c>
      <c r="X155" s="63" t="n">
        <f aca="false">IF(SUM(F155:H155)&gt;0,SQRT(W155),"")</f>
        <v>20</v>
      </c>
      <c r="Y155" s="63" t="n">
        <f aca="false">IF(COUNT(F155:H155)&gt;0,VLOOKUP(COUNT(F155:H155),$AX$2:$AZ$5,3)*(X155/SQRT(COUNT(F155:H155))),"")</f>
        <v>179.689975235125</v>
      </c>
      <c r="Z155" s="63" t="n">
        <f aca="false">IF(COUNT(F155:H155)&gt;0,V155-Y155,"")</f>
        <v>1077.31002476487</v>
      </c>
      <c r="AA155" s="63" t="n">
        <f aca="false">IF(COUNT(F155:H155)&gt;0,V155+Y155,"")</f>
        <v>1436.68997523513</v>
      </c>
      <c r="AB155" s="64" t="n">
        <f aca="false">IF(COUNT(F155:H155)&gt;0,X155/V155,"")</f>
        <v>0.0159108989657916</v>
      </c>
      <c r="AC155" s="26"/>
      <c r="AD155" s="65" t="n">
        <f aca="false">IF(SUM(I155:K155)&gt;0,AVERAGE(I155:K155),"")</f>
        <v>1538.5</v>
      </c>
      <c r="AE155" s="66" t="n">
        <f aca="false">IF(SUM(I155:K155)&gt;0, ( IF(I155&gt;0,(I155-AD155)^2,0) + IF(J155&gt;0,(J155-AD155)^2,0) + IF(K155&gt;0,(K155-AD155)^2,0) ) / COUNT(I155:K155),"")</f>
        <v>20592.25</v>
      </c>
      <c r="AF155" s="63" t="n">
        <f aca="false">IF(SUM(I155:K155)&gt;0,SQRT(AE155),"")</f>
        <v>143.5</v>
      </c>
      <c r="AG155" s="63" t="n">
        <f aca="false">IF(COUNT(I155:K155)&gt;0,VLOOKUP(COUNT(I155:K155),$AX$2:$AZ$5,3)*(AF155/SQRT(COUNT(I155:K155))),"")</f>
        <v>1289.27557231203</v>
      </c>
      <c r="AH155" s="63" t="n">
        <f aca="false">IF(COUNT(I155:K155)&gt;0,AD155-AG155,"")</f>
        <v>249.224427687975</v>
      </c>
      <c r="AI155" s="63" t="n">
        <f aca="false">IF(COUNT(I155:K155)&gt;0,AD155+AG155,"")</f>
        <v>2827.77557231203</v>
      </c>
      <c r="AJ155" s="64" t="n">
        <f aca="false">IF(COUNT(I155:K155)&gt;0,AF155/AD155,"")</f>
        <v>0.0932726681832954</v>
      </c>
      <c r="AK155" s="65" t="n">
        <f aca="false">IF(SUM(L155:N155)&gt;0,AVERAGE(L155:N155),"")</f>
        <v>1300</v>
      </c>
      <c r="AL155" s="66" t="n">
        <f aca="false">IF(SUM(L155:N155)&gt;0, ( IF(L155&gt;0,(L155-AK155)^2,0) + IF(M155&gt;0,(M155-AK155)^2,0) + IF(N155&gt;0,(N155-AK155)^2,0) ) / COUNT(L155:N155),"")</f>
        <v>841</v>
      </c>
      <c r="AM155" s="63" t="n">
        <f aca="false">IF(SUM(L155:N155)&gt;0,SQRT(AL155),"")</f>
        <v>29</v>
      </c>
      <c r="AN155" s="63" t="n">
        <f aca="false">IF(COUNT(L155:N155)&gt;0,VLOOKUP(COUNT(L155:N155),$AX$2:$AZ$5,3)*(AM155/SQRT(COUNT(L155:N155))),"")</f>
        <v>260.550464090932</v>
      </c>
      <c r="AO155" s="63" t="n">
        <f aca="false">IF(COUNT(L155:N155)&gt;0,AK155-AN155,"")</f>
        <v>1039.44953590907</v>
      </c>
      <c r="AP155" s="63" t="n">
        <f aca="false">IF(COUNT(L155:N155)&gt;0,AK155+AN155,"")</f>
        <v>1560.55046409093</v>
      </c>
      <c r="AQ155" s="64" t="n">
        <f aca="false">IF(COUNT(L155:N155)&gt;0,AM155/AK155,"")</f>
        <v>0.0223076923076923</v>
      </c>
    </row>
    <row r="156" customFormat="false" ht="12.8" hidden="false" customHeight="false" outlineLevel="0" collapsed="false">
      <c r="A156" s="56" t="s">
        <v>48</v>
      </c>
      <c r="B156" s="57" t="n">
        <v>15</v>
      </c>
      <c r="C156" s="56" t="n">
        <v>790</v>
      </c>
      <c r="D156" s="25" t="n">
        <v>1303</v>
      </c>
      <c r="E156" s="57" t="n">
        <v>1304</v>
      </c>
      <c r="F156" s="58" t="n">
        <v>861</v>
      </c>
      <c r="G156" s="0" t="n">
        <v>1165</v>
      </c>
      <c r="H156" s="59" t="n">
        <v>1026</v>
      </c>
      <c r="I156" s="56"/>
      <c r="J156" s="0" t="n">
        <v>1104</v>
      </c>
      <c r="K156" s="57" t="n">
        <v>923</v>
      </c>
      <c r="L156" s="56"/>
      <c r="M156" s="0" t="n">
        <v>1303</v>
      </c>
      <c r="N156" s="57" t="n">
        <v>1112</v>
      </c>
      <c r="O156" s="65" t="n">
        <f aca="false">IF(SUM(C156:E156)&gt;0,AVERAGE(C156:E156),"")</f>
        <v>1132.33333333333</v>
      </c>
      <c r="P156" s="66" t="n">
        <f aca="false">IF(SUM(C156:E156)&gt;0, ( IF(C156&gt;0,(C156-O156)^2,0) + IF(D156&gt;0,(D156-O156)^2,0) + IF(E156&gt;0,(E156-O156)^2,0) ) / COUNT(C156:E156),"")</f>
        <v>58596.2222222222</v>
      </c>
      <c r="Q156" s="63" t="n">
        <f aca="false">IF(SUM(C156:E156)&gt;0,SQRT(P156),"")</f>
        <v>242.066565684363</v>
      </c>
      <c r="R156" s="63" t="n">
        <f aca="false">IF(COUNT(C156:E156)&gt;0,VLOOKUP(COUNT(C156:E156),$AX$2:$AZ$5,3)*(Q156/SQRT(COUNT(C156:E156))),"")</f>
        <v>601.375218087183</v>
      </c>
      <c r="S156" s="63" t="n">
        <f aca="false">IF(COUNT(C156:E156)&gt;0,O156-R156,"")</f>
        <v>530.95811524615</v>
      </c>
      <c r="T156" s="63" t="n">
        <f aca="false">IF(COUNT(C156:E156)&gt;0,O156+R156,"")</f>
        <v>1733.70855142052</v>
      </c>
      <c r="U156" s="64" t="n">
        <f aca="false">IF(COUNT(C156:E156)&gt;0,Q156/O156,"")</f>
        <v>0.213776772756282</v>
      </c>
      <c r="V156" s="65" t="n">
        <f aca="false">IF(SUM(F156:H156)&gt;0,AVERAGE(F156:H156),"")</f>
        <v>1017.33333333333</v>
      </c>
      <c r="W156" s="66" t="n">
        <f aca="false">IF(SUM(F156:H156)&gt;0, ( IF(F156&gt;0,(F156-V156)^2,0) + IF(G156&gt;0,(G156-V156)^2,0) + IF(H156&gt;0,(H156-V156)^2,0) ) / COUNT(F156:H156),"")</f>
        <v>15440.2222222222</v>
      </c>
      <c r="X156" s="63" t="n">
        <f aca="false">IF(SUM(F156:H156)&gt;0,SQRT(W156),"")</f>
        <v>124.258690731161</v>
      </c>
      <c r="Y156" s="63" t="n">
        <f aca="false">IF(COUNT(F156:H156)&gt;0,VLOOKUP(COUNT(F156:H156),$AX$2:$AZ$5,3)*(X156/SQRT(COUNT(F156:H156))),"")</f>
        <v>308.700613099608</v>
      </c>
      <c r="Z156" s="63" t="n">
        <f aca="false">IF(COUNT(F156:H156)&gt;0,V156-Y156,"")</f>
        <v>708.632720233725</v>
      </c>
      <c r="AA156" s="63" t="n">
        <f aca="false">IF(COUNT(F156:H156)&gt;0,V156+Y156,"")</f>
        <v>1326.03394643294</v>
      </c>
      <c r="AB156" s="64" t="n">
        <f aca="false">IF(COUNT(F156:H156)&gt;0,X156/V156,"")</f>
        <v>0.122141570181351</v>
      </c>
      <c r="AC156" s="26"/>
      <c r="AD156" s="65" t="n">
        <f aca="false">IF(SUM(I156:K156)&gt;0,AVERAGE(I156:K156),"")</f>
        <v>1013.5</v>
      </c>
      <c r="AE156" s="66" t="n">
        <f aca="false">IF(SUM(I156:K156)&gt;0, ( IF(I156&gt;0,(I156-AD156)^2,0) + IF(J156&gt;0,(J156-AD156)^2,0) + IF(K156&gt;0,(K156-AD156)^2,0) ) / COUNT(I156:K156),"")</f>
        <v>8190.25</v>
      </c>
      <c r="AF156" s="63" t="n">
        <f aca="false">IF(SUM(I156:K156)&gt;0,SQRT(AE156),"")</f>
        <v>90.5</v>
      </c>
      <c r="AG156" s="63" t="n">
        <f aca="false">IF(COUNT(I156:K156)&gt;0,VLOOKUP(COUNT(I156:K156),$AX$2:$AZ$5,3)*(AF156/SQRT(COUNT(I156:K156))),"")</f>
        <v>813.097137938943</v>
      </c>
      <c r="AH156" s="63" t="n">
        <f aca="false">IF(COUNT(I156:K156)&gt;0,AD156-AG156,"")</f>
        <v>200.402862061057</v>
      </c>
      <c r="AI156" s="63" t="n">
        <f aca="false">IF(COUNT(I156:K156)&gt;0,AD156+AG156,"")</f>
        <v>1826.59713793894</v>
      </c>
      <c r="AJ156" s="64" t="n">
        <f aca="false">IF(COUNT(I156:K156)&gt;0,AF156/AD156,"")</f>
        <v>0.0892945239269857</v>
      </c>
      <c r="AK156" s="65" t="n">
        <f aca="false">IF(SUM(L156:N156)&gt;0,AVERAGE(L156:N156),"")</f>
        <v>1207.5</v>
      </c>
      <c r="AL156" s="66" t="n">
        <f aca="false">IF(SUM(L156:N156)&gt;0, ( IF(L156&gt;0,(L156-AK156)^2,0) + IF(M156&gt;0,(M156-AK156)^2,0) + IF(N156&gt;0,(N156-AK156)^2,0) ) / COUNT(L156:N156),"")</f>
        <v>9120.25</v>
      </c>
      <c r="AM156" s="63" t="n">
        <f aca="false">IF(SUM(L156:N156)&gt;0,SQRT(AL156),"")</f>
        <v>95.5</v>
      </c>
      <c r="AN156" s="63" t="n">
        <f aca="false">IF(COUNT(L156:N156)&gt;0,VLOOKUP(COUNT(L156:N156),$AX$2:$AZ$5,3)*(AM156/SQRT(COUNT(L156:N156))),"")</f>
        <v>858.019631747724</v>
      </c>
      <c r="AO156" s="63" t="n">
        <f aca="false">IF(COUNT(L156:N156)&gt;0,AK156-AN156,"")</f>
        <v>349.480368252276</v>
      </c>
      <c r="AP156" s="63" t="n">
        <f aca="false">IF(COUNT(L156:N156)&gt;0,AK156+AN156,"")</f>
        <v>2065.51963174772</v>
      </c>
      <c r="AQ156" s="64" t="n">
        <f aca="false">IF(COUNT(L156:N156)&gt;0,AM156/AK156,"")</f>
        <v>0.0790890269151139</v>
      </c>
    </row>
    <row r="157" customFormat="false" ht="12.8" hidden="false" customHeight="false" outlineLevel="0" collapsed="false">
      <c r="A157" s="56" t="s">
        <v>48</v>
      </c>
      <c r="B157" s="57" t="n">
        <v>20</v>
      </c>
      <c r="C157" s="56" t="n">
        <v>839</v>
      </c>
      <c r="D157" s="25" t="n">
        <v>799</v>
      </c>
      <c r="E157" s="57" t="n">
        <v>679</v>
      </c>
      <c r="F157" s="58" t="n">
        <v>664</v>
      </c>
      <c r="G157" s="0" t="n">
        <v>629</v>
      </c>
      <c r="H157" s="59" t="n">
        <v>637</v>
      </c>
      <c r="I157" s="56" t="n">
        <v>647</v>
      </c>
      <c r="J157" s="0" t="n">
        <v>662</v>
      </c>
      <c r="K157" s="57" t="n">
        <v>540</v>
      </c>
      <c r="L157" s="56"/>
      <c r="M157" s="0" t="n">
        <v>740</v>
      </c>
      <c r="N157" s="57" t="n">
        <v>651</v>
      </c>
      <c r="O157" s="65" t="n">
        <f aca="false">IF(SUM(C157:E157)&gt;0,AVERAGE(C157:E157),"")</f>
        <v>772.333333333333</v>
      </c>
      <c r="P157" s="66" t="n">
        <f aca="false">IF(SUM(C157:E157)&gt;0, ( IF(C157&gt;0,(C157-O157)^2,0) + IF(D157&gt;0,(D157-O157)^2,0) + IF(E157&gt;0,(E157-O157)^2,0) ) / COUNT(C157:E157),"")</f>
        <v>4622.22222222222</v>
      </c>
      <c r="Q157" s="63" t="n">
        <f aca="false">IF(SUM(C157:E157)&gt;0,SQRT(P157),"")</f>
        <v>67.9869268479038</v>
      </c>
      <c r="R157" s="63" t="n">
        <f aca="false">IF(COUNT(C157:E157)&gt;0,VLOOKUP(COUNT(C157:E157),$AX$2:$AZ$5,3)*(Q157/SQRT(COUNT(C157:E157))),"")</f>
        <v>168.902520034705</v>
      </c>
      <c r="S157" s="63" t="n">
        <f aca="false">IF(COUNT(C157:E157)&gt;0,O157-R157,"")</f>
        <v>603.430813298628</v>
      </c>
      <c r="T157" s="63" t="n">
        <f aca="false">IF(COUNT(C157:E157)&gt;0,O157+R157,"")</f>
        <v>941.235853368039</v>
      </c>
      <c r="U157" s="64" t="n">
        <f aca="false">IF(COUNT(C157:E157)&gt;0,Q157/O157,"")</f>
        <v>0.0880279588017745</v>
      </c>
      <c r="V157" s="65" t="n">
        <f aca="false">IF(SUM(F157:H157)&gt;0,AVERAGE(F157:H157),"")</f>
        <v>643.333333333333</v>
      </c>
      <c r="W157" s="66" t="n">
        <f aca="false">IF(SUM(F157:H157)&gt;0, ( IF(F157&gt;0,(F157-V157)^2,0) + IF(G157&gt;0,(G157-V157)^2,0) + IF(H157&gt;0,(H157-V157)^2,0) ) / COUNT(F157:H157),"")</f>
        <v>224.222222222222</v>
      </c>
      <c r="X157" s="63" t="n">
        <f aca="false">IF(SUM(F157:H157)&gt;0,SQRT(W157),"")</f>
        <v>14.9740516301441</v>
      </c>
      <c r="Y157" s="63" t="n">
        <f aca="false">IF(COUNT(F157:H157)&gt;0,VLOOKUP(COUNT(F157:H157),$AX$2:$AZ$5,3)*(X157/SQRT(COUNT(F157:H157))),"")</f>
        <v>37.2006085981678</v>
      </c>
      <c r="Z157" s="63" t="n">
        <f aca="false">IF(COUNT(F157:H157)&gt;0,V157-Y157,"")</f>
        <v>606.132724735166</v>
      </c>
      <c r="AA157" s="63" t="n">
        <f aca="false">IF(COUNT(F157:H157)&gt;0,V157+Y157,"")</f>
        <v>680.533941931501</v>
      </c>
      <c r="AB157" s="64" t="n">
        <f aca="false">IF(COUNT(F157:H157)&gt;0,X157/V157,"")</f>
        <v>0.0232757279225038</v>
      </c>
      <c r="AC157" s="26"/>
      <c r="AD157" s="65" t="n">
        <f aca="false">IF(SUM(I157:K157)&gt;0,AVERAGE(I157:K157),"")</f>
        <v>616.333333333333</v>
      </c>
      <c r="AE157" s="66" t="n">
        <f aca="false">IF(SUM(I157:K157)&gt;0, ( IF(I157&gt;0,(I157-AD157)^2,0) + IF(J157&gt;0,(J157-AD157)^2,0) + IF(K157&gt;0,(K157-AD157)^2,0) ) / COUNT(I157:K157),"")</f>
        <v>2950.88888888889</v>
      </c>
      <c r="AF157" s="63" t="n">
        <f aca="false">IF(SUM(I157:K157)&gt;0,SQRT(AE157),"")</f>
        <v>54.3220847251731</v>
      </c>
      <c r="AG157" s="63" t="n">
        <f aca="false">IF(COUNT(I157:K157)&gt;0,VLOOKUP(COUNT(I157:K157),$AX$2:$AZ$5,3)*(AF157/SQRT(COUNT(I157:K157))),"")</f>
        <v>134.954430638505</v>
      </c>
      <c r="AH157" s="63" t="n">
        <f aca="false">IF(COUNT(I157:K157)&gt;0,AD157-AG157,"")</f>
        <v>481.378902694829</v>
      </c>
      <c r="AI157" s="63" t="n">
        <f aca="false">IF(COUNT(I157:K157)&gt;0,AD157+AG157,"")</f>
        <v>751.287763971838</v>
      </c>
      <c r="AJ157" s="64" t="n">
        <f aca="false">IF(COUNT(I157:K157)&gt;0,AF157/AD157,"")</f>
        <v>0.0881375090186692</v>
      </c>
      <c r="AK157" s="65" t="n">
        <f aca="false">IF(SUM(L157:N157)&gt;0,AVERAGE(L157:N157),"")</f>
        <v>695.5</v>
      </c>
      <c r="AL157" s="66" t="n">
        <f aca="false">IF(SUM(L157:N157)&gt;0, ( IF(L157&gt;0,(L157-AK157)^2,0) + IF(M157&gt;0,(M157-AK157)^2,0) + IF(N157&gt;0,(N157-AK157)^2,0) ) / COUNT(L157:N157),"")</f>
        <v>1980.25</v>
      </c>
      <c r="AM157" s="63" t="n">
        <f aca="false">IF(SUM(L157:N157)&gt;0,SQRT(AL157),"")</f>
        <v>44.5</v>
      </c>
      <c r="AN157" s="63" t="n">
        <f aca="false">IF(COUNT(L157:N157)&gt;0,VLOOKUP(COUNT(L157:N157),$AX$2:$AZ$5,3)*(AM157/SQRT(COUNT(L157:N157))),"")</f>
        <v>399.810194898154</v>
      </c>
      <c r="AO157" s="63" t="n">
        <f aca="false">IF(COUNT(L157:N157)&gt;0,AK157-AN157,"")</f>
        <v>295.689805101846</v>
      </c>
      <c r="AP157" s="63" t="n">
        <f aca="false">IF(COUNT(L157:N157)&gt;0,AK157+AN157,"")</f>
        <v>1095.31019489815</v>
      </c>
      <c r="AQ157" s="64" t="n">
        <f aca="false">IF(COUNT(L157:N157)&gt;0,AM157/AK157,"")</f>
        <v>0.0639827462257369</v>
      </c>
    </row>
    <row r="158" customFormat="false" ht="12.8" hidden="false" customHeight="false" outlineLevel="0" collapsed="false">
      <c r="A158" s="56" t="s">
        <v>48</v>
      </c>
      <c r="B158" s="57" t="n">
        <v>30</v>
      </c>
      <c r="C158" s="56" t="n">
        <v>525</v>
      </c>
      <c r="D158" s="25" t="n">
        <v>794</v>
      </c>
      <c r="E158" s="57" t="n">
        <v>528</v>
      </c>
      <c r="F158" s="58" t="n">
        <v>393</v>
      </c>
      <c r="G158" s="0" t="n">
        <v>452</v>
      </c>
      <c r="H158" s="59" t="n">
        <v>513</v>
      </c>
      <c r="I158" s="56" t="n">
        <v>531</v>
      </c>
      <c r="J158" s="0" t="n">
        <v>493</v>
      </c>
      <c r="K158" s="57" t="n">
        <v>390</v>
      </c>
      <c r="L158" s="56"/>
      <c r="M158" s="0" t="n">
        <v>794</v>
      </c>
      <c r="N158" s="57" t="n">
        <v>488</v>
      </c>
      <c r="O158" s="65" t="n">
        <f aca="false">IF(SUM(C158:E158)&gt;0,AVERAGE(C158:E158),"")</f>
        <v>615.666666666667</v>
      </c>
      <c r="P158" s="66" t="n">
        <f aca="false">IF(SUM(C158:E158)&gt;0, ( IF(C158&gt;0,(C158-O158)^2,0) + IF(D158&gt;0,(D158-O158)^2,0) + IF(E158&gt;0,(E158-O158)^2,0) ) / COUNT(C158:E158),"")</f>
        <v>15902.8888888889</v>
      </c>
      <c r="Q158" s="63" t="n">
        <f aca="false">IF(SUM(C158:E158)&gt;0,SQRT(P158),"")</f>
        <v>126.106656798477</v>
      </c>
      <c r="R158" s="63" t="n">
        <f aca="false">IF(COUNT(C158:E158)&gt;0,VLOOKUP(COUNT(C158:E158),$AX$2:$AZ$5,3)*(Q158/SQRT(COUNT(C158:E158))),"")</f>
        <v>313.291585808327</v>
      </c>
      <c r="S158" s="63" t="n">
        <f aca="false">IF(COUNT(C158:E158)&gt;0,O158-R158,"")</f>
        <v>302.37508085834</v>
      </c>
      <c r="T158" s="63" t="n">
        <f aca="false">IF(COUNT(C158:E158)&gt;0,O158+R158,"")</f>
        <v>928.958252474994</v>
      </c>
      <c r="U158" s="64" t="n">
        <f aca="false">IF(COUNT(C158:E158)&gt;0,Q158/O158,"")</f>
        <v>0.204829437138837</v>
      </c>
      <c r="V158" s="65" t="n">
        <f aca="false">IF(SUM(F158:H158)&gt;0,AVERAGE(F158:H158),"")</f>
        <v>452.666666666667</v>
      </c>
      <c r="W158" s="66" t="n">
        <f aca="false">IF(SUM(F158:H158)&gt;0, ( IF(F158&gt;0,(F158-V158)^2,0) + IF(G158&gt;0,(G158-V158)^2,0) + IF(H158&gt;0,(H158-V158)^2,0) ) / COUNT(F158:H158),"")</f>
        <v>2400.22222222222</v>
      </c>
      <c r="X158" s="63" t="n">
        <f aca="false">IF(SUM(F158:H158)&gt;0,SQRT(W158),"")</f>
        <v>48.9920628492231</v>
      </c>
      <c r="Y158" s="63" t="n">
        <f aca="false">IF(COUNT(F158:H158)&gt;0,VLOOKUP(COUNT(F158:H158),$AX$2:$AZ$5,3)*(X158/SQRT(COUNT(F158:H158))),"")</f>
        <v>121.712853640885</v>
      </c>
      <c r="Z158" s="63" t="n">
        <f aca="false">IF(COUNT(F158:H158)&gt;0,V158-Y158,"")</f>
        <v>330.953813025782</v>
      </c>
      <c r="AA158" s="63" t="n">
        <f aca="false">IF(COUNT(F158:H158)&gt;0,V158+Y158,"")</f>
        <v>574.379520307551</v>
      </c>
      <c r="AB158" s="64" t="n">
        <f aca="false">IF(COUNT(F158:H158)&gt;0,X158/V158,"")</f>
        <v>0.108229888473983</v>
      </c>
      <c r="AC158" s="26"/>
      <c r="AD158" s="65" t="n">
        <f aca="false">IF(SUM(I158:K158)&gt;0,AVERAGE(I158:K158),"")</f>
        <v>471.333333333333</v>
      </c>
      <c r="AE158" s="66" t="n">
        <f aca="false">IF(SUM(I158:K158)&gt;0, ( IF(I158&gt;0,(I158-AD158)^2,0) + IF(J158&gt;0,(J158-AD158)^2,0) + IF(K158&gt;0,(K158-AD158)^2,0) ) / COUNT(I158:K158),"")</f>
        <v>3548.22222222222</v>
      </c>
      <c r="AF158" s="63" t="n">
        <f aca="false">IF(SUM(I158:K158)&gt;0,SQRT(AE158),"")</f>
        <v>59.5669557911282</v>
      </c>
      <c r="AG158" s="63" t="n">
        <f aca="false">IF(COUNT(I158:K158)&gt;0,VLOOKUP(COUNT(I158:K158),$AX$2:$AZ$5,3)*(AF158/SQRT(COUNT(I158:K158))),"")</f>
        <v>147.984464225384</v>
      </c>
      <c r="AH158" s="63" t="n">
        <f aca="false">IF(COUNT(I158:K158)&gt;0,AD158-AG158,"")</f>
        <v>323.348869107949</v>
      </c>
      <c r="AI158" s="63" t="n">
        <f aca="false">IF(COUNT(I158:K158)&gt;0,AD158+AG158,"")</f>
        <v>619.317797558718</v>
      </c>
      <c r="AJ158" s="64" t="n">
        <f aca="false">IF(COUNT(I158:K158)&gt;0,AF158/AD158,"")</f>
        <v>0.126379679896312</v>
      </c>
      <c r="AK158" s="65" t="n">
        <f aca="false">IF(SUM(L158:N158)&gt;0,AVERAGE(L158:N158),"")</f>
        <v>641</v>
      </c>
      <c r="AL158" s="66" t="n">
        <f aca="false">IF(SUM(L158:N158)&gt;0, ( IF(L158&gt;0,(L158-AK158)^2,0) + IF(M158&gt;0,(M158-AK158)^2,0) + IF(N158&gt;0,(N158-AK158)^2,0) ) / COUNT(L158:N158),"")</f>
        <v>23409</v>
      </c>
      <c r="AM158" s="63" t="n">
        <f aca="false">IF(SUM(L158:N158)&gt;0,SQRT(AL158),"")</f>
        <v>153</v>
      </c>
      <c r="AN158" s="63" t="n">
        <f aca="false">IF(COUNT(L158:N158)&gt;0,VLOOKUP(COUNT(L158:N158),$AX$2:$AZ$5,3)*(AM158/SQRT(COUNT(L158:N158))),"")</f>
        <v>1374.62831054871</v>
      </c>
      <c r="AO158" s="63" t="n">
        <f aca="false">IF(COUNT(L158:N158)&gt;0,AK158-AN158,"")</f>
        <v>-733.62831054871</v>
      </c>
      <c r="AP158" s="63" t="n">
        <f aca="false">IF(COUNT(L158:N158)&gt;0,AK158+AN158,"")</f>
        <v>2015.62831054871</v>
      </c>
      <c r="AQ158" s="64" t="n">
        <f aca="false">IF(COUNT(L158:N158)&gt;0,AM158/AK158,"")</f>
        <v>0.238689547581903</v>
      </c>
    </row>
    <row r="159" customFormat="false" ht="12.8" hidden="false" customHeight="false" outlineLevel="0" collapsed="false">
      <c r="A159" s="56" t="s">
        <v>48</v>
      </c>
      <c r="B159" s="57" t="n">
        <v>40</v>
      </c>
      <c r="C159" s="56" t="n">
        <v>375</v>
      </c>
      <c r="D159" s="25" t="n">
        <v>693</v>
      </c>
      <c r="E159" s="57" t="n">
        <v>353</v>
      </c>
      <c r="F159" s="58" t="n">
        <v>347</v>
      </c>
      <c r="G159" s="0" t="n">
        <v>346</v>
      </c>
      <c r="H159" s="59" t="n">
        <v>344</v>
      </c>
      <c r="I159" s="56" t="n">
        <v>416</v>
      </c>
      <c r="J159" s="0" t="n">
        <v>376</v>
      </c>
      <c r="K159" s="57" t="n">
        <v>318</v>
      </c>
      <c r="L159" s="56"/>
      <c r="M159" s="0" t="n">
        <v>693</v>
      </c>
      <c r="N159" s="57" t="n">
        <v>401</v>
      </c>
      <c r="O159" s="65" t="n">
        <f aca="false">IF(SUM(C159:E159)&gt;0,AVERAGE(C159:E159),"")</f>
        <v>473.666666666667</v>
      </c>
      <c r="P159" s="66" t="n">
        <f aca="false">IF(SUM(C159:E159)&gt;0, ( IF(C159&gt;0,(C159-O159)^2,0) + IF(D159&gt;0,(D159-O159)^2,0) + IF(E159&gt;0,(E159-O159)^2,0) ) / COUNT(C159:E159),"")</f>
        <v>24134.2222222222</v>
      </c>
      <c r="Q159" s="63" t="n">
        <f aca="false">IF(SUM(C159:E159)&gt;0,SQRT(P159),"")</f>
        <v>155.35193021724</v>
      </c>
      <c r="R159" s="63" t="n">
        <f aca="false">IF(COUNT(C159:E159)&gt;0,VLOOKUP(COUNT(C159:E159),$AX$2:$AZ$5,3)*(Q159/SQRT(COUNT(C159:E159))),"")</f>
        <v>385.946735975412</v>
      </c>
      <c r="S159" s="63" t="n">
        <f aca="false">IF(COUNT(C159:E159)&gt;0,O159-R159,"")</f>
        <v>87.7199306912551</v>
      </c>
      <c r="T159" s="63" t="n">
        <f aca="false">IF(COUNT(C159:E159)&gt;0,O159+R159,"")</f>
        <v>859.613402642078</v>
      </c>
      <c r="U159" s="64" t="n">
        <f aca="false">IF(COUNT(C159:E159)&gt;0,Q159/O159,"")</f>
        <v>0.327977333322815</v>
      </c>
      <c r="V159" s="65" t="n">
        <f aca="false">IF(SUM(F159:H159)&gt;0,AVERAGE(F159:H159),"")</f>
        <v>345.666666666667</v>
      </c>
      <c r="W159" s="66" t="n">
        <f aca="false">IF(SUM(F159:H159)&gt;0, ( IF(F159&gt;0,(F159-V159)^2,0) + IF(G159&gt;0,(G159-V159)^2,0) + IF(H159&gt;0,(H159-V159)^2,0) ) / COUNT(F159:H159),"")</f>
        <v>1.55555555555556</v>
      </c>
      <c r="X159" s="63" t="n">
        <f aca="false">IF(SUM(F159:H159)&gt;0,SQRT(W159),"")</f>
        <v>1.24721912892465</v>
      </c>
      <c r="Y159" s="63" t="n">
        <f aca="false">IF(COUNT(F159:H159)&gt;0,VLOOKUP(COUNT(F159:H159),$AX$2:$AZ$5,3)*(X159/SQRT(COUNT(F159:H159))),"")</f>
        <v>3.09851413613878</v>
      </c>
      <c r="Z159" s="63" t="n">
        <f aca="false">IF(COUNT(F159:H159)&gt;0,V159-Y159,"")</f>
        <v>342.568152530528</v>
      </c>
      <c r="AA159" s="63" t="n">
        <f aca="false">IF(COUNT(F159:H159)&gt;0,V159+Y159,"")</f>
        <v>348.765180802805</v>
      </c>
      <c r="AB159" s="64" t="n">
        <f aca="false">IF(COUNT(F159:H159)&gt;0,X159/V159,"")</f>
        <v>0.00360815562851875</v>
      </c>
      <c r="AC159" s="26"/>
      <c r="AD159" s="65" t="n">
        <f aca="false">IF(SUM(I159:K159)&gt;0,AVERAGE(I159:K159),"")</f>
        <v>370</v>
      </c>
      <c r="AE159" s="66" t="n">
        <f aca="false">IF(SUM(I159:K159)&gt;0, ( IF(I159&gt;0,(I159-AD159)^2,0) + IF(J159&gt;0,(J159-AD159)^2,0) + IF(K159&gt;0,(K159-AD159)^2,0) ) / COUNT(I159:K159),"")</f>
        <v>1618.66666666667</v>
      </c>
      <c r="AF159" s="63" t="n">
        <f aca="false">IF(SUM(I159:K159)&gt;0,SQRT(AE159),"")</f>
        <v>40.2326567189723</v>
      </c>
      <c r="AG159" s="63" t="n">
        <f aca="false">IF(COUNT(I159:K159)&gt;0,VLOOKUP(COUNT(I159:K159),$AX$2:$AZ$5,3)*(AF159/SQRT(COUNT(I159:K159))),"")</f>
        <v>99.9515263092843</v>
      </c>
      <c r="AH159" s="63" t="n">
        <f aca="false">IF(COUNT(I159:K159)&gt;0,AD159-AG159,"")</f>
        <v>270.048473690716</v>
      </c>
      <c r="AI159" s="63" t="n">
        <f aca="false">IF(COUNT(I159:K159)&gt;0,AD159+AG159,"")</f>
        <v>469.951526309284</v>
      </c>
      <c r="AJ159" s="64" t="n">
        <f aca="false">IF(COUNT(I159:K159)&gt;0,AF159/AD159,"")</f>
        <v>0.108736910051276</v>
      </c>
      <c r="AK159" s="65" t="n">
        <f aca="false">IF(SUM(L159:N159)&gt;0,AVERAGE(L159:N159),"")</f>
        <v>547</v>
      </c>
      <c r="AL159" s="66" t="n">
        <f aca="false">IF(SUM(L159:N159)&gt;0, ( IF(L159&gt;0,(L159-AK159)^2,0) + IF(M159&gt;0,(M159-AK159)^2,0) + IF(N159&gt;0,(N159-AK159)^2,0) ) / COUNT(L159:N159),"")</f>
        <v>21316</v>
      </c>
      <c r="AM159" s="63" t="n">
        <f aca="false">IF(SUM(L159:N159)&gt;0,SQRT(AL159),"")</f>
        <v>146</v>
      </c>
      <c r="AN159" s="63" t="n">
        <f aca="false">IF(COUNT(L159:N159)&gt;0,VLOOKUP(COUNT(L159:N159),$AX$2:$AZ$5,3)*(AM159/SQRT(COUNT(L159:N159))),"")</f>
        <v>1311.73681921642</v>
      </c>
      <c r="AO159" s="63" t="n">
        <f aca="false">IF(COUNT(L159:N159)&gt;0,AK159-AN159,"")</f>
        <v>-764.736819216416</v>
      </c>
      <c r="AP159" s="63" t="n">
        <f aca="false">IF(COUNT(L159:N159)&gt;0,AK159+AN159,"")</f>
        <v>1858.73681921642</v>
      </c>
      <c r="AQ159" s="64" t="n">
        <f aca="false">IF(COUNT(L159:N159)&gt;0,AM159/AK159,"")</f>
        <v>0.26691042047532</v>
      </c>
    </row>
    <row r="160" customFormat="false" ht="12.8" hidden="false" customHeight="false" outlineLevel="0" collapsed="false">
      <c r="A160" s="56" t="s">
        <v>48</v>
      </c>
      <c r="B160" s="57" t="n">
        <v>50</v>
      </c>
      <c r="C160" s="56" t="n">
        <v>396</v>
      </c>
      <c r="D160" s="25" t="n">
        <v>380</v>
      </c>
      <c r="E160" s="57" t="n">
        <v>307</v>
      </c>
      <c r="F160" s="58" t="n">
        <v>248</v>
      </c>
      <c r="G160" s="0" t="n">
        <v>254</v>
      </c>
      <c r="H160" s="59" t="n">
        <v>290</v>
      </c>
      <c r="I160" s="56" t="n">
        <v>335</v>
      </c>
      <c r="J160" s="0" t="n">
        <v>321</v>
      </c>
      <c r="K160" s="57" t="n">
        <v>346</v>
      </c>
      <c r="L160" s="56"/>
      <c r="M160" s="0" t="n">
        <v>346</v>
      </c>
      <c r="N160" s="57" t="n">
        <v>307</v>
      </c>
      <c r="O160" s="65" t="n">
        <f aca="false">IF(SUM(C160:E160)&gt;0,AVERAGE(C160:E160),"")</f>
        <v>361</v>
      </c>
      <c r="P160" s="66" t="n">
        <f aca="false">IF(SUM(C160:E160)&gt;0, ( IF(C160&gt;0,(C160-O160)^2,0) + IF(D160&gt;0,(D160-O160)^2,0) + IF(E160&gt;0,(E160-O160)^2,0) ) / COUNT(C160:E160),"")</f>
        <v>1500.66666666667</v>
      </c>
      <c r="Q160" s="63" t="n">
        <f aca="false">IF(SUM(C160:E160)&gt;0,SQRT(P160),"")</f>
        <v>38.7384391356527</v>
      </c>
      <c r="R160" s="63" t="n">
        <f aca="false">IF(COUNT(C160:E160)&gt;0,VLOOKUP(COUNT(C160:E160),$AX$2:$AZ$5,3)*(Q160/SQRT(COUNT(C160:E160))),"")</f>
        <v>96.2393844754954</v>
      </c>
      <c r="S160" s="63" t="n">
        <f aca="false">IF(COUNT(C160:E160)&gt;0,O160-R160,"")</f>
        <v>264.760615524505</v>
      </c>
      <c r="T160" s="63" t="n">
        <f aca="false">IF(COUNT(C160:E160)&gt;0,O160+R160,"")</f>
        <v>457.239384475495</v>
      </c>
      <c r="U160" s="64" t="n">
        <f aca="false">IF(COUNT(C160:E160)&gt;0,Q160/O160,"")</f>
        <v>0.107308695666628</v>
      </c>
      <c r="V160" s="65" t="n">
        <f aca="false">IF(SUM(F160:H160)&gt;0,AVERAGE(F160:H160),"")</f>
        <v>264</v>
      </c>
      <c r="W160" s="66" t="n">
        <f aca="false">IF(SUM(F160:H160)&gt;0, ( IF(F160&gt;0,(F160-V160)^2,0) + IF(G160&gt;0,(G160-V160)^2,0) + IF(H160&gt;0,(H160-V160)^2,0) ) / COUNT(F160:H160),"")</f>
        <v>344</v>
      </c>
      <c r="X160" s="63" t="n">
        <f aca="false">IF(SUM(F160:H160)&gt;0,SQRT(W160),"")</f>
        <v>18.5472369909914</v>
      </c>
      <c r="Y160" s="63" t="n">
        <f aca="false">IF(COUNT(F160:H160)&gt;0,VLOOKUP(COUNT(F160:H160),$AX$2:$AZ$5,3)*(X160/SQRT(COUNT(F160:H160))),"")</f>
        <v>46.0776095155409</v>
      </c>
      <c r="Z160" s="63" t="n">
        <f aca="false">IF(COUNT(F160:H160)&gt;0,V160-Y160,"")</f>
        <v>217.922390484459</v>
      </c>
      <c r="AA160" s="63" t="n">
        <f aca="false">IF(COUNT(F160:H160)&gt;0,V160+Y160,"")</f>
        <v>310.077609515541</v>
      </c>
      <c r="AB160" s="64" t="n">
        <f aca="false">IF(COUNT(F160:H160)&gt;0,X160/V160,"")</f>
        <v>0.0702546855719372</v>
      </c>
      <c r="AC160" s="26"/>
      <c r="AD160" s="65" t="n">
        <f aca="false">IF(SUM(I160:K160)&gt;0,AVERAGE(I160:K160),"")</f>
        <v>334</v>
      </c>
      <c r="AE160" s="66" t="n">
        <f aca="false">IF(SUM(I160:K160)&gt;0, ( IF(I160&gt;0,(I160-AD160)^2,0) + IF(J160&gt;0,(J160-AD160)^2,0) + IF(K160&gt;0,(K160-AD160)^2,0) ) / COUNT(I160:K160),"")</f>
        <v>104.666666666667</v>
      </c>
      <c r="AF160" s="63" t="n">
        <f aca="false">IF(SUM(I160:K160)&gt;0,SQRT(AE160),"")</f>
        <v>10.2306728354819</v>
      </c>
      <c r="AG160" s="63" t="n">
        <f aca="false">IF(COUNT(I160:K160)&gt;0,VLOOKUP(COUNT(I160:K160),$AX$2:$AZ$5,3)*(AF160/SQRT(COUNT(I160:K160))),"")</f>
        <v>25.4164514220394</v>
      </c>
      <c r="AH160" s="63" t="n">
        <f aca="false">IF(COUNT(I160:K160)&gt;0,AD160-AG160,"")</f>
        <v>308.583548577961</v>
      </c>
      <c r="AI160" s="63" t="n">
        <f aca="false">IF(COUNT(I160:K160)&gt;0,AD160+AG160,"")</f>
        <v>359.416451422039</v>
      </c>
      <c r="AJ160" s="64" t="n">
        <f aca="false">IF(COUNT(I160:K160)&gt;0,AF160/AD160,"")</f>
        <v>0.0306307569924607</v>
      </c>
      <c r="AK160" s="65" t="n">
        <f aca="false">IF(SUM(L160:N160)&gt;0,AVERAGE(L160:N160),"")</f>
        <v>326.5</v>
      </c>
      <c r="AL160" s="66" t="n">
        <f aca="false">IF(SUM(L160:N160)&gt;0, ( IF(L160&gt;0,(L160-AK160)^2,0) + IF(M160&gt;0,(M160-AK160)^2,0) + IF(N160&gt;0,(N160-AK160)^2,0) ) / COUNT(L160:N160),"")</f>
        <v>380.25</v>
      </c>
      <c r="AM160" s="63" t="n">
        <f aca="false">IF(SUM(L160:N160)&gt;0,SQRT(AL160),"")</f>
        <v>19.5</v>
      </c>
      <c r="AN160" s="63" t="n">
        <f aca="false">IF(COUNT(L160:N160)&gt;0,VLOOKUP(COUNT(L160:N160),$AX$2:$AZ$5,3)*(AM160/SQRT(COUNT(L160:N160))),"")</f>
        <v>175.197725854247</v>
      </c>
      <c r="AO160" s="63" t="n">
        <f aca="false">IF(COUNT(L160:N160)&gt;0,AK160-AN160,"")</f>
        <v>151.302274145753</v>
      </c>
      <c r="AP160" s="63" t="n">
        <f aca="false">IF(COUNT(L160:N160)&gt;0,AK160+AN160,"")</f>
        <v>501.697725854247</v>
      </c>
      <c r="AQ160" s="64" t="n">
        <f aca="false">IF(COUNT(L160:N160)&gt;0,AM160/AK160,"")</f>
        <v>0.0597243491577335</v>
      </c>
    </row>
    <row r="161" customFormat="false" ht="12.8" hidden="false" customHeight="false" outlineLevel="0" collapsed="false">
      <c r="A161" s="56" t="s">
        <v>48</v>
      </c>
      <c r="B161" s="57" t="n">
        <v>64</v>
      </c>
      <c r="C161" s="56" t="n">
        <v>293</v>
      </c>
      <c r="D161" s="25" t="n">
        <v>289</v>
      </c>
      <c r="E161" s="57" t="n">
        <v>295</v>
      </c>
      <c r="F161" s="58" t="n">
        <v>265</v>
      </c>
      <c r="G161" s="0" t="n">
        <v>257</v>
      </c>
      <c r="H161" s="59" t="n">
        <v>213</v>
      </c>
      <c r="I161" s="56" t="n">
        <v>256</v>
      </c>
      <c r="J161" s="0" t="n">
        <v>322</v>
      </c>
      <c r="K161" s="57" t="n">
        <v>252</v>
      </c>
      <c r="L161" s="56"/>
      <c r="M161" s="0" t="n">
        <v>260</v>
      </c>
      <c r="N161" s="57" t="n">
        <v>268</v>
      </c>
      <c r="O161" s="65" t="n">
        <f aca="false">IF(SUM(C161:E161)&gt;0,AVERAGE(C161:E161),"")</f>
        <v>292.333333333333</v>
      </c>
      <c r="P161" s="66" t="n">
        <f aca="false">IF(SUM(C161:E161)&gt;0, ( IF(C161&gt;0,(C161-O161)^2,0) + IF(D161&gt;0,(D161-O161)^2,0) + IF(E161&gt;0,(E161-O161)^2,0) ) / COUNT(C161:E161),"")</f>
        <v>6.22222222222222</v>
      </c>
      <c r="Q161" s="63" t="n">
        <f aca="false">IF(SUM(C161:E161)&gt;0,SQRT(P161),"")</f>
        <v>2.49443825784929</v>
      </c>
      <c r="R161" s="63" t="n">
        <f aca="false">IF(COUNT(C161:E161)&gt;0,VLOOKUP(COUNT(C161:E161),$AX$2:$AZ$5,3)*(Q161/SQRT(COUNT(C161:E161))),"")</f>
        <v>6.19702827227756</v>
      </c>
      <c r="S161" s="63" t="n">
        <f aca="false">IF(COUNT(C161:E161)&gt;0,O161-R161,"")</f>
        <v>286.136305061056</v>
      </c>
      <c r="T161" s="63" t="n">
        <f aca="false">IF(COUNT(C161:E161)&gt;0,O161+R161,"")</f>
        <v>298.530361605611</v>
      </c>
      <c r="U161" s="64" t="n">
        <f aca="false">IF(COUNT(C161:E161)&gt;0,Q161/O161,"")</f>
        <v>0.00853285607018003</v>
      </c>
      <c r="V161" s="65" t="n">
        <f aca="false">IF(SUM(F161:H161)&gt;0,AVERAGE(F161:H161),"")</f>
        <v>245</v>
      </c>
      <c r="W161" s="66" t="n">
        <f aca="false">IF(SUM(F161:H161)&gt;0, ( IF(F161&gt;0,(F161-V161)^2,0) + IF(G161&gt;0,(G161-V161)^2,0) + IF(H161&gt;0,(H161-V161)^2,0) ) / COUNT(F161:H161),"")</f>
        <v>522.666666666667</v>
      </c>
      <c r="X161" s="63" t="n">
        <f aca="false">IF(SUM(F161:H161)&gt;0,SQRT(W161),"")</f>
        <v>22.8619042659763</v>
      </c>
      <c r="Y161" s="63" t="n">
        <f aca="false">IF(COUNT(F161:H161)&gt;0,VLOOKUP(COUNT(F161:H161),$AX$2:$AZ$5,3)*(X161/SQRT(COUNT(F161:H161))),"")</f>
        <v>56.7967022829867</v>
      </c>
      <c r="Z161" s="63" t="n">
        <f aca="false">IF(COUNT(F161:H161)&gt;0,V161-Y161,"")</f>
        <v>188.203297717013</v>
      </c>
      <c r="AA161" s="63" t="n">
        <f aca="false">IF(COUNT(F161:H161)&gt;0,V161+Y161,"")</f>
        <v>301.796702282987</v>
      </c>
      <c r="AB161" s="64" t="n">
        <f aca="false">IF(COUNT(F161:H161)&gt;0,X161/V161,"")</f>
        <v>0.0933138949631687</v>
      </c>
      <c r="AC161" s="26"/>
      <c r="AD161" s="65" t="n">
        <f aca="false">IF(SUM(I161:K161)&gt;0,AVERAGE(I161:K161),"")</f>
        <v>276.666666666667</v>
      </c>
      <c r="AE161" s="66" t="n">
        <f aca="false">IF(SUM(I161:K161)&gt;0, ( IF(I161&gt;0,(I161-AD161)^2,0) + IF(J161&gt;0,(J161-AD161)^2,0) + IF(K161&gt;0,(K161-AD161)^2,0) ) / COUNT(I161:K161),"")</f>
        <v>1030.22222222222</v>
      </c>
      <c r="AF161" s="63" t="n">
        <f aca="false">IF(SUM(I161:K161)&gt;0,SQRT(AE161),"")</f>
        <v>32.0970749792286</v>
      </c>
      <c r="AG161" s="63" t="n">
        <f aca="false">IF(COUNT(I161:K161)&gt;0,VLOOKUP(COUNT(I161:K161),$AX$2:$AZ$5,3)*(AF161/SQRT(COUNT(I161:K161))),"")</f>
        <v>79.7399897463045</v>
      </c>
      <c r="AH161" s="63" t="n">
        <f aca="false">IF(COUNT(I161:K161)&gt;0,AD161-AG161,"")</f>
        <v>196.926676920362</v>
      </c>
      <c r="AI161" s="63" t="n">
        <f aca="false">IF(COUNT(I161:K161)&gt;0,AD161+AG161,"")</f>
        <v>356.406656412971</v>
      </c>
      <c r="AJ161" s="64" t="n">
        <f aca="false">IF(COUNT(I161:K161)&gt;0,AF161/AD161,"")</f>
        <v>0.116013524021308</v>
      </c>
      <c r="AK161" s="65" t="n">
        <f aca="false">IF(SUM(L161:N161)&gt;0,AVERAGE(L161:N161),"")</f>
        <v>264</v>
      </c>
      <c r="AL161" s="66" t="n">
        <f aca="false">IF(SUM(L161:N161)&gt;0, ( IF(L161&gt;0,(L161-AK161)^2,0) + IF(M161&gt;0,(M161-AK161)^2,0) + IF(N161&gt;0,(N161-AK161)^2,0) ) / COUNT(L161:N161),"")</f>
        <v>16</v>
      </c>
      <c r="AM161" s="63" t="n">
        <f aca="false">IF(SUM(L161:N161)&gt;0,SQRT(AL161),"")</f>
        <v>4</v>
      </c>
      <c r="AN161" s="63" t="n">
        <f aca="false">IF(COUNT(L161:N161)&gt;0,VLOOKUP(COUNT(L161:N161),$AX$2:$AZ$5,3)*(AM161/SQRT(COUNT(L161:N161))),"")</f>
        <v>35.9379950470251</v>
      </c>
      <c r="AO161" s="63" t="n">
        <f aca="false">IF(COUNT(L161:N161)&gt;0,AK161-AN161,"")</f>
        <v>228.062004952975</v>
      </c>
      <c r="AP161" s="63" t="n">
        <f aca="false">IF(COUNT(L161:N161)&gt;0,AK161+AN161,"")</f>
        <v>299.937995047025</v>
      </c>
      <c r="AQ161" s="64" t="n">
        <f aca="false">IF(COUNT(L161:N161)&gt;0,AM161/AK161,"")</f>
        <v>0.0151515151515152</v>
      </c>
    </row>
    <row r="162" customFormat="false" ht="12.8" hidden="false" customHeight="false" outlineLevel="0" collapsed="false">
      <c r="A162" s="56" t="s">
        <v>48</v>
      </c>
      <c r="B162" s="57" t="n">
        <v>82</v>
      </c>
      <c r="C162" s="56" t="n">
        <v>246</v>
      </c>
      <c r="D162" s="25" t="n">
        <v>224</v>
      </c>
      <c r="E162" s="57" t="n">
        <v>208</v>
      </c>
      <c r="F162" s="58" t="n">
        <v>216</v>
      </c>
      <c r="G162" s="0" t="n">
        <v>183</v>
      </c>
      <c r="H162" s="59" t="n">
        <v>196</v>
      </c>
      <c r="I162" s="56" t="n">
        <v>303</v>
      </c>
      <c r="J162" s="0" t="n">
        <v>287</v>
      </c>
      <c r="K162" s="57" t="n">
        <v>208</v>
      </c>
      <c r="L162" s="56"/>
      <c r="M162" s="0" t="n">
        <v>207</v>
      </c>
      <c r="N162" s="57" t="n">
        <v>230</v>
      </c>
      <c r="O162" s="65" t="n">
        <f aca="false">IF(SUM(C162:E162)&gt;0,AVERAGE(C162:E162),"")</f>
        <v>226</v>
      </c>
      <c r="P162" s="66" t="n">
        <f aca="false">IF(SUM(C162:E162)&gt;0, ( IF(C162&gt;0,(C162-O162)^2,0) + IF(D162&gt;0,(D162-O162)^2,0) + IF(E162&gt;0,(E162-O162)^2,0) ) / COUNT(C162:E162),"")</f>
        <v>242.666666666667</v>
      </c>
      <c r="Q162" s="63" t="n">
        <f aca="false">IF(SUM(C162:E162)&gt;0,SQRT(P162),"")</f>
        <v>15.5777619273972</v>
      </c>
      <c r="R162" s="63" t="n">
        <f aca="false">IF(COUNT(C162:E162)&gt;0,VLOOKUP(COUNT(C162:E162),$AX$2:$AZ$5,3)*(Q162/SQRT(COUNT(C162:E162))),"")</f>
        <v>38.7004291563917</v>
      </c>
      <c r="S162" s="63" t="n">
        <f aca="false">IF(COUNT(C162:E162)&gt;0,O162-R162,"")</f>
        <v>187.299570843608</v>
      </c>
      <c r="T162" s="63" t="n">
        <f aca="false">IF(COUNT(C162:E162)&gt;0,O162+R162,"")</f>
        <v>264.700429156392</v>
      </c>
      <c r="U162" s="64" t="n">
        <f aca="false">IF(COUNT(C162:E162)&gt;0,Q162/O162,"")</f>
        <v>0.0689281501212267</v>
      </c>
      <c r="V162" s="65" t="n">
        <f aca="false">IF(SUM(F162:H162)&gt;0,AVERAGE(F162:H162),"")</f>
        <v>198.333333333333</v>
      </c>
      <c r="W162" s="66" t="n">
        <f aca="false">IF(SUM(F162:H162)&gt;0, ( IF(F162&gt;0,(F162-V162)^2,0) + IF(G162&gt;0,(G162-V162)^2,0) + IF(H162&gt;0,(H162-V162)^2,0) ) / COUNT(F162:H162),"")</f>
        <v>184.222222222222</v>
      </c>
      <c r="X162" s="63" t="n">
        <f aca="false">IF(SUM(F162:H162)&gt;0,SQRT(W162),"")</f>
        <v>13.5728487143349</v>
      </c>
      <c r="Y162" s="63" t="n">
        <f aca="false">IF(COUNT(F162:H162)&gt;0,VLOOKUP(COUNT(F162:H162),$AX$2:$AZ$5,3)*(X162/SQRT(COUNT(F162:H162))),"")</f>
        <v>33.7195466568093</v>
      </c>
      <c r="Z162" s="63" t="n">
        <f aca="false">IF(COUNT(F162:H162)&gt;0,V162-Y162,"")</f>
        <v>164.613786676524</v>
      </c>
      <c r="AA162" s="63" t="n">
        <f aca="false">IF(COUNT(F162:H162)&gt;0,V162+Y162,"")</f>
        <v>232.052879990143</v>
      </c>
      <c r="AB162" s="64" t="n">
        <f aca="false">IF(COUNT(F162:H162)&gt;0,X162/V162,"")</f>
        <v>0.0684345313327809</v>
      </c>
      <c r="AC162" s="26"/>
      <c r="AD162" s="65" t="n">
        <f aca="false">IF(SUM(I162:K162)&gt;0,AVERAGE(I162:K162),"")</f>
        <v>266</v>
      </c>
      <c r="AE162" s="66" t="n">
        <f aca="false">IF(SUM(I162:K162)&gt;0, ( IF(I162&gt;0,(I162-AD162)^2,0) + IF(J162&gt;0,(J162-AD162)^2,0) + IF(K162&gt;0,(K162-AD162)^2,0) ) / COUNT(I162:K162),"")</f>
        <v>1724.66666666667</v>
      </c>
      <c r="AF162" s="63" t="n">
        <f aca="false">IF(SUM(I162:K162)&gt;0,SQRT(AE162),"")</f>
        <v>41.5291062589441</v>
      </c>
      <c r="AG162" s="63" t="n">
        <f aca="false">IF(COUNT(I162:K162)&gt;0,VLOOKUP(COUNT(I162:K162),$AX$2:$AZ$5,3)*(AF162/SQRT(COUNT(I162:K162))),"")</f>
        <v>103.172345436599</v>
      </c>
      <c r="AH162" s="63" t="n">
        <f aca="false">IF(COUNT(I162:K162)&gt;0,AD162-AG162,"")</f>
        <v>162.827654563401</v>
      </c>
      <c r="AI162" s="63" t="n">
        <f aca="false">IF(COUNT(I162:K162)&gt;0,AD162+AG162,"")</f>
        <v>369.172345436599</v>
      </c>
      <c r="AJ162" s="64" t="n">
        <f aca="false">IF(COUNT(I162:K162)&gt;0,AF162/AD162,"")</f>
        <v>0.15612445962009</v>
      </c>
      <c r="AK162" s="65" t="n">
        <f aca="false">IF(SUM(L162:N162)&gt;0,AVERAGE(L162:N162),"")</f>
        <v>218.5</v>
      </c>
      <c r="AL162" s="66" t="n">
        <f aca="false">IF(SUM(L162:N162)&gt;0, ( IF(L162&gt;0,(L162-AK162)^2,0) + IF(M162&gt;0,(M162-AK162)^2,0) + IF(N162&gt;0,(N162-AK162)^2,0) ) / COUNT(L162:N162),"")</f>
        <v>132.25</v>
      </c>
      <c r="AM162" s="63" t="n">
        <f aca="false">IF(SUM(L162:N162)&gt;0,SQRT(AL162),"")</f>
        <v>11.5</v>
      </c>
      <c r="AN162" s="63" t="n">
        <f aca="false">IF(COUNT(L162:N162)&gt;0,VLOOKUP(COUNT(L162:N162),$AX$2:$AZ$5,3)*(AM162/SQRT(COUNT(L162:N162))),"")</f>
        <v>103.321735760197</v>
      </c>
      <c r="AO162" s="63" t="n">
        <f aca="false">IF(COUNT(L162:N162)&gt;0,AK162-AN162,"")</f>
        <v>115.178264239803</v>
      </c>
      <c r="AP162" s="63" t="n">
        <f aca="false">IF(COUNT(L162:N162)&gt;0,AK162+AN162,"")</f>
        <v>321.821735760197</v>
      </c>
      <c r="AQ162" s="64" t="n">
        <f aca="false">IF(COUNT(L162:N162)&gt;0,AM162/AK162,"")</f>
        <v>0.0526315789473684</v>
      </c>
    </row>
    <row r="163" customFormat="false" ht="12.8" hidden="false" customHeight="false" outlineLevel="0" collapsed="false">
      <c r="A163" s="56" t="s">
        <v>48</v>
      </c>
      <c r="B163" s="57" t="n">
        <v>100</v>
      </c>
      <c r="C163" s="56" t="n">
        <v>185</v>
      </c>
      <c r="D163" s="25" t="n">
        <v>261</v>
      </c>
      <c r="E163" s="57" t="n">
        <v>185</v>
      </c>
      <c r="F163" s="58" t="n">
        <v>163</v>
      </c>
      <c r="G163" s="0" t="n">
        <v>157</v>
      </c>
      <c r="H163" s="59" t="n">
        <v>174</v>
      </c>
      <c r="I163" s="56" t="n">
        <v>201</v>
      </c>
      <c r="J163" s="0" t="n">
        <v>212</v>
      </c>
      <c r="K163" s="57"/>
      <c r="L163" s="56"/>
      <c r="M163" s="0" t="n">
        <v>173</v>
      </c>
      <c r="N163" s="57" t="n">
        <v>216</v>
      </c>
      <c r="O163" s="65" t="n">
        <f aca="false">IF(SUM(C163:E163)&gt;0,AVERAGE(C163:E163),"")</f>
        <v>210.333333333333</v>
      </c>
      <c r="P163" s="66" t="n">
        <f aca="false">IF(SUM(C163:E163)&gt;0, ( IF(C163&gt;0,(C163-O163)^2,0) + IF(D163&gt;0,(D163-O163)^2,0) + IF(E163&gt;0,(E163-O163)^2,0) ) / COUNT(C163:E163),"")</f>
        <v>1283.55555555556</v>
      </c>
      <c r="Q163" s="63" t="n">
        <f aca="false">IF(SUM(C163:E163)&gt;0,SQRT(P163),"")</f>
        <v>35.8267435801184</v>
      </c>
      <c r="R163" s="63" t="n">
        <f aca="false">IF(COUNT(C163:E163)&gt;0,VLOOKUP(COUNT(C163:E163),$AX$2:$AZ$5,3)*(Q163/SQRT(COUNT(C163:E163))),"")</f>
        <v>89.0057479558775</v>
      </c>
      <c r="S163" s="63" t="n">
        <f aca="false">IF(COUNT(C163:E163)&gt;0,O163-R163,"")</f>
        <v>121.327585377456</v>
      </c>
      <c r="T163" s="63" t="n">
        <f aca="false">IF(COUNT(C163:E163)&gt;0,O163+R163,"")</f>
        <v>299.339081289211</v>
      </c>
      <c r="U163" s="64" t="n">
        <f aca="false">IF(COUNT(C163:E163)&gt;0,Q163/O163,"")</f>
        <v>0.170333170745412</v>
      </c>
      <c r="V163" s="65" t="n">
        <f aca="false">IF(SUM(F163:H163)&gt;0,AVERAGE(F163:H163),"")</f>
        <v>164.666666666667</v>
      </c>
      <c r="W163" s="66" t="n">
        <f aca="false">IF(SUM(F163:H163)&gt;0, ( IF(F163&gt;0,(F163-V163)^2,0) + IF(G163&gt;0,(G163-V163)^2,0) + IF(H163&gt;0,(H163-V163)^2,0) ) / COUNT(F163:H163),"")</f>
        <v>49.5555555555556</v>
      </c>
      <c r="X163" s="63" t="n">
        <f aca="false">IF(SUM(F163:H163)&gt;0,SQRT(W163),"")</f>
        <v>7.03957069398096</v>
      </c>
      <c r="Y163" s="63" t="n">
        <f aca="false">IF(COUNT(F163:H163)&gt;0,VLOOKUP(COUNT(F163:H163),$AX$2:$AZ$5,3)*(X163/SQRT(COUNT(F163:H163))),"")</f>
        <v>17.4886744452475</v>
      </c>
      <c r="Z163" s="63" t="n">
        <f aca="false">IF(COUNT(F163:H163)&gt;0,V163-Y163,"")</f>
        <v>147.177992221419</v>
      </c>
      <c r="AA163" s="63" t="n">
        <f aca="false">IF(COUNT(F163:H163)&gt;0,V163+Y163,"")</f>
        <v>182.155341111914</v>
      </c>
      <c r="AB163" s="64" t="n">
        <f aca="false">IF(COUNT(F163:H163)&gt;0,X163/V163,"")</f>
        <v>0.0427504293156738</v>
      </c>
      <c r="AC163" s="26"/>
      <c r="AD163" s="65" t="n">
        <f aca="false">IF(SUM(I163:K163)&gt;0,AVERAGE(I163:K163),"")</f>
        <v>206.5</v>
      </c>
      <c r="AE163" s="66" t="n">
        <f aca="false">IF(SUM(I163:K163)&gt;0, ( IF(I163&gt;0,(I163-AD163)^2,0) + IF(J163&gt;0,(J163-AD163)^2,0) + IF(K163&gt;0,(K163-AD163)^2,0) ) / COUNT(I163:K163),"")</f>
        <v>30.25</v>
      </c>
      <c r="AF163" s="63" t="n">
        <f aca="false">IF(SUM(I163:K163)&gt;0,SQRT(AE163),"")</f>
        <v>5.5</v>
      </c>
      <c r="AG163" s="63" t="n">
        <f aca="false">IF(COUNT(I163:K163)&gt;0,VLOOKUP(COUNT(I163:K163),$AX$2:$AZ$5,3)*(AF163/SQRT(COUNT(I163:K163))),"")</f>
        <v>49.4147431896595</v>
      </c>
      <c r="AH163" s="63" t="n">
        <f aca="false">IF(COUNT(I163:K163)&gt;0,AD163-AG163,"")</f>
        <v>157.085256810341</v>
      </c>
      <c r="AI163" s="63" t="n">
        <f aca="false">IF(COUNT(I163:K163)&gt;0,AD163+AG163,"")</f>
        <v>255.91474318966</v>
      </c>
      <c r="AJ163" s="64" t="n">
        <f aca="false">IF(COUNT(I163:K163)&gt;0,AF163/AD163,"")</f>
        <v>0.026634382566586</v>
      </c>
      <c r="AK163" s="65" t="n">
        <f aca="false">IF(SUM(L163:N163)&gt;0,AVERAGE(L163:N163),"")</f>
        <v>194.5</v>
      </c>
      <c r="AL163" s="66" t="n">
        <f aca="false">IF(SUM(L163:N163)&gt;0, ( IF(L163&gt;0,(L163-AK163)^2,0) + IF(M163&gt;0,(M163-AK163)^2,0) + IF(N163&gt;0,(N163-AK163)^2,0) ) / COUNT(L163:N163),"")</f>
        <v>462.25</v>
      </c>
      <c r="AM163" s="63" t="n">
        <f aca="false">IF(SUM(L163:N163)&gt;0,SQRT(AL163),"")</f>
        <v>21.5</v>
      </c>
      <c r="AN163" s="63" t="n">
        <f aca="false">IF(COUNT(L163:N163)&gt;0,VLOOKUP(COUNT(L163:N163),$AX$2:$AZ$5,3)*(AM163/SQRT(COUNT(L163:N163))),"")</f>
        <v>193.16672337776</v>
      </c>
      <c r="AO163" s="63" t="n">
        <f aca="false">IF(COUNT(L163:N163)&gt;0,AK163-AN163,"")</f>
        <v>1.33327662224016</v>
      </c>
      <c r="AP163" s="63" t="n">
        <f aca="false">IF(COUNT(L163:N163)&gt;0,AK163+AN163,"")</f>
        <v>387.66672337776</v>
      </c>
      <c r="AQ163" s="64" t="n">
        <f aca="false">IF(COUNT(L163:N163)&gt;0,AM163/AK163,"")</f>
        <v>0.110539845758355</v>
      </c>
    </row>
    <row r="164" customFormat="false" ht="12.8" hidden="false" customHeight="false" outlineLevel="0" collapsed="false">
      <c r="A164" s="56" t="s">
        <v>49</v>
      </c>
      <c r="B164" s="57" t="n">
        <v>5</v>
      </c>
      <c r="C164" s="56"/>
      <c r="D164" s="25"/>
      <c r="E164" s="57"/>
      <c r="F164" s="58"/>
      <c r="H164" s="59"/>
      <c r="I164" s="56"/>
      <c r="K164" s="57"/>
      <c r="L164" s="56"/>
      <c r="N164" s="57"/>
      <c r="O164" s="65" t="str">
        <f aca="false">IF(SUM(C164:E164)&gt;0,AVERAGE(C164:E164),"")</f>
        <v/>
      </c>
      <c r="P164" s="66" t="str">
        <f aca="false">IF(SUM(C164:E164)&gt;0, ( IF(C164&gt;0,(C164-O164)^2,0) + IF(D164&gt;0,(D164-O164)^2,0) + IF(E164&gt;0,(E164-O164)^2,0) ) / COUNT(C164:E164),"")</f>
        <v/>
      </c>
      <c r="Q164" s="63" t="str">
        <f aca="false">IF(SUM(C164:E164)&gt;0,SQRT(P164),"")</f>
        <v/>
      </c>
      <c r="R164" s="63" t="str">
        <f aca="false">IF(COUNT(C164:E164)&gt;0,VLOOKUP(COUNT(C164:E164),$AX$2:$AZ$5,3)*(Q164/SQRT(COUNT(C164:E164))),"")</f>
        <v/>
      </c>
      <c r="S164" s="63" t="str">
        <f aca="false">IF(COUNT(C164:E164)&gt;0,O164-R164,"")</f>
        <v/>
      </c>
      <c r="T164" s="63" t="str">
        <f aca="false">IF(COUNT(C164:E164)&gt;0,O164+R164,"")</f>
        <v/>
      </c>
      <c r="U164" s="64" t="str">
        <f aca="false">IF(COUNT(C164:E164)&gt;0,Q164/O164,"")</f>
        <v/>
      </c>
      <c r="V164" s="65" t="str">
        <f aca="false">IF(SUM(F164:H164)&gt;0,AVERAGE(F164:H164),"")</f>
        <v/>
      </c>
      <c r="W164" s="66" t="str">
        <f aca="false">IF(SUM(F164:H164)&gt;0, ( IF(F164&gt;0,(F164-V164)^2,0) + IF(G164&gt;0,(G164-V164)^2,0) + IF(H164&gt;0,(H164-V164)^2,0) ) / COUNT(F164:H164),"")</f>
        <v/>
      </c>
      <c r="X164" s="63" t="str">
        <f aca="false">IF(SUM(F164:H164)&gt;0,SQRT(W164),"")</f>
        <v/>
      </c>
      <c r="Y164" s="63" t="str">
        <f aca="false">IF(COUNT(F164:H164)&gt;0,VLOOKUP(COUNT(F164:H164),$AX$2:$AZ$5,3)*(X164/SQRT(COUNT(F164:H164))),"")</f>
        <v/>
      </c>
      <c r="Z164" s="63" t="str">
        <f aca="false">IF(COUNT(F164:H164)&gt;0,V164-Y164,"")</f>
        <v/>
      </c>
      <c r="AA164" s="63" t="str">
        <f aca="false">IF(COUNT(F164:H164)&gt;0,V164+Y164,"")</f>
        <v/>
      </c>
      <c r="AB164" s="64" t="str">
        <f aca="false">IF(COUNT(F164:H164)&gt;0,X164/V164,"")</f>
        <v/>
      </c>
      <c r="AC164" s="26"/>
      <c r="AD164" s="65" t="str">
        <f aca="false">IF(SUM(I164:K164)&gt;0,AVERAGE(I164:K164),"")</f>
        <v/>
      </c>
      <c r="AE164" s="66" t="str">
        <f aca="false">IF(SUM(I164:K164)&gt;0, ( IF(I164&gt;0,(I164-AD164)^2,0) + IF(J164&gt;0,(J164-AD164)^2,0) + IF(K164&gt;0,(K164-AD164)^2,0) ) / COUNT(I164:K164),"")</f>
        <v/>
      </c>
      <c r="AF164" s="63" t="str">
        <f aca="false">IF(SUM(I164:K164)&gt;0,SQRT(AE164),"")</f>
        <v/>
      </c>
      <c r="AG164" s="63" t="str">
        <f aca="false">IF(COUNT(I164:K164)&gt;0,VLOOKUP(COUNT(I164:K164),$AX$2:$AZ$5,3)*(AF164/SQRT(COUNT(I164:K164))),"")</f>
        <v/>
      </c>
      <c r="AH164" s="63" t="str">
        <f aca="false">IF(COUNT(I164:K164)&gt;0,AD164-AG164,"")</f>
        <v/>
      </c>
      <c r="AI164" s="63" t="str">
        <f aca="false">IF(COUNT(I164:K164)&gt;0,AD164+AG164,"")</f>
        <v/>
      </c>
      <c r="AJ164" s="64" t="str">
        <f aca="false">IF(COUNT(I164:K164)&gt;0,AF164/AD164,"")</f>
        <v/>
      </c>
      <c r="AK164" s="65" t="str">
        <f aca="false">IF(SUM(L164:N164)&gt;0,AVERAGE(L164:N164),"")</f>
        <v/>
      </c>
      <c r="AL164" s="66" t="str">
        <f aca="false">IF(SUM(L164:N164)&gt;0, ( IF(L164&gt;0,(L164-AK164)^2,0) + IF(M164&gt;0,(M164-AK164)^2,0) + IF(N164&gt;0,(N164-AK164)^2,0) ) / COUNT(L164:N164),"")</f>
        <v/>
      </c>
      <c r="AM164" s="63" t="str">
        <f aca="false">IF(SUM(L164:N164)&gt;0,SQRT(AL164),"")</f>
        <v/>
      </c>
      <c r="AN164" s="63" t="str">
        <f aca="false">IF(COUNT(L164:N164)&gt;0,VLOOKUP(COUNT(L164:N164),$AX$2:$AZ$5,3)*(AM164/SQRT(COUNT(L164:N164))),"")</f>
        <v/>
      </c>
      <c r="AO164" s="63" t="str">
        <f aca="false">IF(COUNT(L164:N164)&gt;0,AK164-AN164,"")</f>
        <v/>
      </c>
      <c r="AP164" s="63" t="str">
        <f aca="false">IF(COUNT(L164:N164)&gt;0,AK164+AN164,"")</f>
        <v/>
      </c>
      <c r="AQ164" s="64" t="str">
        <f aca="false">IF(COUNT(L164:N164)&gt;0,AM164/AK164,"")</f>
        <v/>
      </c>
    </row>
    <row r="165" customFormat="false" ht="12.8" hidden="false" customHeight="false" outlineLevel="0" collapsed="false">
      <c r="A165" s="56" t="s">
        <v>49</v>
      </c>
      <c r="B165" s="57" t="n">
        <v>10</v>
      </c>
      <c r="C165" s="56" t="n">
        <v>824</v>
      </c>
      <c r="D165" s="25" t="n">
        <v>930</v>
      </c>
      <c r="E165" s="57"/>
      <c r="F165" s="58"/>
      <c r="H165" s="59"/>
      <c r="I165" s="56"/>
      <c r="K165" s="57"/>
      <c r="L165" s="56"/>
      <c r="N165" s="57"/>
      <c r="O165" s="65" t="n">
        <f aca="false">IF(SUM(C165:E165)&gt;0,AVERAGE(C165:E165),"")</f>
        <v>877</v>
      </c>
      <c r="P165" s="66" t="n">
        <f aca="false">IF(SUM(C165:E165)&gt;0, ( IF(C165&gt;0,(C165-O165)^2,0) + IF(D165&gt;0,(D165-O165)^2,0) + IF(E165&gt;0,(E165-O165)^2,0) ) / COUNT(C165:E165),"")</f>
        <v>2809</v>
      </c>
      <c r="Q165" s="63" t="n">
        <f aca="false">IF(SUM(C165:E165)&gt;0,SQRT(P165),"")</f>
        <v>53</v>
      </c>
      <c r="R165" s="63" t="n">
        <f aca="false">IF(COUNT(C165:E165)&gt;0,VLOOKUP(COUNT(C165:E165),$AX$2:$AZ$5,3)*(Q165/SQRT(COUNT(C165:E165))),"")</f>
        <v>476.178434373082</v>
      </c>
      <c r="S165" s="63" t="n">
        <f aca="false">IF(COUNT(C165:E165)&gt;0,O165-R165,"")</f>
        <v>400.821565626918</v>
      </c>
      <c r="T165" s="63" t="n">
        <f aca="false">IF(COUNT(C165:E165)&gt;0,O165+R165,"")</f>
        <v>1353.17843437308</v>
      </c>
      <c r="U165" s="64" t="n">
        <f aca="false">IF(COUNT(C165:E165)&gt;0,Q165/O165,"")</f>
        <v>0.0604332953249715</v>
      </c>
      <c r="V165" s="65" t="str">
        <f aca="false">IF(SUM(F165:H165)&gt;0,AVERAGE(F165:H165),"")</f>
        <v/>
      </c>
      <c r="W165" s="66" t="str">
        <f aca="false">IF(SUM(F165:H165)&gt;0, ( IF(F165&gt;0,(F165-V165)^2,0) + IF(G165&gt;0,(G165-V165)^2,0) + IF(H165&gt;0,(H165-V165)^2,0) ) / COUNT(F165:H165),"")</f>
        <v/>
      </c>
      <c r="X165" s="63" t="str">
        <f aca="false">IF(SUM(F165:H165)&gt;0,SQRT(W165),"")</f>
        <v/>
      </c>
      <c r="Y165" s="63" t="str">
        <f aca="false">IF(COUNT(F165:H165)&gt;0,VLOOKUP(COUNT(F165:H165),$AX$2:$AZ$5,3)*(X165/SQRT(COUNT(F165:H165))),"")</f>
        <v/>
      </c>
      <c r="Z165" s="63" t="str">
        <f aca="false">IF(COUNT(F165:H165)&gt;0,V165-Y165,"")</f>
        <v/>
      </c>
      <c r="AA165" s="63" t="str">
        <f aca="false">IF(COUNT(F165:H165)&gt;0,V165+Y165,"")</f>
        <v/>
      </c>
      <c r="AB165" s="64" t="str">
        <f aca="false">IF(COUNT(F165:H165)&gt;0,X165/V165,"")</f>
        <v/>
      </c>
      <c r="AC165" s="26"/>
      <c r="AD165" s="65" t="str">
        <f aca="false">IF(SUM(I165:K165)&gt;0,AVERAGE(I165:K165),"")</f>
        <v/>
      </c>
      <c r="AE165" s="66" t="str">
        <f aca="false">IF(SUM(I165:K165)&gt;0, ( IF(I165&gt;0,(I165-AD165)^2,0) + IF(J165&gt;0,(J165-AD165)^2,0) + IF(K165&gt;0,(K165-AD165)^2,0) ) / COUNT(I165:K165),"")</f>
        <v/>
      </c>
      <c r="AF165" s="63" t="str">
        <f aca="false">IF(SUM(I165:K165)&gt;0,SQRT(AE165),"")</f>
        <v/>
      </c>
      <c r="AG165" s="63" t="str">
        <f aca="false">IF(COUNT(I165:K165)&gt;0,VLOOKUP(COUNT(I165:K165),$AX$2:$AZ$5,3)*(AF165/SQRT(COUNT(I165:K165))),"")</f>
        <v/>
      </c>
      <c r="AH165" s="63" t="str">
        <f aca="false">IF(COUNT(I165:K165)&gt;0,AD165-AG165,"")</f>
        <v/>
      </c>
      <c r="AI165" s="63" t="str">
        <f aca="false">IF(COUNT(I165:K165)&gt;0,AD165+AG165,"")</f>
        <v/>
      </c>
      <c r="AJ165" s="64" t="str">
        <f aca="false">IF(COUNT(I165:K165)&gt;0,AF165/AD165,"")</f>
        <v/>
      </c>
      <c r="AK165" s="65" t="str">
        <f aca="false">IF(SUM(L165:N165)&gt;0,AVERAGE(L165:N165),"")</f>
        <v/>
      </c>
      <c r="AL165" s="66" t="str">
        <f aca="false">IF(SUM(L165:N165)&gt;0, ( IF(L165&gt;0,(L165-AK165)^2,0) + IF(M165&gt;0,(M165-AK165)^2,0) + IF(N165&gt;0,(N165-AK165)^2,0) ) / COUNT(L165:N165),"")</f>
        <v/>
      </c>
      <c r="AM165" s="63" t="str">
        <f aca="false">IF(SUM(L165:N165)&gt;0,SQRT(AL165),"")</f>
        <v/>
      </c>
      <c r="AN165" s="63" t="str">
        <f aca="false">IF(COUNT(L165:N165)&gt;0,VLOOKUP(COUNT(L165:N165),$AX$2:$AZ$5,3)*(AM165/SQRT(COUNT(L165:N165))),"")</f>
        <v/>
      </c>
      <c r="AO165" s="63" t="str">
        <f aca="false">IF(COUNT(L165:N165)&gt;0,AK165-AN165,"")</f>
        <v/>
      </c>
      <c r="AP165" s="63" t="str">
        <f aca="false">IF(COUNT(L165:N165)&gt;0,AK165+AN165,"")</f>
        <v/>
      </c>
      <c r="AQ165" s="64" t="str">
        <f aca="false">IF(COUNT(L165:N165)&gt;0,AM165/AK165,"")</f>
        <v/>
      </c>
    </row>
    <row r="166" customFormat="false" ht="12.8" hidden="false" customHeight="false" outlineLevel="0" collapsed="false">
      <c r="A166" s="56" t="s">
        <v>49</v>
      </c>
      <c r="B166" s="57" t="n">
        <v>15</v>
      </c>
      <c r="C166" s="56" t="n">
        <v>587</v>
      </c>
      <c r="D166" s="25" t="n">
        <v>625</v>
      </c>
      <c r="E166" s="57" t="n">
        <v>591</v>
      </c>
      <c r="F166" s="58"/>
      <c r="H166" s="59"/>
      <c r="I166" s="56"/>
      <c r="K166" s="57"/>
      <c r="L166" s="56"/>
      <c r="N166" s="57"/>
      <c r="O166" s="65" t="n">
        <f aca="false">IF(SUM(C166:E166)&gt;0,AVERAGE(C166:E166),"")</f>
        <v>601</v>
      </c>
      <c r="P166" s="66" t="n">
        <f aca="false">IF(SUM(C166:E166)&gt;0, ( IF(C166&gt;0,(C166-O166)^2,0) + IF(D166&gt;0,(D166-O166)^2,0) + IF(E166&gt;0,(E166-O166)^2,0) ) / COUNT(C166:E166),"")</f>
        <v>290.666666666667</v>
      </c>
      <c r="Q166" s="63" t="n">
        <f aca="false">IF(SUM(C166:E166)&gt;0,SQRT(P166),"")</f>
        <v>17.0489491367259</v>
      </c>
      <c r="R166" s="63" t="n">
        <f aca="false">IF(COUNT(C166:E166)&gt;0,VLOOKUP(COUNT(C166:E166),$AX$2:$AZ$5,3)*(Q166/SQRT(COUNT(C166:E166))),"")</f>
        <v>42.3553557521229</v>
      </c>
      <c r="S166" s="63" t="n">
        <f aca="false">IF(COUNT(C166:E166)&gt;0,O166-R166,"")</f>
        <v>558.644644247877</v>
      </c>
      <c r="T166" s="63" t="n">
        <f aca="false">IF(COUNT(C166:E166)&gt;0,O166+R166,"")</f>
        <v>643.355355752123</v>
      </c>
      <c r="U166" s="64" t="n">
        <f aca="false">IF(COUNT(C166:E166)&gt;0,Q166/O166,"")</f>
        <v>0.0283676358348185</v>
      </c>
      <c r="V166" s="65" t="str">
        <f aca="false">IF(SUM(F166:H166)&gt;0,AVERAGE(F166:H166),"")</f>
        <v/>
      </c>
      <c r="W166" s="66" t="str">
        <f aca="false">IF(SUM(F166:H166)&gt;0, ( IF(F166&gt;0,(F166-V166)^2,0) + IF(G166&gt;0,(G166-V166)^2,0) + IF(H166&gt;0,(H166-V166)^2,0) ) / COUNT(F166:H166),"")</f>
        <v/>
      </c>
      <c r="X166" s="63" t="str">
        <f aca="false">IF(SUM(F166:H166)&gt;0,SQRT(W166),"")</f>
        <v/>
      </c>
      <c r="Y166" s="63" t="str">
        <f aca="false">IF(COUNT(F166:H166)&gt;0,VLOOKUP(COUNT(F166:H166),$AX$2:$AZ$5,3)*(X166/SQRT(COUNT(F166:H166))),"")</f>
        <v/>
      </c>
      <c r="Z166" s="63" t="str">
        <f aca="false">IF(COUNT(F166:H166)&gt;0,V166-Y166,"")</f>
        <v/>
      </c>
      <c r="AA166" s="63" t="str">
        <f aca="false">IF(COUNT(F166:H166)&gt;0,V166+Y166,"")</f>
        <v/>
      </c>
      <c r="AB166" s="64" t="str">
        <f aca="false">IF(COUNT(F166:H166)&gt;0,X166/V166,"")</f>
        <v/>
      </c>
      <c r="AC166" s="26"/>
      <c r="AD166" s="65" t="str">
        <f aca="false">IF(SUM(I166:K166)&gt;0,AVERAGE(I166:K166),"")</f>
        <v/>
      </c>
      <c r="AE166" s="66" t="str">
        <f aca="false">IF(SUM(I166:K166)&gt;0, ( IF(I166&gt;0,(I166-AD166)^2,0) + IF(J166&gt;0,(J166-AD166)^2,0) + IF(K166&gt;0,(K166-AD166)^2,0) ) / COUNT(I166:K166),"")</f>
        <v/>
      </c>
      <c r="AF166" s="63" t="str">
        <f aca="false">IF(SUM(I166:K166)&gt;0,SQRT(AE166),"")</f>
        <v/>
      </c>
      <c r="AG166" s="63" t="str">
        <f aca="false">IF(COUNT(I166:K166)&gt;0,VLOOKUP(COUNT(I166:K166),$AX$2:$AZ$5,3)*(AF166/SQRT(COUNT(I166:K166))),"")</f>
        <v/>
      </c>
      <c r="AH166" s="63" t="str">
        <f aca="false">IF(COUNT(I166:K166)&gt;0,AD166-AG166,"")</f>
        <v/>
      </c>
      <c r="AI166" s="63" t="str">
        <f aca="false">IF(COUNT(I166:K166)&gt;0,AD166+AG166,"")</f>
        <v/>
      </c>
      <c r="AJ166" s="64" t="str">
        <f aca="false">IF(COUNT(I166:K166)&gt;0,AF166/AD166,"")</f>
        <v/>
      </c>
      <c r="AK166" s="65" t="str">
        <f aca="false">IF(SUM(L166:N166)&gt;0,AVERAGE(L166:N166),"")</f>
        <v/>
      </c>
      <c r="AL166" s="66" t="str">
        <f aca="false">IF(SUM(L166:N166)&gt;0, ( IF(L166&gt;0,(L166-AK166)^2,0) + IF(M166&gt;0,(M166-AK166)^2,0) + IF(N166&gt;0,(N166-AK166)^2,0) ) / COUNT(L166:N166),"")</f>
        <v/>
      </c>
      <c r="AM166" s="63" t="str">
        <f aca="false">IF(SUM(L166:N166)&gt;0,SQRT(AL166),"")</f>
        <v/>
      </c>
      <c r="AN166" s="63" t="str">
        <f aca="false">IF(COUNT(L166:N166)&gt;0,VLOOKUP(COUNT(L166:N166),$AX$2:$AZ$5,3)*(AM166/SQRT(COUNT(L166:N166))),"")</f>
        <v/>
      </c>
      <c r="AO166" s="63" t="str">
        <f aca="false">IF(COUNT(L166:N166)&gt;0,AK166-AN166,"")</f>
        <v/>
      </c>
      <c r="AP166" s="63" t="str">
        <f aca="false">IF(COUNT(L166:N166)&gt;0,AK166+AN166,"")</f>
        <v/>
      </c>
      <c r="AQ166" s="64" t="str">
        <f aca="false">IF(COUNT(L166:N166)&gt;0,AM166/AK166,"")</f>
        <v/>
      </c>
    </row>
    <row r="167" customFormat="false" ht="12.8" hidden="false" customHeight="false" outlineLevel="0" collapsed="false">
      <c r="A167" s="56" t="s">
        <v>49</v>
      </c>
      <c r="B167" s="57" t="n">
        <v>20</v>
      </c>
      <c r="C167" s="56" t="n">
        <v>449</v>
      </c>
      <c r="D167" s="25" t="n">
        <v>490</v>
      </c>
      <c r="E167" s="57" t="n">
        <v>530</v>
      </c>
      <c r="F167" s="58"/>
      <c r="H167" s="59"/>
      <c r="I167" s="56"/>
      <c r="K167" s="57"/>
      <c r="L167" s="56"/>
      <c r="N167" s="57"/>
      <c r="O167" s="65" t="n">
        <f aca="false">IF(SUM(C167:E167)&gt;0,AVERAGE(C167:E167),"")</f>
        <v>489.666666666667</v>
      </c>
      <c r="P167" s="66" t="n">
        <f aca="false">IF(SUM(C167:E167)&gt;0, ( IF(C167&gt;0,(C167-O167)^2,0) + IF(D167&gt;0,(D167-O167)^2,0) + IF(E167&gt;0,(E167-O167)^2,0) ) / COUNT(C167:E167),"")</f>
        <v>1093.55555555556</v>
      </c>
      <c r="Q167" s="63" t="n">
        <f aca="false">IF(SUM(C167:E167)&gt;0,SQRT(P167),"")</f>
        <v>33.0689515339624</v>
      </c>
      <c r="R167" s="63" t="n">
        <f aca="false">IF(COUNT(C167:E167)&gt;0,VLOOKUP(COUNT(C167:E167),$AX$2:$AZ$5,3)*(Q167/SQRT(COUNT(C167:E167))),"")</f>
        <v>82.154459805003</v>
      </c>
      <c r="S167" s="63" t="n">
        <f aca="false">IF(COUNT(C167:E167)&gt;0,O167-R167,"")</f>
        <v>407.512206861664</v>
      </c>
      <c r="T167" s="63" t="n">
        <f aca="false">IF(COUNT(C167:E167)&gt;0,O167+R167,"")</f>
        <v>571.82112647167</v>
      </c>
      <c r="U167" s="64" t="n">
        <f aca="false">IF(COUNT(C167:E167)&gt;0,Q167/O167,"")</f>
        <v>0.067533597414491</v>
      </c>
      <c r="V167" s="65" t="str">
        <f aca="false">IF(SUM(F167:H167)&gt;0,AVERAGE(F167:H167),"")</f>
        <v/>
      </c>
      <c r="W167" s="66" t="str">
        <f aca="false">IF(SUM(F167:H167)&gt;0, ( IF(F167&gt;0,(F167-V167)^2,0) + IF(G167&gt;0,(G167-V167)^2,0) + IF(H167&gt;0,(H167-V167)^2,0) ) / COUNT(F167:H167),"")</f>
        <v/>
      </c>
      <c r="X167" s="63" t="str">
        <f aca="false">IF(SUM(F167:H167)&gt;0,SQRT(W167),"")</f>
        <v/>
      </c>
      <c r="Y167" s="63" t="str">
        <f aca="false">IF(COUNT(F167:H167)&gt;0,VLOOKUP(COUNT(F167:H167),$AX$2:$AZ$5,3)*(X167/SQRT(COUNT(F167:H167))),"")</f>
        <v/>
      </c>
      <c r="Z167" s="63" t="str">
        <f aca="false">IF(COUNT(F167:H167)&gt;0,V167-Y167,"")</f>
        <v/>
      </c>
      <c r="AA167" s="63" t="str">
        <f aca="false">IF(COUNT(F167:H167)&gt;0,V167+Y167,"")</f>
        <v/>
      </c>
      <c r="AB167" s="64" t="str">
        <f aca="false">IF(COUNT(F167:H167)&gt;0,X167/V167,"")</f>
        <v/>
      </c>
      <c r="AC167" s="26"/>
      <c r="AD167" s="65" t="str">
        <f aca="false">IF(SUM(I167:K167)&gt;0,AVERAGE(I167:K167),"")</f>
        <v/>
      </c>
      <c r="AE167" s="66" t="str">
        <f aca="false">IF(SUM(I167:K167)&gt;0, ( IF(I167&gt;0,(I167-AD167)^2,0) + IF(J167&gt;0,(J167-AD167)^2,0) + IF(K167&gt;0,(K167-AD167)^2,0) ) / COUNT(I167:K167),"")</f>
        <v/>
      </c>
      <c r="AF167" s="63" t="str">
        <f aca="false">IF(SUM(I167:K167)&gt;0,SQRT(AE167),"")</f>
        <v/>
      </c>
      <c r="AG167" s="63" t="str">
        <f aca="false">IF(COUNT(I167:K167)&gt;0,VLOOKUP(COUNT(I167:K167),$AX$2:$AZ$5,3)*(AF167/SQRT(COUNT(I167:K167))),"")</f>
        <v/>
      </c>
      <c r="AH167" s="63" t="str">
        <f aca="false">IF(COUNT(I167:K167)&gt;0,AD167-AG167,"")</f>
        <v/>
      </c>
      <c r="AI167" s="63" t="str">
        <f aca="false">IF(COUNT(I167:K167)&gt;0,AD167+AG167,"")</f>
        <v/>
      </c>
      <c r="AJ167" s="64" t="str">
        <f aca="false">IF(COUNT(I167:K167)&gt;0,AF167/AD167,"")</f>
        <v/>
      </c>
      <c r="AK167" s="65" t="str">
        <f aca="false">IF(SUM(L167:N167)&gt;0,AVERAGE(L167:N167),"")</f>
        <v/>
      </c>
      <c r="AL167" s="66" t="str">
        <f aca="false">IF(SUM(L167:N167)&gt;0, ( IF(L167&gt;0,(L167-AK167)^2,0) + IF(M167&gt;0,(M167-AK167)^2,0) + IF(N167&gt;0,(N167-AK167)^2,0) ) / COUNT(L167:N167),"")</f>
        <v/>
      </c>
      <c r="AM167" s="63" t="str">
        <f aca="false">IF(SUM(L167:N167)&gt;0,SQRT(AL167),"")</f>
        <v/>
      </c>
      <c r="AN167" s="63" t="str">
        <f aca="false">IF(COUNT(L167:N167)&gt;0,VLOOKUP(COUNT(L167:N167),$AX$2:$AZ$5,3)*(AM167/SQRT(COUNT(L167:N167))),"")</f>
        <v/>
      </c>
      <c r="AO167" s="63" t="str">
        <f aca="false">IF(COUNT(L167:N167)&gt;0,AK167-AN167,"")</f>
        <v/>
      </c>
      <c r="AP167" s="63" t="str">
        <f aca="false">IF(COUNT(L167:N167)&gt;0,AK167+AN167,"")</f>
        <v/>
      </c>
      <c r="AQ167" s="64" t="str">
        <f aca="false">IF(COUNT(L167:N167)&gt;0,AM167/AK167,"")</f>
        <v/>
      </c>
    </row>
    <row r="168" customFormat="false" ht="12.8" hidden="false" customHeight="false" outlineLevel="0" collapsed="false">
      <c r="A168" s="56" t="s">
        <v>49</v>
      </c>
      <c r="B168" s="57" t="n">
        <v>30</v>
      </c>
      <c r="C168" s="56" t="n">
        <v>356</v>
      </c>
      <c r="D168" s="25" t="n">
        <v>314</v>
      </c>
      <c r="E168" s="57" t="n">
        <v>444</v>
      </c>
      <c r="F168" s="58"/>
      <c r="H168" s="59"/>
      <c r="I168" s="56"/>
      <c r="K168" s="57"/>
      <c r="L168" s="56"/>
      <c r="N168" s="57"/>
      <c r="O168" s="65" t="n">
        <f aca="false">IF(SUM(C168:E168)&gt;0,AVERAGE(C168:E168),"")</f>
        <v>371.333333333333</v>
      </c>
      <c r="P168" s="66" t="n">
        <f aca="false">IF(SUM(C168:E168)&gt;0, ( IF(C168&gt;0,(C168-O168)^2,0) + IF(D168&gt;0,(D168-O168)^2,0) + IF(E168&gt;0,(E168-O168)^2,0) ) / COUNT(C168:E168),"")</f>
        <v>2934.22222222222</v>
      </c>
      <c r="Q168" s="63" t="n">
        <f aca="false">IF(SUM(C168:E168)&gt;0,SQRT(P168),"")</f>
        <v>54.168461508725</v>
      </c>
      <c r="R168" s="63" t="n">
        <f aca="false">IF(COUNT(C168:E168)&gt;0,VLOOKUP(COUNT(C168:E168),$AX$2:$AZ$5,3)*(Q168/SQRT(COUNT(C168:E168))),"")</f>
        <v>134.572778612197</v>
      </c>
      <c r="S168" s="63" t="n">
        <f aca="false">IF(COUNT(C168:E168)&gt;0,O168-R168,"")</f>
        <v>236.760554721136</v>
      </c>
      <c r="T168" s="63" t="n">
        <f aca="false">IF(COUNT(C168:E168)&gt;0,O168+R168,"")</f>
        <v>505.90611194553</v>
      </c>
      <c r="U168" s="64" t="n">
        <f aca="false">IF(COUNT(C168:E168)&gt;0,Q168/O168,"")</f>
        <v>0.145875569592617</v>
      </c>
      <c r="V168" s="65" t="str">
        <f aca="false">IF(SUM(F168:H168)&gt;0,AVERAGE(F168:H168),"")</f>
        <v/>
      </c>
      <c r="W168" s="66" t="str">
        <f aca="false">IF(SUM(F168:H168)&gt;0, ( IF(F168&gt;0,(F168-V168)^2,0) + IF(G168&gt;0,(G168-V168)^2,0) + IF(H168&gt;0,(H168-V168)^2,0) ) / COUNT(F168:H168),"")</f>
        <v/>
      </c>
      <c r="X168" s="63" t="str">
        <f aca="false">IF(SUM(F168:H168)&gt;0,SQRT(W168),"")</f>
        <v/>
      </c>
      <c r="Y168" s="63" t="str">
        <f aca="false">IF(COUNT(F168:H168)&gt;0,VLOOKUP(COUNT(F168:H168),$AX$2:$AZ$5,3)*(X168/SQRT(COUNT(F168:H168))),"")</f>
        <v/>
      </c>
      <c r="Z168" s="63" t="str">
        <f aca="false">IF(COUNT(F168:H168)&gt;0,V168-Y168,"")</f>
        <v/>
      </c>
      <c r="AA168" s="63" t="str">
        <f aca="false">IF(COUNT(F168:H168)&gt;0,V168+Y168,"")</f>
        <v/>
      </c>
      <c r="AB168" s="64" t="str">
        <f aca="false">IF(COUNT(F168:H168)&gt;0,X168/V168,"")</f>
        <v/>
      </c>
      <c r="AC168" s="26"/>
      <c r="AD168" s="65" t="str">
        <f aca="false">IF(SUM(I168:K168)&gt;0,AVERAGE(I168:K168),"")</f>
        <v/>
      </c>
      <c r="AE168" s="66" t="str">
        <f aca="false">IF(SUM(I168:K168)&gt;0, ( IF(I168&gt;0,(I168-AD168)^2,0) + IF(J168&gt;0,(J168-AD168)^2,0) + IF(K168&gt;0,(K168-AD168)^2,0) ) / COUNT(I168:K168),"")</f>
        <v/>
      </c>
      <c r="AF168" s="63" t="str">
        <f aca="false">IF(SUM(I168:K168)&gt;0,SQRT(AE168),"")</f>
        <v/>
      </c>
      <c r="AG168" s="63" t="str">
        <f aca="false">IF(COUNT(I168:K168)&gt;0,VLOOKUP(COUNT(I168:K168),$AX$2:$AZ$5,3)*(AF168/SQRT(COUNT(I168:K168))),"")</f>
        <v/>
      </c>
      <c r="AH168" s="63" t="str">
        <f aca="false">IF(COUNT(I168:K168)&gt;0,AD168-AG168,"")</f>
        <v/>
      </c>
      <c r="AI168" s="63" t="str">
        <f aca="false">IF(COUNT(I168:K168)&gt;0,AD168+AG168,"")</f>
        <v/>
      </c>
      <c r="AJ168" s="64" t="str">
        <f aca="false">IF(COUNT(I168:K168)&gt;0,AF168/AD168,"")</f>
        <v/>
      </c>
      <c r="AK168" s="65" t="str">
        <f aca="false">IF(SUM(L168:N168)&gt;0,AVERAGE(L168:N168),"")</f>
        <v/>
      </c>
      <c r="AL168" s="66" t="str">
        <f aca="false">IF(SUM(L168:N168)&gt;0, ( IF(L168&gt;0,(L168-AK168)^2,0) + IF(M168&gt;0,(M168-AK168)^2,0) + IF(N168&gt;0,(N168-AK168)^2,0) ) / COUNT(L168:N168),"")</f>
        <v/>
      </c>
      <c r="AM168" s="63" t="str">
        <f aca="false">IF(SUM(L168:N168)&gt;0,SQRT(AL168),"")</f>
        <v/>
      </c>
      <c r="AN168" s="63" t="str">
        <f aca="false">IF(COUNT(L168:N168)&gt;0,VLOOKUP(COUNT(L168:N168),$AX$2:$AZ$5,3)*(AM168/SQRT(COUNT(L168:N168))),"")</f>
        <v/>
      </c>
      <c r="AO168" s="63" t="str">
        <f aca="false">IF(COUNT(L168:N168)&gt;0,AK168-AN168,"")</f>
        <v/>
      </c>
      <c r="AP168" s="63" t="str">
        <f aca="false">IF(COUNT(L168:N168)&gt;0,AK168+AN168,"")</f>
        <v/>
      </c>
      <c r="AQ168" s="64" t="str">
        <f aca="false">IF(COUNT(L168:N168)&gt;0,AM168/AK168,"")</f>
        <v/>
      </c>
    </row>
    <row r="169" customFormat="false" ht="12.8" hidden="false" customHeight="false" outlineLevel="0" collapsed="false">
      <c r="A169" s="56" t="s">
        <v>49</v>
      </c>
      <c r="B169" s="57" t="n">
        <v>40</v>
      </c>
      <c r="C169" s="56" t="n">
        <v>286</v>
      </c>
      <c r="D169" s="25" t="n">
        <v>272</v>
      </c>
      <c r="E169" s="57" t="n">
        <v>237</v>
      </c>
      <c r="F169" s="58"/>
      <c r="H169" s="59"/>
      <c r="I169" s="56"/>
      <c r="K169" s="57"/>
      <c r="L169" s="56"/>
      <c r="N169" s="57"/>
      <c r="O169" s="65" t="n">
        <f aca="false">IF(SUM(C169:E169)&gt;0,AVERAGE(C169:E169),"")</f>
        <v>265</v>
      </c>
      <c r="P169" s="66" t="n">
        <f aca="false">IF(SUM(C169:E169)&gt;0, ( IF(C169&gt;0,(C169-O169)^2,0) + IF(D169&gt;0,(D169-O169)^2,0) + IF(E169&gt;0,(E169-O169)^2,0) ) / COUNT(C169:E169),"")</f>
        <v>424.666666666667</v>
      </c>
      <c r="Q169" s="63" t="n">
        <f aca="false">IF(SUM(C169:E169)&gt;0,SQRT(P169),"")</f>
        <v>20.6074420214316</v>
      </c>
      <c r="R169" s="63" t="n">
        <f aca="false">IF(COUNT(C169:E169)&gt;0,VLOOKUP(COUNT(C169:E169),$AX$2:$AZ$5,3)*(Q169/SQRT(COUNT(C169:E169))),"")</f>
        <v>51.1958555896428</v>
      </c>
      <c r="S169" s="63" t="n">
        <f aca="false">IF(COUNT(C169:E169)&gt;0,O169-R169,"")</f>
        <v>213.804144410357</v>
      </c>
      <c r="T169" s="63" t="n">
        <f aca="false">IF(COUNT(C169:E169)&gt;0,O169+R169,"")</f>
        <v>316.195855589643</v>
      </c>
      <c r="U169" s="64" t="n">
        <f aca="false">IF(COUNT(C169:E169)&gt;0,Q169/O169,"")</f>
        <v>0.0777639321563458</v>
      </c>
      <c r="V169" s="65" t="str">
        <f aca="false">IF(SUM(F169:H169)&gt;0,AVERAGE(F169:H169),"")</f>
        <v/>
      </c>
      <c r="W169" s="66" t="str">
        <f aca="false">IF(SUM(F169:H169)&gt;0, ( IF(F169&gt;0,(F169-V169)^2,0) + IF(G169&gt;0,(G169-V169)^2,0) + IF(H169&gt;0,(H169-V169)^2,0) ) / COUNT(F169:H169),"")</f>
        <v/>
      </c>
      <c r="X169" s="63" t="str">
        <f aca="false">IF(SUM(F169:H169)&gt;0,SQRT(W169),"")</f>
        <v/>
      </c>
      <c r="Y169" s="63" t="str">
        <f aca="false">IF(COUNT(F169:H169)&gt;0,VLOOKUP(COUNT(F169:H169),$AX$2:$AZ$5,3)*(X169/SQRT(COUNT(F169:H169))),"")</f>
        <v/>
      </c>
      <c r="Z169" s="63" t="str">
        <f aca="false">IF(COUNT(F169:H169)&gt;0,V169-Y169,"")</f>
        <v/>
      </c>
      <c r="AA169" s="63" t="str">
        <f aca="false">IF(COUNT(F169:H169)&gt;0,V169+Y169,"")</f>
        <v/>
      </c>
      <c r="AB169" s="64" t="str">
        <f aca="false">IF(COUNT(F169:H169)&gt;0,X169/V169,"")</f>
        <v/>
      </c>
      <c r="AC169" s="26"/>
      <c r="AD169" s="65" t="str">
        <f aca="false">IF(SUM(I169:K169)&gt;0,AVERAGE(I169:K169),"")</f>
        <v/>
      </c>
      <c r="AE169" s="66" t="str">
        <f aca="false">IF(SUM(I169:K169)&gt;0, ( IF(I169&gt;0,(I169-AD169)^2,0) + IF(J169&gt;0,(J169-AD169)^2,0) + IF(K169&gt;0,(K169-AD169)^2,0) ) / COUNT(I169:K169),"")</f>
        <v/>
      </c>
      <c r="AF169" s="63" t="str">
        <f aca="false">IF(SUM(I169:K169)&gt;0,SQRT(AE169),"")</f>
        <v/>
      </c>
      <c r="AG169" s="63" t="str">
        <f aca="false">IF(COUNT(I169:K169)&gt;0,VLOOKUP(COUNT(I169:K169),$AX$2:$AZ$5,3)*(AF169/SQRT(COUNT(I169:K169))),"")</f>
        <v/>
      </c>
      <c r="AH169" s="63" t="str">
        <f aca="false">IF(COUNT(I169:K169)&gt;0,AD169-AG169,"")</f>
        <v/>
      </c>
      <c r="AI169" s="63" t="str">
        <f aca="false">IF(COUNT(I169:K169)&gt;0,AD169+AG169,"")</f>
        <v/>
      </c>
      <c r="AJ169" s="64" t="str">
        <f aca="false">IF(COUNT(I169:K169)&gt;0,AF169/AD169,"")</f>
        <v/>
      </c>
      <c r="AK169" s="65" t="str">
        <f aca="false">IF(SUM(L169:N169)&gt;0,AVERAGE(L169:N169),"")</f>
        <v/>
      </c>
      <c r="AL169" s="66" t="str">
        <f aca="false">IF(SUM(L169:N169)&gt;0, ( IF(L169&gt;0,(L169-AK169)^2,0) + IF(M169&gt;0,(M169-AK169)^2,0) + IF(N169&gt;0,(N169-AK169)^2,0) ) / COUNT(L169:N169),"")</f>
        <v/>
      </c>
      <c r="AM169" s="63" t="str">
        <f aca="false">IF(SUM(L169:N169)&gt;0,SQRT(AL169),"")</f>
        <v/>
      </c>
      <c r="AN169" s="63" t="str">
        <f aca="false">IF(COUNT(L169:N169)&gt;0,VLOOKUP(COUNT(L169:N169),$AX$2:$AZ$5,3)*(AM169/SQRT(COUNT(L169:N169))),"")</f>
        <v/>
      </c>
      <c r="AO169" s="63" t="str">
        <f aca="false">IF(COUNT(L169:N169)&gt;0,AK169-AN169,"")</f>
        <v/>
      </c>
      <c r="AP169" s="63" t="str">
        <f aca="false">IF(COUNT(L169:N169)&gt;0,AK169+AN169,"")</f>
        <v/>
      </c>
      <c r="AQ169" s="64" t="str">
        <f aca="false">IF(COUNT(L169:N169)&gt;0,AM169/AK169,"")</f>
        <v/>
      </c>
    </row>
    <row r="170" customFormat="false" ht="12.8" hidden="false" customHeight="false" outlineLevel="0" collapsed="false">
      <c r="A170" s="56" t="s">
        <v>49</v>
      </c>
      <c r="B170" s="57" t="n">
        <v>50</v>
      </c>
      <c r="C170" s="56"/>
      <c r="D170" s="25" t="n">
        <v>241</v>
      </c>
      <c r="E170" s="57" t="n">
        <v>290</v>
      </c>
      <c r="F170" s="58"/>
      <c r="H170" s="59"/>
      <c r="I170" s="56"/>
      <c r="K170" s="57"/>
      <c r="L170" s="56"/>
      <c r="N170" s="57"/>
      <c r="O170" s="65" t="n">
        <f aca="false">IF(SUM(C170:E170)&gt;0,AVERAGE(C170:E170),"")</f>
        <v>265.5</v>
      </c>
      <c r="P170" s="66" t="n">
        <f aca="false">IF(SUM(C170:E170)&gt;0, ( IF(C170&gt;0,(C170-O170)^2,0) + IF(D170&gt;0,(D170-O170)^2,0) + IF(E170&gt;0,(E170-O170)^2,0) ) / COUNT(C170:E170),"")</f>
        <v>600.25</v>
      </c>
      <c r="Q170" s="63" t="n">
        <f aca="false">IF(SUM(C170:E170)&gt;0,SQRT(P170),"")</f>
        <v>24.5</v>
      </c>
      <c r="R170" s="63" t="n">
        <f aca="false">IF(COUNT(C170:E170)&gt;0,VLOOKUP(COUNT(C170:E170),$AX$2:$AZ$5,3)*(Q170/SQRT(COUNT(C170:E170))),"")</f>
        <v>220.120219663029</v>
      </c>
      <c r="S170" s="63" t="n">
        <f aca="false">IF(COUNT(C170:E170)&gt;0,O170-R170,"")</f>
        <v>45.3797803369714</v>
      </c>
      <c r="T170" s="63" t="n">
        <f aca="false">IF(COUNT(C170:E170)&gt;0,O170+R170,"")</f>
        <v>485.620219663029</v>
      </c>
      <c r="U170" s="64" t="n">
        <f aca="false">IF(COUNT(C170:E170)&gt;0,Q170/O170,"")</f>
        <v>0.0922787193973635</v>
      </c>
      <c r="V170" s="65" t="str">
        <f aca="false">IF(SUM(F170:H170)&gt;0,AVERAGE(F170:H170),"")</f>
        <v/>
      </c>
      <c r="W170" s="66" t="str">
        <f aca="false">IF(SUM(F170:H170)&gt;0, ( IF(F170&gt;0,(F170-V170)^2,0) + IF(G170&gt;0,(G170-V170)^2,0) + IF(H170&gt;0,(H170-V170)^2,0) ) / COUNT(F170:H170),"")</f>
        <v/>
      </c>
      <c r="X170" s="63" t="str">
        <f aca="false">IF(SUM(F170:H170)&gt;0,SQRT(W170),"")</f>
        <v/>
      </c>
      <c r="Y170" s="63" t="str">
        <f aca="false">IF(COUNT(F170:H170)&gt;0,VLOOKUP(COUNT(F170:H170),$AX$2:$AZ$5,3)*(X170/SQRT(COUNT(F170:H170))),"")</f>
        <v/>
      </c>
      <c r="Z170" s="63" t="str">
        <f aca="false">IF(COUNT(F170:H170)&gt;0,V170-Y170,"")</f>
        <v/>
      </c>
      <c r="AA170" s="63" t="str">
        <f aca="false">IF(COUNT(F170:H170)&gt;0,V170+Y170,"")</f>
        <v/>
      </c>
      <c r="AB170" s="64" t="str">
        <f aca="false">IF(COUNT(F170:H170)&gt;0,X170/V170,"")</f>
        <v/>
      </c>
      <c r="AC170" s="26"/>
      <c r="AD170" s="65" t="str">
        <f aca="false">IF(SUM(I170:K170)&gt;0,AVERAGE(I170:K170),"")</f>
        <v/>
      </c>
      <c r="AE170" s="66" t="str">
        <f aca="false">IF(SUM(I170:K170)&gt;0, ( IF(I170&gt;0,(I170-AD170)^2,0) + IF(J170&gt;0,(J170-AD170)^2,0) + IF(K170&gt;0,(K170-AD170)^2,0) ) / COUNT(I170:K170),"")</f>
        <v/>
      </c>
      <c r="AF170" s="63" t="str">
        <f aca="false">IF(SUM(I170:K170)&gt;0,SQRT(AE170),"")</f>
        <v/>
      </c>
      <c r="AG170" s="63" t="str">
        <f aca="false">IF(COUNT(I170:K170)&gt;0,VLOOKUP(COUNT(I170:K170),$AX$2:$AZ$5,3)*(AF170/SQRT(COUNT(I170:K170))),"")</f>
        <v/>
      </c>
      <c r="AH170" s="63" t="str">
        <f aca="false">IF(COUNT(I170:K170)&gt;0,AD170-AG170,"")</f>
        <v/>
      </c>
      <c r="AI170" s="63" t="str">
        <f aca="false">IF(COUNT(I170:K170)&gt;0,AD170+AG170,"")</f>
        <v/>
      </c>
      <c r="AJ170" s="64" t="str">
        <f aca="false">IF(COUNT(I170:K170)&gt;0,AF170/AD170,"")</f>
        <v/>
      </c>
      <c r="AK170" s="65" t="str">
        <f aca="false">IF(SUM(L170:N170)&gt;0,AVERAGE(L170:N170),"")</f>
        <v/>
      </c>
      <c r="AL170" s="66" t="str">
        <f aca="false">IF(SUM(L170:N170)&gt;0, ( IF(L170&gt;0,(L170-AK170)^2,0) + IF(M170&gt;0,(M170-AK170)^2,0) + IF(N170&gt;0,(N170-AK170)^2,0) ) / COUNT(L170:N170),"")</f>
        <v/>
      </c>
      <c r="AM170" s="63" t="str">
        <f aca="false">IF(SUM(L170:N170)&gt;0,SQRT(AL170),"")</f>
        <v/>
      </c>
      <c r="AN170" s="63" t="str">
        <f aca="false">IF(COUNT(L170:N170)&gt;0,VLOOKUP(COUNT(L170:N170),$AX$2:$AZ$5,3)*(AM170/SQRT(COUNT(L170:N170))),"")</f>
        <v/>
      </c>
      <c r="AO170" s="63" t="str">
        <f aca="false">IF(COUNT(L170:N170)&gt;0,AK170-AN170,"")</f>
        <v/>
      </c>
      <c r="AP170" s="63" t="str">
        <f aca="false">IF(COUNT(L170:N170)&gt;0,AK170+AN170,"")</f>
        <v/>
      </c>
      <c r="AQ170" s="64" t="str">
        <f aca="false">IF(COUNT(L170:N170)&gt;0,AM170/AK170,"")</f>
        <v/>
      </c>
    </row>
    <row r="171" customFormat="false" ht="12.8" hidden="false" customHeight="false" outlineLevel="0" collapsed="false">
      <c r="A171" s="56" t="s">
        <v>49</v>
      </c>
      <c r="B171" s="57" t="n">
        <v>64</v>
      </c>
      <c r="C171" s="56" t="n">
        <v>215</v>
      </c>
      <c r="D171" s="25" t="n">
        <v>194</v>
      </c>
      <c r="E171" s="57" t="n">
        <v>264</v>
      </c>
      <c r="F171" s="58"/>
      <c r="H171" s="59"/>
      <c r="I171" s="56"/>
      <c r="K171" s="57"/>
      <c r="L171" s="56"/>
      <c r="N171" s="57"/>
      <c r="O171" s="65" t="n">
        <f aca="false">IF(SUM(C171:E171)&gt;0,AVERAGE(C171:E171),"")</f>
        <v>224.333333333333</v>
      </c>
      <c r="P171" s="66" t="n">
        <f aca="false">IF(SUM(C171:E171)&gt;0, ( IF(C171&gt;0,(C171-O171)^2,0) + IF(D171&gt;0,(D171-O171)^2,0) + IF(E171&gt;0,(E171-O171)^2,0) ) / COUNT(C171:E171),"")</f>
        <v>860.222222222222</v>
      </c>
      <c r="Q171" s="63" t="n">
        <f aca="false">IF(SUM(C171:E171)&gt;0,SQRT(P171),"")</f>
        <v>29.3295452099453</v>
      </c>
      <c r="R171" s="63" t="n">
        <f aca="false">IF(COUNT(C171:E171)&gt;0,VLOOKUP(COUNT(C171:E171),$AX$2:$AZ$5,3)*(Q171/SQRT(COUNT(C171:E171))),"")</f>
        <v>72.8645097978026</v>
      </c>
      <c r="S171" s="63" t="n">
        <f aca="false">IF(COUNT(C171:E171)&gt;0,O171-R171,"")</f>
        <v>151.468823535531</v>
      </c>
      <c r="T171" s="63" t="n">
        <f aca="false">IF(COUNT(C171:E171)&gt;0,O171+R171,"")</f>
        <v>297.197843131136</v>
      </c>
      <c r="U171" s="64" t="n">
        <f aca="false">IF(COUNT(C171:E171)&gt;0,Q171/O171,"")</f>
        <v>0.130740914754585</v>
      </c>
      <c r="V171" s="65" t="str">
        <f aca="false">IF(SUM(F171:H171)&gt;0,AVERAGE(F171:H171),"")</f>
        <v/>
      </c>
      <c r="W171" s="66" t="str">
        <f aca="false">IF(SUM(F171:H171)&gt;0, ( IF(F171&gt;0,(F171-V171)^2,0) + IF(G171&gt;0,(G171-V171)^2,0) + IF(H171&gt;0,(H171-V171)^2,0) ) / COUNT(F171:H171),"")</f>
        <v/>
      </c>
      <c r="X171" s="63" t="str">
        <f aca="false">IF(SUM(F171:H171)&gt;0,SQRT(W171),"")</f>
        <v/>
      </c>
      <c r="Y171" s="63" t="str">
        <f aca="false">IF(COUNT(F171:H171)&gt;0,VLOOKUP(COUNT(F171:H171),$AX$2:$AZ$5,3)*(X171/SQRT(COUNT(F171:H171))),"")</f>
        <v/>
      </c>
      <c r="Z171" s="63" t="str">
        <f aca="false">IF(COUNT(F171:H171)&gt;0,V171-Y171,"")</f>
        <v/>
      </c>
      <c r="AA171" s="63" t="str">
        <f aca="false">IF(COUNT(F171:H171)&gt;0,V171+Y171,"")</f>
        <v/>
      </c>
      <c r="AB171" s="64" t="str">
        <f aca="false">IF(COUNT(F171:H171)&gt;0,X171/V171,"")</f>
        <v/>
      </c>
      <c r="AC171" s="26"/>
      <c r="AD171" s="65" t="str">
        <f aca="false">IF(SUM(I171:K171)&gt;0,AVERAGE(I171:K171),"")</f>
        <v/>
      </c>
      <c r="AE171" s="66" t="str">
        <f aca="false">IF(SUM(I171:K171)&gt;0, ( IF(I171&gt;0,(I171-AD171)^2,0) + IF(J171&gt;0,(J171-AD171)^2,0) + IF(K171&gt;0,(K171-AD171)^2,0) ) / COUNT(I171:K171),"")</f>
        <v/>
      </c>
      <c r="AF171" s="63" t="str">
        <f aca="false">IF(SUM(I171:K171)&gt;0,SQRT(AE171),"")</f>
        <v/>
      </c>
      <c r="AG171" s="63" t="str">
        <f aca="false">IF(COUNT(I171:K171)&gt;0,VLOOKUP(COUNT(I171:K171),$AX$2:$AZ$5,3)*(AF171/SQRT(COUNT(I171:K171))),"")</f>
        <v/>
      </c>
      <c r="AH171" s="63" t="str">
        <f aca="false">IF(COUNT(I171:K171)&gt;0,AD171-AG171,"")</f>
        <v/>
      </c>
      <c r="AI171" s="63" t="str">
        <f aca="false">IF(COUNT(I171:K171)&gt;0,AD171+AG171,"")</f>
        <v/>
      </c>
      <c r="AJ171" s="64" t="str">
        <f aca="false">IF(COUNT(I171:K171)&gt;0,AF171/AD171,"")</f>
        <v/>
      </c>
      <c r="AK171" s="65" t="str">
        <f aca="false">IF(SUM(L171:N171)&gt;0,AVERAGE(L171:N171),"")</f>
        <v/>
      </c>
      <c r="AL171" s="66" t="str">
        <f aca="false">IF(SUM(L171:N171)&gt;0, ( IF(L171&gt;0,(L171-AK171)^2,0) + IF(M171&gt;0,(M171-AK171)^2,0) + IF(N171&gt;0,(N171-AK171)^2,0) ) / COUNT(L171:N171),"")</f>
        <v/>
      </c>
      <c r="AM171" s="63" t="str">
        <f aca="false">IF(SUM(L171:N171)&gt;0,SQRT(AL171),"")</f>
        <v/>
      </c>
      <c r="AN171" s="63" t="str">
        <f aca="false">IF(COUNT(L171:N171)&gt;0,VLOOKUP(COUNT(L171:N171),$AX$2:$AZ$5,3)*(AM171/SQRT(COUNT(L171:N171))),"")</f>
        <v/>
      </c>
      <c r="AO171" s="63" t="str">
        <f aca="false">IF(COUNT(L171:N171)&gt;0,AK171-AN171,"")</f>
        <v/>
      </c>
      <c r="AP171" s="63" t="str">
        <f aca="false">IF(COUNT(L171:N171)&gt;0,AK171+AN171,"")</f>
        <v/>
      </c>
      <c r="AQ171" s="64" t="str">
        <f aca="false">IF(COUNT(L171:N171)&gt;0,AM171/AK171,"")</f>
        <v/>
      </c>
    </row>
    <row r="172" customFormat="false" ht="12.8" hidden="false" customHeight="false" outlineLevel="0" collapsed="false">
      <c r="A172" s="56" t="s">
        <v>49</v>
      </c>
      <c r="B172" s="57" t="n">
        <v>82</v>
      </c>
      <c r="C172" s="56" t="n">
        <v>164</v>
      </c>
      <c r="D172" s="25" t="n">
        <v>154</v>
      </c>
      <c r="E172" s="57" t="n">
        <v>169</v>
      </c>
      <c r="F172" s="58"/>
      <c r="H172" s="59"/>
      <c r="I172" s="56"/>
      <c r="K172" s="57"/>
      <c r="L172" s="56"/>
      <c r="N172" s="57"/>
      <c r="O172" s="65" t="n">
        <f aca="false">IF(SUM(C172:E172)&gt;0,AVERAGE(C172:E172),"")</f>
        <v>162.333333333333</v>
      </c>
      <c r="P172" s="66" t="n">
        <f aca="false">IF(SUM(C172:E172)&gt;0, ( IF(C172&gt;0,(C172-O172)^2,0) + IF(D172&gt;0,(D172-O172)^2,0) + IF(E172&gt;0,(E172-O172)^2,0) ) / COUNT(C172:E172),"")</f>
        <v>38.8888888888889</v>
      </c>
      <c r="Q172" s="63" t="n">
        <f aca="false">IF(SUM(C172:E172)&gt;0,SQRT(P172),"")</f>
        <v>6.23609564462324</v>
      </c>
      <c r="R172" s="63" t="n">
        <f aca="false">IF(COUNT(C172:E172)&gt;0,VLOOKUP(COUNT(C172:E172),$AX$2:$AZ$5,3)*(Q172/SQRT(COUNT(C172:E172))),"")</f>
        <v>15.4925706806939</v>
      </c>
      <c r="S172" s="63" t="n">
        <f aca="false">IF(COUNT(C172:E172)&gt;0,O172-R172,"")</f>
        <v>146.840762652639</v>
      </c>
      <c r="T172" s="63" t="n">
        <f aca="false">IF(COUNT(C172:E172)&gt;0,O172+R172,"")</f>
        <v>177.825904014027</v>
      </c>
      <c r="U172" s="64" t="n">
        <f aca="false">IF(COUNT(C172:E172)&gt;0,Q172/O172,"")</f>
        <v>0.0384153735808413</v>
      </c>
      <c r="V172" s="65" t="str">
        <f aca="false">IF(SUM(F172:H172)&gt;0,AVERAGE(F172:H172),"")</f>
        <v/>
      </c>
      <c r="W172" s="66" t="str">
        <f aca="false">IF(SUM(F172:H172)&gt;0, ( IF(F172&gt;0,(F172-V172)^2,0) + IF(G172&gt;0,(G172-V172)^2,0) + IF(H172&gt;0,(H172-V172)^2,0) ) / COUNT(F172:H172),"")</f>
        <v/>
      </c>
      <c r="X172" s="63" t="str">
        <f aca="false">IF(SUM(F172:H172)&gt;0,SQRT(W172),"")</f>
        <v/>
      </c>
      <c r="Y172" s="63" t="str">
        <f aca="false">IF(COUNT(F172:H172)&gt;0,VLOOKUP(COUNT(F172:H172),$AX$2:$AZ$5,3)*(X172/SQRT(COUNT(F172:H172))),"")</f>
        <v/>
      </c>
      <c r="Z172" s="63" t="str">
        <f aca="false">IF(COUNT(F172:H172)&gt;0,V172-Y172,"")</f>
        <v/>
      </c>
      <c r="AA172" s="63" t="str">
        <f aca="false">IF(COUNT(F172:H172)&gt;0,V172+Y172,"")</f>
        <v/>
      </c>
      <c r="AB172" s="64" t="str">
        <f aca="false">IF(COUNT(F172:H172)&gt;0,X172/V172,"")</f>
        <v/>
      </c>
      <c r="AC172" s="26"/>
      <c r="AD172" s="65" t="str">
        <f aca="false">IF(SUM(I172:K172)&gt;0,AVERAGE(I172:K172),"")</f>
        <v/>
      </c>
      <c r="AE172" s="66" t="str">
        <f aca="false">IF(SUM(I172:K172)&gt;0, ( IF(I172&gt;0,(I172-AD172)^2,0) + IF(J172&gt;0,(J172-AD172)^2,0) + IF(K172&gt;0,(K172-AD172)^2,0) ) / COUNT(I172:K172),"")</f>
        <v/>
      </c>
      <c r="AF172" s="63" t="str">
        <f aca="false">IF(SUM(I172:K172)&gt;0,SQRT(AE172),"")</f>
        <v/>
      </c>
      <c r="AG172" s="63" t="str">
        <f aca="false">IF(COUNT(I172:K172)&gt;0,VLOOKUP(COUNT(I172:K172),$AX$2:$AZ$5,3)*(AF172/SQRT(COUNT(I172:K172))),"")</f>
        <v/>
      </c>
      <c r="AH172" s="63" t="str">
        <f aca="false">IF(COUNT(I172:K172)&gt;0,AD172-AG172,"")</f>
        <v/>
      </c>
      <c r="AI172" s="63" t="str">
        <f aca="false">IF(COUNT(I172:K172)&gt;0,AD172+AG172,"")</f>
        <v/>
      </c>
      <c r="AJ172" s="64" t="str">
        <f aca="false">IF(COUNT(I172:K172)&gt;0,AF172/AD172,"")</f>
        <v/>
      </c>
      <c r="AK172" s="65" t="str">
        <f aca="false">IF(SUM(L172:N172)&gt;0,AVERAGE(L172:N172),"")</f>
        <v/>
      </c>
      <c r="AL172" s="66" t="str">
        <f aca="false">IF(SUM(L172:N172)&gt;0, ( IF(L172&gt;0,(L172-AK172)^2,0) + IF(M172&gt;0,(M172-AK172)^2,0) + IF(N172&gt;0,(N172-AK172)^2,0) ) / COUNT(L172:N172),"")</f>
        <v/>
      </c>
      <c r="AM172" s="63" t="str">
        <f aca="false">IF(SUM(L172:N172)&gt;0,SQRT(AL172),"")</f>
        <v/>
      </c>
      <c r="AN172" s="63" t="str">
        <f aca="false">IF(COUNT(L172:N172)&gt;0,VLOOKUP(COUNT(L172:N172),$AX$2:$AZ$5,3)*(AM172/SQRT(COUNT(L172:N172))),"")</f>
        <v/>
      </c>
      <c r="AO172" s="63" t="str">
        <f aca="false">IF(COUNT(L172:N172)&gt;0,AK172-AN172,"")</f>
        <v/>
      </c>
      <c r="AP172" s="63" t="str">
        <f aca="false">IF(COUNT(L172:N172)&gt;0,AK172+AN172,"")</f>
        <v/>
      </c>
      <c r="AQ172" s="64" t="str">
        <f aca="false">IF(COUNT(L172:N172)&gt;0,AM172/AK172,"")</f>
        <v/>
      </c>
    </row>
    <row r="173" customFormat="false" ht="12.8" hidden="false" customHeight="false" outlineLevel="0" collapsed="false">
      <c r="A173" s="56" t="s">
        <v>49</v>
      </c>
      <c r="B173" s="57" t="n">
        <v>100</v>
      </c>
      <c r="C173" s="56" t="n">
        <v>132</v>
      </c>
      <c r="D173" s="25" t="n">
        <v>145</v>
      </c>
      <c r="E173" s="57" t="n">
        <v>145</v>
      </c>
      <c r="F173" s="58"/>
      <c r="H173" s="59"/>
      <c r="I173" s="56"/>
      <c r="K173" s="57"/>
      <c r="L173" s="56"/>
      <c r="N173" s="57"/>
      <c r="O173" s="65" t="n">
        <f aca="false">IF(SUM(C173:E173)&gt;0,AVERAGE(C173:E173),"")</f>
        <v>140.666666666667</v>
      </c>
      <c r="P173" s="66" t="n">
        <f aca="false">IF(SUM(C173:E173)&gt;0, ( IF(C173&gt;0,(C173-O173)^2,0) + IF(D173&gt;0,(D173-O173)^2,0) + IF(E173&gt;0,(E173-O173)^2,0) ) / COUNT(C173:E173),"")</f>
        <v>37.5555555555556</v>
      </c>
      <c r="Q173" s="63" t="n">
        <f aca="false">IF(SUM(C173:E173)&gt;0,SQRT(P173),"")</f>
        <v>6.12825877028341</v>
      </c>
      <c r="R173" s="63" t="n">
        <f aca="false">IF(COUNT(C173:E173)&gt;0,VLOOKUP(COUNT(C173:E173),$AX$2:$AZ$5,3)*(Q173/SQRT(COUNT(C173:E173))),"")</f>
        <v>15.2246674135054</v>
      </c>
      <c r="S173" s="63" t="n">
        <f aca="false">IF(COUNT(C173:E173)&gt;0,O173-R173,"")</f>
        <v>125.441999253161</v>
      </c>
      <c r="T173" s="63" t="n">
        <f aca="false">IF(COUNT(C173:E173)&gt;0,O173+R173,"")</f>
        <v>155.891334080172</v>
      </c>
      <c r="U173" s="64" t="n">
        <f aca="false">IF(COUNT(C173:E173)&gt;0,Q173/O173,"")</f>
        <v>0.0435658206418252</v>
      </c>
      <c r="V173" s="65" t="str">
        <f aca="false">IF(SUM(F173:H173)&gt;0,AVERAGE(F173:H173),"")</f>
        <v/>
      </c>
      <c r="W173" s="66" t="str">
        <f aca="false">IF(SUM(F173:H173)&gt;0, ( IF(F173&gt;0,(F173-V173)^2,0) + IF(G173&gt;0,(G173-V173)^2,0) + IF(H173&gt;0,(H173-V173)^2,0) ) / COUNT(F173:H173),"")</f>
        <v/>
      </c>
      <c r="X173" s="63" t="str">
        <f aca="false">IF(SUM(F173:H173)&gt;0,SQRT(W173),"")</f>
        <v/>
      </c>
      <c r="Y173" s="63" t="str">
        <f aca="false">IF(COUNT(F173:H173)&gt;0,VLOOKUP(COUNT(F173:H173),$AX$2:$AZ$5,3)*(X173/SQRT(COUNT(F173:H173))),"")</f>
        <v/>
      </c>
      <c r="Z173" s="63" t="str">
        <f aca="false">IF(COUNT(F173:H173)&gt;0,V173-Y173,"")</f>
        <v/>
      </c>
      <c r="AA173" s="63" t="str">
        <f aca="false">IF(COUNT(F173:H173)&gt;0,V173+Y173,"")</f>
        <v/>
      </c>
      <c r="AB173" s="64" t="str">
        <f aca="false">IF(COUNT(F173:H173)&gt;0,X173/V173,"")</f>
        <v/>
      </c>
      <c r="AC173" s="26"/>
      <c r="AD173" s="65" t="str">
        <f aca="false">IF(SUM(I173:K173)&gt;0,AVERAGE(I173:K173),"")</f>
        <v/>
      </c>
      <c r="AE173" s="66" t="str">
        <f aca="false">IF(SUM(I173:K173)&gt;0, ( IF(I173&gt;0,(I173-AD173)^2,0) + IF(J173&gt;0,(J173-AD173)^2,0) + IF(K173&gt;0,(K173-AD173)^2,0) ) / COUNT(I173:K173),"")</f>
        <v/>
      </c>
      <c r="AF173" s="63" t="str">
        <f aca="false">IF(SUM(I173:K173)&gt;0,SQRT(AE173),"")</f>
        <v/>
      </c>
      <c r="AG173" s="63" t="str">
        <f aca="false">IF(COUNT(I173:K173)&gt;0,VLOOKUP(COUNT(I173:K173),$AX$2:$AZ$5,3)*(AF173/SQRT(COUNT(I173:K173))),"")</f>
        <v/>
      </c>
      <c r="AH173" s="63" t="str">
        <f aca="false">IF(COUNT(I173:K173)&gt;0,AD173-AG173,"")</f>
        <v/>
      </c>
      <c r="AI173" s="63" t="str">
        <f aca="false">IF(COUNT(I173:K173)&gt;0,AD173+AG173,"")</f>
        <v/>
      </c>
      <c r="AJ173" s="64" t="str">
        <f aca="false">IF(COUNT(I173:K173)&gt;0,AF173/AD173,"")</f>
        <v/>
      </c>
      <c r="AK173" s="65" t="str">
        <f aca="false">IF(SUM(L173:N173)&gt;0,AVERAGE(L173:N173),"")</f>
        <v/>
      </c>
      <c r="AL173" s="66" t="str">
        <f aca="false">IF(SUM(L173:N173)&gt;0, ( IF(L173&gt;0,(L173-AK173)^2,0) + IF(M173&gt;0,(M173-AK173)^2,0) + IF(N173&gt;0,(N173-AK173)^2,0) ) / COUNT(L173:N173),"")</f>
        <v/>
      </c>
      <c r="AM173" s="63" t="str">
        <f aca="false">IF(SUM(L173:N173)&gt;0,SQRT(AL173),"")</f>
        <v/>
      </c>
      <c r="AN173" s="63" t="str">
        <f aca="false">IF(COUNT(L173:N173)&gt;0,VLOOKUP(COUNT(L173:N173),$AX$2:$AZ$5,3)*(AM173/SQRT(COUNT(L173:N173))),"")</f>
        <v/>
      </c>
      <c r="AO173" s="63" t="str">
        <f aca="false">IF(COUNT(L173:N173)&gt;0,AK173-AN173,"")</f>
        <v/>
      </c>
      <c r="AP173" s="63" t="str">
        <f aca="false">IF(COUNT(L173:N173)&gt;0,AK173+AN173,"")</f>
        <v/>
      </c>
      <c r="AQ173" s="64" t="str">
        <f aca="false">IF(COUNT(L173:N173)&gt;0,AM173/AK173,"")</f>
        <v/>
      </c>
    </row>
    <row r="174" customFormat="false" ht="12.8" hidden="false" customHeight="false" outlineLevel="0" collapsed="false">
      <c r="A174" s="56" t="s">
        <v>50</v>
      </c>
      <c r="B174" s="57" t="n">
        <v>5</v>
      </c>
      <c r="C174" s="56"/>
      <c r="D174" s="25"/>
      <c r="E174" s="57"/>
      <c r="F174" s="58"/>
      <c r="H174" s="59"/>
      <c r="I174" s="56"/>
      <c r="K174" s="57"/>
      <c r="L174" s="56"/>
      <c r="N174" s="57"/>
      <c r="O174" s="65" t="str">
        <f aca="false">IF(SUM(C174:E174)&gt;0,AVERAGE(C174:E174),"")</f>
        <v/>
      </c>
      <c r="P174" s="66" t="str">
        <f aca="false">IF(SUM(C174:E174)&gt;0, ( IF(C174&gt;0,(C174-O174)^2,0) + IF(D174&gt;0,(D174-O174)^2,0) + IF(E174&gt;0,(E174-O174)^2,0) ) / COUNT(C174:E174),"")</f>
        <v/>
      </c>
      <c r="Q174" s="63" t="str">
        <f aca="false">IF(SUM(C174:E174)&gt;0,SQRT(P174),"")</f>
        <v/>
      </c>
      <c r="R174" s="63" t="str">
        <f aca="false">IF(COUNT(C174:E174)&gt;0,VLOOKUP(COUNT(C174:E174),$AX$2:$AZ$5,3)*(Q174/SQRT(COUNT(C174:E174))),"")</f>
        <v/>
      </c>
      <c r="S174" s="63" t="str">
        <f aca="false">IF(COUNT(C174:E174)&gt;0,O174-R174,"")</f>
        <v/>
      </c>
      <c r="T174" s="63" t="str">
        <f aca="false">IF(COUNT(C174:E174)&gt;0,O174+R174,"")</f>
        <v/>
      </c>
      <c r="U174" s="64" t="str">
        <f aca="false">IF(COUNT(C174:E174)&gt;0,Q174/O174,"")</f>
        <v/>
      </c>
      <c r="V174" s="65" t="str">
        <f aca="false">IF(SUM(F174:H174)&gt;0,AVERAGE(F174:H174),"")</f>
        <v/>
      </c>
      <c r="W174" s="66" t="str">
        <f aca="false">IF(SUM(F174:H174)&gt;0, ( IF(F174&gt;0,(F174-V174)^2,0) + IF(G174&gt;0,(G174-V174)^2,0) + IF(H174&gt;0,(H174-V174)^2,0) ) / COUNT(F174:H174),"")</f>
        <v/>
      </c>
      <c r="X174" s="63" t="str">
        <f aca="false">IF(SUM(F174:H174)&gt;0,SQRT(W174),"")</f>
        <v/>
      </c>
      <c r="Y174" s="63" t="str">
        <f aca="false">IF(COUNT(F174:H174)&gt;0,VLOOKUP(COUNT(F174:H174),$AX$2:$AZ$5,3)*(X174/SQRT(COUNT(F174:H174))),"")</f>
        <v/>
      </c>
      <c r="Z174" s="63" t="str">
        <f aca="false">IF(COUNT(F174:H174)&gt;0,V174-Y174,"")</f>
        <v/>
      </c>
      <c r="AA174" s="63" t="str">
        <f aca="false">IF(COUNT(F174:H174)&gt;0,V174+Y174,"")</f>
        <v/>
      </c>
      <c r="AB174" s="64" t="str">
        <f aca="false">IF(COUNT(F174:H174)&gt;0,X174/V174,"")</f>
        <v/>
      </c>
      <c r="AC174" s="26"/>
      <c r="AD174" s="65" t="str">
        <f aca="false">IF(SUM(I174:K174)&gt;0,AVERAGE(I174:K174),"")</f>
        <v/>
      </c>
      <c r="AE174" s="66" t="str">
        <f aca="false">IF(SUM(I174:K174)&gt;0, ( IF(I174&gt;0,(I174-AD174)^2,0) + IF(J174&gt;0,(J174-AD174)^2,0) + IF(K174&gt;0,(K174-AD174)^2,0) ) / COUNT(I174:K174),"")</f>
        <v/>
      </c>
      <c r="AF174" s="63" t="str">
        <f aca="false">IF(SUM(I174:K174)&gt;0,SQRT(AE174),"")</f>
        <v/>
      </c>
      <c r="AG174" s="63" t="str">
        <f aca="false">IF(COUNT(I174:K174)&gt;0,VLOOKUP(COUNT(I174:K174),$AX$2:$AZ$5,3)*(AF174/SQRT(COUNT(I174:K174))),"")</f>
        <v/>
      </c>
      <c r="AH174" s="63" t="str">
        <f aca="false">IF(COUNT(I174:K174)&gt;0,AD174-AG174,"")</f>
        <v/>
      </c>
      <c r="AI174" s="63" t="str">
        <f aca="false">IF(COUNT(I174:K174)&gt;0,AD174+AG174,"")</f>
        <v/>
      </c>
      <c r="AJ174" s="64" t="str">
        <f aca="false">IF(COUNT(I174:K174)&gt;0,AF174/AD174,"")</f>
        <v/>
      </c>
      <c r="AK174" s="65" t="str">
        <f aca="false">IF(SUM(L174:N174)&gt;0,AVERAGE(L174:N174),"")</f>
        <v/>
      </c>
      <c r="AL174" s="66" t="str">
        <f aca="false">IF(SUM(L174:N174)&gt;0, ( IF(L174&gt;0,(L174-AK174)^2,0) + IF(M174&gt;0,(M174-AK174)^2,0) + IF(N174&gt;0,(N174-AK174)^2,0) ) / COUNT(L174:N174),"")</f>
        <v/>
      </c>
      <c r="AM174" s="63" t="str">
        <f aca="false">IF(SUM(L174:N174)&gt;0,SQRT(AL174),"")</f>
        <v/>
      </c>
      <c r="AN174" s="63" t="str">
        <f aca="false">IF(COUNT(L174:N174)&gt;0,VLOOKUP(COUNT(L174:N174),$AX$2:$AZ$5,3)*(AM174/SQRT(COUNT(L174:N174))),"")</f>
        <v/>
      </c>
      <c r="AO174" s="63" t="str">
        <f aca="false">IF(COUNT(L174:N174)&gt;0,AK174-AN174,"")</f>
        <v/>
      </c>
      <c r="AP174" s="63" t="str">
        <f aca="false">IF(COUNT(L174:N174)&gt;0,AK174+AN174,"")</f>
        <v/>
      </c>
      <c r="AQ174" s="64" t="str">
        <f aca="false">IF(COUNT(L174:N174)&gt;0,AM174/AK174,"")</f>
        <v/>
      </c>
    </row>
    <row r="175" customFormat="false" ht="12.8" hidden="false" customHeight="false" outlineLevel="0" collapsed="false">
      <c r="A175" s="56" t="s">
        <v>50</v>
      </c>
      <c r="B175" s="57" t="n">
        <v>10</v>
      </c>
      <c r="C175" s="56" t="n">
        <v>2545</v>
      </c>
      <c r="D175" s="25" t="n">
        <v>2059</v>
      </c>
      <c r="E175" s="57" t="n">
        <v>2038</v>
      </c>
      <c r="F175" s="58"/>
      <c r="H175" s="59"/>
      <c r="I175" s="56"/>
      <c r="J175" s="0" t="n">
        <v>2051</v>
      </c>
      <c r="K175" s="57" t="n">
        <v>1898</v>
      </c>
      <c r="L175" s="56"/>
      <c r="M175" s="0" t="n">
        <v>2059</v>
      </c>
      <c r="N175" s="57" t="n">
        <v>2038</v>
      </c>
      <c r="O175" s="65" t="n">
        <f aca="false">IF(SUM(C175:E175)&gt;0,AVERAGE(C175:E175),"")</f>
        <v>2214</v>
      </c>
      <c r="P175" s="66" t="n">
        <f aca="false">IF(SUM(C175:E175)&gt;0, ( IF(C175&gt;0,(C175-O175)^2,0) + IF(D175&gt;0,(D175-O175)^2,0) + IF(E175&gt;0,(E175-O175)^2,0) ) / COUNT(C175:E175),"")</f>
        <v>54854</v>
      </c>
      <c r="Q175" s="63" t="n">
        <f aca="false">IF(SUM(C175:E175)&gt;0,SQRT(P175),"")</f>
        <v>234.209308098547</v>
      </c>
      <c r="R175" s="63" t="n">
        <f aca="false">IF(COUNT(C175:E175)&gt;0,VLOOKUP(COUNT(C175:E175),$AX$2:$AZ$5,3)*(Q175/SQRT(COUNT(C175:E175))),"")</f>
        <v>581.855132854104</v>
      </c>
      <c r="S175" s="63" t="n">
        <f aca="false">IF(COUNT(C175:E175)&gt;0,O175-R175,"")</f>
        <v>1632.1448671459</v>
      </c>
      <c r="T175" s="63" t="n">
        <f aca="false">IF(COUNT(C175:E175)&gt;0,O175+R175,"")</f>
        <v>2795.8551328541</v>
      </c>
      <c r="U175" s="64" t="n">
        <f aca="false">IF(COUNT(C175:E175)&gt;0,Q175/O175,"")</f>
        <v>0.10578559534713</v>
      </c>
      <c r="V175" s="65" t="str">
        <f aca="false">IF(SUM(F175:H175)&gt;0,AVERAGE(F175:H175),"")</f>
        <v/>
      </c>
      <c r="W175" s="66" t="str">
        <f aca="false">IF(SUM(F175:H175)&gt;0, ( IF(F175&gt;0,(F175-V175)^2,0) + IF(G175&gt;0,(G175-V175)^2,0) + IF(H175&gt;0,(H175-V175)^2,0) ) / COUNT(F175:H175),"")</f>
        <v/>
      </c>
      <c r="X175" s="63" t="str">
        <f aca="false">IF(SUM(F175:H175)&gt;0,SQRT(W175),"")</f>
        <v/>
      </c>
      <c r="Y175" s="63" t="str">
        <f aca="false">IF(COUNT(F175:H175)&gt;0,VLOOKUP(COUNT(F175:H175),$AX$2:$AZ$5,3)*(X175/SQRT(COUNT(F175:H175))),"")</f>
        <v/>
      </c>
      <c r="Z175" s="63" t="str">
        <f aca="false">IF(COUNT(F175:H175)&gt;0,V175-Y175,"")</f>
        <v/>
      </c>
      <c r="AA175" s="63" t="str">
        <f aca="false">IF(COUNT(F175:H175)&gt;0,V175+Y175,"")</f>
        <v/>
      </c>
      <c r="AB175" s="64" t="str">
        <f aca="false">IF(COUNT(F175:H175)&gt;0,X175/V175,"")</f>
        <v/>
      </c>
      <c r="AC175" s="26"/>
      <c r="AD175" s="65" t="n">
        <f aca="false">IF(SUM(I175:K175)&gt;0,AVERAGE(I175:K175),"")</f>
        <v>1974.5</v>
      </c>
      <c r="AE175" s="66" t="n">
        <f aca="false">IF(SUM(I175:K175)&gt;0, ( IF(I175&gt;0,(I175-AD175)^2,0) + IF(J175&gt;0,(J175-AD175)^2,0) + IF(K175&gt;0,(K175-AD175)^2,0) ) / COUNT(I175:K175),"")</f>
        <v>5852.25</v>
      </c>
      <c r="AF175" s="63" t="n">
        <f aca="false">IF(SUM(I175:K175)&gt;0,SQRT(AE175),"")</f>
        <v>76.5</v>
      </c>
      <c r="AG175" s="63" t="n">
        <f aca="false">IF(COUNT(I175:K175)&gt;0,VLOOKUP(COUNT(I175:K175),$AX$2:$AZ$5,3)*(AF175/SQRT(COUNT(I175:K175))),"")</f>
        <v>687.314155274355</v>
      </c>
      <c r="AH175" s="63" t="n">
        <f aca="false">IF(COUNT(I175:K175)&gt;0,AD175-AG175,"")</f>
        <v>1287.18584472565</v>
      </c>
      <c r="AI175" s="63" t="n">
        <f aca="false">IF(COUNT(I175:K175)&gt;0,AD175+AG175,"")</f>
        <v>2661.81415527435</v>
      </c>
      <c r="AJ175" s="64" t="n">
        <f aca="false">IF(COUNT(I175:K175)&gt;0,AF175/AD175,"")</f>
        <v>0.0387439858191947</v>
      </c>
      <c r="AK175" s="65" t="n">
        <f aca="false">IF(SUM(L175:N175)&gt;0,AVERAGE(L175:N175),"")</f>
        <v>2048.5</v>
      </c>
      <c r="AL175" s="66" t="n">
        <f aca="false">IF(SUM(L175:N175)&gt;0, ( IF(L175&gt;0,(L175-AK175)^2,0) + IF(M175&gt;0,(M175-AK175)^2,0) + IF(N175&gt;0,(N175-AK175)^2,0) ) / COUNT(L175:N175),"")</f>
        <v>110.25</v>
      </c>
      <c r="AM175" s="63" t="n">
        <f aca="false">IF(SUM(L175:N175)&gt;0,SQRT(AL175),"")</f>
        <v>10.5</v>
      </c>
      <c r="AN175" s="63" t="n">
        <f aca="false">IF(COUNT(L175:N175)&gt;0,VLOOKUP(COUNT(L175:N175),$AX$2:$AZ$5,3)*(AM175/SQRT(COUNT(L175:N175))),"")</f>
        <v>94.3372369984409</v>
      </c>
      <c r="AO175" s="63" t="n">
        <f aca="false">IF(COUNT(L175:N175)&gt;0,AK175-AN175,"")</f>
        <v>1954.16276300156</v>
      </c>
      <c r="AP175" s="63" t="n">
        <f aca="false">IF(COUNT(L175:N175)&gt;0,AK175+AN175,"")</f>
        <v>2142.83723699844</v>
      </c>
      <c r="AQ175" s="64" t="n">
        <f aca="false">IF(COUNT(L175:N175)&gt;0,AM175/AK175,"")</f>
        <v>0.00512570173297535</v>
      </c>
    </row>
    <row r="176" customFormat="false" ht="12.8" hidden="false" customHeight="false" outlineLevel="0" collapsed="false">
      <c r="A176" s="56" t="s">
        <v>50</v>
      </c>
      <c r="B176" s="57" t="n">
        <v>15</v>
      </c>
      <c r="C176" s="56" t="n">
        <v>1466</v>
      </c>
      <c r="D176" s="25" t="n">
        <v>1391</v>
      </c>
      <c r="E176" s="57"/>
      <c r="F176" s="58" t="n">
        <v>1287</v>
      </c>
      <c r="G176" s="0" t="n">
        <v>1187</v>
      </c>
      <c r="H176" s="59" t="n">
        <v>1055</v>
      </c>
      <c r="I176" s="56"/>
      <c r="J176" s="0" t="n">
        <v>1293</v>
      </c>
      <c r="K176" s="57" t="n">
        <v>1441</v>
      </c>
      <c r="L176" s="56"/>
      <c r="M176" s="0" t="n">
        <v>1331</v>
      </c>
      <c r="N176" s="57" t="n">
        <v>1554</v>
      </c>
      <c r="O176" s="65" t="n">
        <f aca="false">IF(SUM(C176:E176)&gt;0,AVERAGE(C176:E176),"")</f>
        <v>1428.5</v>
      </c>
      <c r="P176" s="66" t="n">
        <f aca="false">IF(SUM(C176:E176)&gt;0, ( IF(C176&gt;0,(C176-O176)^2,0) + IF(D176&gt;0,(D176-O176)^2,0) + IF(E176&gt;0,(E176-O176)^2,0) ) / COUNT(C176:E176),"")</f>
        <v>1406.25</v>
      </c>
      <c r="Q176" s="63" t="n">
        <f aca="false">IF(SUM(C176:E176)&gt;0,SQRT(P176),"")</f>
        <v>37.5</v>
      </c>
      <c r="R176" s="63" t="n">
        <f aca="false">IF(COUNT(C176:E176)&gt;0,VLOOKUP(COUNT(C176:E176),$AX$2:$AZ$5,3)*(Q176/SQRT(COUNT(C176:E176))),"")</f>
        <v>336.91870356586</v>
      </c>
      <c r="S176" s="63" t="n">
        <f aca="false">IF(COUNT(C176:E176)&gt;0,O176-R176,"")</f>
        <v>1091.58129643414</v>
      </c>
      <c r="T176" s="63" t="n">
        <f aca="false">IF(COUNT(C176:E176)&gt;0,O176+R176,"")</f>
        <v>1765.41870356586</v>
      </c>
      <c r="U176" s="64" t="n">
        <f aca="false">IF(COUNT(C176:E176)&gt;0,Q176/O176,"")</f>
        <v>0.0262513125656283</v>
      </c>
      <c r="V176" s="65" t="n">
        <f aca="false">IF(SUM(F176:H176)&gt;0,AVERAGE(F176:H176),"")</f>
        <v>1176.33333333333</v>
      </c>
      <c r="W176" s="66" t="n">
        <f aca="false">IF(SUM(F176:H176)&gt;0, ( IF(F176&gt;0,(F176-V176)^2,0) + IF(G176&gt;0,(G176-V176)^2,0) + IF(H176&gt;0,(H176-V176)^2,0) ) / COUNT(F176:H176),"")</f>
        <v>9027.55555555556</v>
      </c>
      <c r="X176" s="63" t="n">
        <f aca="false">IF(SUM(F176:H176)&gt;0,SQRT(W176),"")</f>
        <v>95.0134493403726</v>
      </c>
      <c r="Y176" s="63" t="n">
        <f aca="false">IF(COUNT(F176:H176)&gt;0,VLOOKUP(COUNT(F176:H176),$AX$2:$AZ$5,3)*(X176/SQRT(COUNT(F176:H176))),"")</f>
        <v>236.045542500846</v>
      </c>
      <c r="Z176" s="63" t="n">
        <f aca="false">IF(COUNT(F176:H176)&gt;0,V176-Y176,"")</f>
        <v>940.287790832488</v>
      </c>
      <c r="AA176" s="63" t="n">
        <f aca="false">IF(COUNT(F176:H176)&gt;0,V176+Y176,"")</f>
        <v>1412.37887583418</v>
      </c>
      <c r="AB176" s="64" t="n">
        <f aca="false">IF(COUNT(F176:H176)&gt;0,X176/V176,"")</f>
        <v>0.0807708552057574</v>
      </c>
      <c r="AC176" s="26"/>
      <c r="AD176" s="65" t="n">
        <f aca="false">IF(SUM(I176:K176)&gt;0,AVERAGE(I176:K176),"")</f>
        <v>1367</v>
      </c>
      <c r="AE176" s="66" t="n">
        <f aca="false">IF(SUM(I176:K176)&gt;0, ( IF(I176&gt;0,(I176-AD176)^2,0) + IF(J176&gt;0,(J176-AD176)^2,0) + IF(K176&gt;0,(K176-AD176)^2,0) ) / COUNT(I176:K176),"")</f>
        <v>5476</v>
      </c>
      <c r="AF176" s="63" t="n">
        <f aca="false">IF(SUM(I176:K176)&gt;0,SQRT(AE176),"")</f>
        <v>74</v>
      </c>
      <c r="AG176" s="63" t="n">
        <f aca="false">IF(COUNT(I176:K176)&gt;0,VLOOKUP(COUNT(I176:K176),$AX$2:$AZ$5,3)*(AF176/SQRT(COUNT(I176:K176))),"")</f>
        <v>664.852908369964</v>
      </c>
      <c r="AH176" s="63" t="n">
        <f aca="false">IF(COUNT(I176:K176)&gt;0,AD176-AG176,"")</f>
        <v>702.147091630036</v>
      </c>
      <c r="AI176" s="63" t="n">
        <f aca="false">IF(COUNT(I176:K176)&gt;0,AD176+AG176,"")</f>
        <v>2031.85290836996</v>
      </c>
      <c r="AJ176" s="64" t="n">
        <f aca="false">IF(COUNT(I176:K176)&gt;0,AF176/AD176,"")</f>
        <v>0.0541331382589612</v>
      </c>
      <c r="AK176" s="65" t="n">
        <f aca="false">IF(SUM(L176:N176)&gt;0,AVERAGE(L176:N176),"")</f>
        <v>1442.5</v>
      </c>
      <c r="AL176" s="66" t="n">
        <f aca="false">IF(SUM(L176:N176)&gt;0, ( IF(L176&gt;0,(L176-AK176)^2,0) + IF(M176&gt;0,(M176-AK176)^2,0) + IF(N176&gt;0,(N176-AK176)^2,0) ) / COUNT(L176:N176),"")</f>
        <v>12432.25</v>
      </c>
      <c r="AM176" s="63" t="n">
        <f aca="false">IF(SUM(L176:N176)&gt;0,SQRT(AL176),"")</f>
        <v>111.5</v>
      </c>
      <c r="AN176" s="63" t="n">
        <f aca="false">IF(COUNT(L176:N176)&gt;0,VLOOKUP(COUNT(L176:N176),$AX$2:$AZ$5,3)*(AM176/SQRT(COUNT(L176:N176))),"")</f>
        <v>1001.77161193582</v>
      </c>
      <c r="AO176" s="63" t="n">
        <f aca="false">IF(COUNT(L176:N176)&gt;0,AK176-AN176,"")</f>
        <v>440.728388064176</v>
      </c>
      <c r="AP176" s="63" t="n">
        <f aca="false">IF(COUNT(L176:N176)&gt;0,AK176+AN176,"")</f>
        <v>2444.27161193582</v>
      </c>
      <c r="AQ176" s="64" t="n">
        <f aca="false">IF(COUNT(L176:N176)&gt;0,AM176/AK176,"")</f>
        <v>0.0772963604852686</v>
      </c>
    </row>
    <row r="177" customFormat="false" ht="12.8" hidden="false" customHeight="false" outlineLevel="0" collapsed="false">
      <c r="A177" s="56" t="s">
        <v>50</v>
      </c>
      <c r="B177" s="57" t="n">
        <v>20</v>
      </c>
      <c r="C177" s="56" t="n">
        <v>965</v>
      </c>
      <c r="D177" s="25" t="n">
        <v>1043</v>
      </c>
      <c r="E177" s="57" t="n">
        <v>1225</v>
      </c>
      <c r="F177" s="58" t="n">
        <v>942</v>
      </c>
      <c r="G177" s="0" t="n">
        <v>902</v>
      </c>
      <c r="H177" s="59" t="n">
        <v>858</v>
      </c>
      <c r="I177" s="56" t="n">
        <v>1100</v>
      </c>
      <c r="J177" s="0" t="n">
        <v>1065</v>
      </c>
      <c r="K177" s="57" t="n">
        <v>744</v>
      </c>
      <c r="L177" s="56"/>
      <c r="M177" s="0" t="n">
        <v>987</v>
      </c>
      <c r="N177" s="57" t="n">
        <v>1256</v>
      </c>
      <c r="O177" s="65" t="n">
        <f aca="false">IF(SUM(C177:E177)&gt;0,AVERAGE(C177:E177),"")</f>
        <v>1077.66666666667</v>
      </c>
      <c r="P177" s="66" t="n">
        <f aca="false">IF(SUM(C177:E177)&gt;0, ( IF(C177&gt;0,(C177-O177)^2,0) + IF(D177&gt;0,(D177-O177)^2,0) + IF(E177&gt;0,(E177-O177)^2,0) ) / COUNT(C177:E177),"")</f>
        <v>11867.5555555556</v>
      </c>
      <c r="Q177" s="63" t="n">
        <f aca="false">IF(SUM(C177:E177)&gt;0,SQRT(P177),"")</f>
        <v>108.938310779797</v>
      </c>
      <c r="R177" s="63" t="n">
        <f aca="false">IF(COUNT(C177:E177)&gt;0,VLOOKUP(COUNT(C177:E177),$AX$2:$AZ$5,3)*(Q177/SQRT(COUNT(C177:E177))),"")</f>
        <v>270.63960782041</v>
      </c>
      <c r="S177" s="63" t="n">
        <f aca="false">IF(COUNT(C177:E177)&gt;0,O177-R177,"")</f>
        <v>807.027058846257</v>
      </c>
      <c r="T177" s="63" t="n">
        <f aca="false">IF(COUNT(C177:E177)&gt;0,O177+R177,"")</f>
        <v>1348.30627448708</v>
      </c>
      <c r="U177" s="64" t="n">
        <f aca="false">IF(COUNT(C177:E177)&gt;0,Q177/O177,"")</f>
        <v>0.101087204559044</v>
      </c>
      <c r="V177" s="65" t="n">
        <f aca="false">IF(SUM(F177:H177)&gt;0,AVERAGE(F177:H177),"")</f>
        <v>900.666666666667</v>
      </c>
      <c r="W177" s="66" t="n">
        <f aca="false">IF(SUM(F177:H177)&gt;0, ( IF(F177&gt;0,(F177-V177)^2,0) + IF(G177&gt;0,(G177-V177)^2,0) + IF(H177&gt;0,(H177-V177)^2,0) ) / COUNT(F177:H177),"")</f>
        <v>1176.88888888889</v>
      </c>
      <c r="X177" s="63" t="n">
        <f aca="false">IF(SUM(F177:H177)&gt;0,SQRT(W177),"")</f>
        <v>34.3058142140496</v>
      </c>
      <c r="Y177" s="63" t="n">
        <f aca="false">IF(COUNT(F177:H177)&gt;0,VLOOKUP(COUNT(F177:H177),$AX$2:$AZ$5,3)*(X177/SQRT(COUNT(F177:H177))),"")</f>
        <v>85.2272450195924</v>
      </c>
      <c r="Z177" s="63" t="n">
        <f aca="false">IF(COUNT(F177:H177)&gt;0,V177-Y177,"")</f>
        <v>815.439421647074</v>
      </c>
      <c r="AA177" s="63" t="n">
        <f aca="false">IF(COUNT(F177:H177)&gt;0,V177+Y177,"")</f>
        <v>985.893911686259</v>
      </c>
      <c r="AB177" s="64" t="n">
        <f aca="false">IF(COUNT(F177:H177)&gt;0,X177/V177,"")</f>
        <v>0.0380893570104178</v>
      </c>
      <c r="AC177" s="26"/>
      <c r="AD177" s="65" t="n">
        <f aca="false">IF(SUM(I177:K177)&gt;0,AVERAGE(I177:K177),"")</f>
        <v>969.666666666667</v>
      </c>
      <c r="AE177" s="66" t="n">
        <f aca="false">IF(SUM(I177:K177)&gt;0, ( IF(I177&gt;0,(I177-AD177)^2,0) + IF(J177&gt;0,(J177-AD177)^2,0) + IF(K177&gt;0,(K177-AD177)^2,0) ) / COUNT(I177:K177),"")</f>
        <v>25666.8888888889</v>
      </c>
      <c r="AF177" s="63" t="n">
        <f aca="false">IF(SUM(I177:K177)&gt;0,SQRT(AE177),"")</f>
        <v>160.208891416453</v>
      </c>
      <c r="AG177" s="63" t="n">
        <f aca="false">IF(COUNT(I177:K177)&gt;0,VLOOKUP(COUNT(I177:K177),$AX$2:$AZ$5,3)*(AF177/SQRT(COUNT(I177:K177))),"")</f>
        <v>398.013070258959</v>
      </c>
      <c r="AH177" s="63" t="n">
        <f aca="false">IF(COUNT(I177:K177)&gt;0,AD177-AG177,"")</f>
        <v>571.653596407708</v>
      </c>
      <c r="AI177" s="63" t="n">
        <f aca="false">IF(COUNT(I177:K177)&gt;0,AD177+AG177,"")</f>
        <v>1367.67973692563</v>
      </c>
      <c r="AJ177" s="64" t="n">
        <f aca="false">IF(COUNT(I177:K177)&gt;0,AF177/AD177,"")</f>
        <v>0.165220582416418</v>
      </c>
      <c r="AK177" s="65" t="n">
        <f aca="false">IF(SUM(L177:N177)&gt;0,AVERAGE(L177:N177),"")</f>
        <v>1121.5</v>
      </c>
      <c r="AL177" s="66" t="n">
        <f aca="false">IF(SUM(L177:N177)&gt;0, ( IF(L177&gt;0,(L177-AK177)^2,0) + IF(M177&gt;0,(M177-AK177)^2,0) + IF(N177&gt;0,(N177-AK177)^2,0) ) / COUNT(L177:N177),"")</f>
        <v>18090.25</v>
      </c>
      <c r="AM177" s="63" t="n">
        <f aca="false">IF(SUM(L177:N177)&gt;0,SQRT(AL177),"")</f>
        <v>134.5</v>
      </c>
      <c r="AN177" s="63" t="n">
        <f aca="false">IF(COUNT(L177:N177)&gt;0,VLOOKUP(COUNT(L177:N177),$AX$2:$AZ$5,3)*(AM177/SQRT(COUNT(L177:N177))),"")</f>
        <v>1208.41508345622</v>
      </c>
      <c r="AO177" s="63" t="n">
        <f aca="false">IF(COUNT(L177:N177)&gt;0,AK177-AN177,"")</f>
        <v>-86.9150834562186</v>
      </c>
      <c r="AP177" s="63" t="n">
        <f aca="false">IF(COUNT(L177:N177)&gt;0,AK177+AN177,"")</f>
        <v>2329.91508345622</v>
      </c>
      <c r="AQ177" s="64" t="n">
        <f aca="false">IF(COUNT(L177:N177)&gt;0,AM177/AK177,"")</f>
        <v>0.119928666963888</v>
      </c>
    </row>
    <row r="178" customFormat="false" ht="12.8" hidden="false" customHeight="false" outlineLevel="0" collapsed="false">
      <c r="A178" s="56" t="s">
        <v>50</v>
      </c>
      <c r="B178" s="57" t="n">
        <v>30</v>
      </c>
      <c r="C178" s="56" t="n">
        <v>666</v>
      </c>
      <c r="D178" s="25" t="n">
        <v>734</v>
      </c>
      <c r="E178" s="57" t="n">
        <v>750</v>
      </c>
      <c r="F178" s="58" t="n">
        <v>593</v>
      </c>
      <c r="G178" s="0" t="n">
        <v>540</v>
      </c>
      <c r="H178" s="59" t="n">
        <v>684</v>
      </c>
      <c r="I178" s="56" t="n">
        <v>750</v>
      </c>
      <c r="J178" s="0" t="n">
        <v>683</v>
      </c>
      <c r="K178" s="57" t="n">
        <v>641</v>
      </c>
      <c r="L178" s="56"/>
      <c r="M178" s="0" t="n">
        <v>684</v>
      </c>
      <c r="N178" s="57" t="n">
        <v>713</v>
      </c>
      <c r="O178" s="65" t="n">
        <f aca="false">IF(SUM(C178:E178)&gt;0,AVERAGE(C178:E178),"")</f>
        <v>716.666666666667</v>
      </c>
      <c r="P178" s="66" t="n">
        <f aca="false">IF(SUM(C178:E178)&gt;0, ( IF(C178&gt;0,(C178-O178)^2,0) + IF(D178&gt;0,(D178-O178)^2,0) + IF(E178&gt;0,(E178-O178)^2,0) ) / COUNT(C178:E178),"")</f>
        <v>1326.22222222222</v>
      </c>
      <c r="Q178" s="63" t="n">
        <f aca="false">IF(SUM(C178:E178)&gt;0,SQRT(P178),"")</f>
        <v>36.4173340899938</v>
      </c>
      <c r="R178" s="63" t="n">
        <f aca="false">IF(COUNT(C178:E178)&gt;0,VLOOKUP(COUNT(C178:E178),$AX$2:$AZ$5,3)*(Q178/SQRT(COUNT(C178:E178))),"")</f>
        <v>90.4729745250338</v>
      </c>
      <c r="S178" s="63" t="n">
        <f aca="false">IF(COUNT(C178:E178)&gt;0,O178-R178,"")</f>
        <v>626.193692141633</v>
      </c>
      <c r="T178" s="63" t="n">
        <f aca="false">IF(COUNT(C178:E178)&gt;0,O178+R178,"")</f>
        <v>807.1396411917</v>
      </c>
      <c r="U178" s="64" t="n">
        <f aca="false">IF(COUNT(C178:E178)&gt;0,Q178/O178,"")</f>
        <v>0.0508148847767355</v>
      </c>
      <c r="V178" s="65" t="n">
        <f aca="false">IF(SUM(F178:H178)&gt;0,AVERAGE(F178:H178),"")</f>
        <v>605.666666666667</v>
      </c>
      <c r="W178" s="66" t="n">
        <f aca="false">IF(SUM(F178:H178)&gt;0, ( IF(F178&gt;0,(F178-V178)^2,0) + IF(G178&gt;0,(G178-V178)^2,0) + IF(H178&gt;0,(H178-V178)^2,0) ) / COUNT(F178:H178),"")</f>
        <v>3536.22222222222</v>
      </c>
      <c r="X178" s="63" t="n">
        <f aca="false">IF(SUM(F178:H178)&gt;0,SQRT(W178),"")</f>
        <v>59.4661434954565</v>
      </c>
      <c r="Y178" s="63" t="n">
        <f aca="false">IF(COUNT(F178:H178)&gt;0,VLOOKUP(COUNT(F178:H178),$AX$2:$AZ$5,3)*(X178/SQRT(COUNT(F178:H178))),"")</f>
        <v>147.734012387378</v>
      </c>
      <c r="Z178" s="63" t="n">
        <f aca="false">IF(COUNT(F178:H178)&gt;0,V178-Y178,"")</f>
        <v>457.932654279288</v>
      </c>
      <c r="AA178" s="63" t="n">
        <f aca="false">IF(COUNT(F178:H178)&gt;0,V178+Y178,"")</f>
        <v>753.400679054045</v>
      </c>
      <c r="AB178" s="64" t="n">
        <f aca="false">IF(COUNT(F178:H178)&gt;0,X178/V178,"")</f>
        <v>0.0981829556887009</v>
      </c>
      <c r="AC178" s="26"/>
      <c r="AD178" s="65" t="n">
        <f aca="false">IF(SUM(I178:K178)&gt;0,AVERAGE(I178:K178),"")</f>
        <v>691.333333333333</v>
      </c>
      <c r="AE178" s="66" t="n">
        <f aca="false">IF(SUM(I178:K178)&gt;0, ( IF(I178&gt;0,(I178-AD178)^2,0) + IF(J178&gt;0,(J178-AD178)^2,0) + IF(K178&gt;0,(K178-AD178)^2,0) ) / COUNT(I178:K178),"")</f>
        <v>2014.88888888889</v>
      </c>
      <c r="AF178" s="63" t="n">
        <f aca="false">IF(SUM(I178:K178)&gt;0,SQRT(AE178),"")</f>
        <v>44.8875137303113</v>
      </c>
      <c r="AG178" s="63" t="n">
        <f aca="false">IF(COUNT(I178:K178)&gt;0,VLOOKUP(COUNT(I178:K178),$AX$2:$AZ$5,3)*(AF178/SQRT(COUNT(I178:K178))),"")</f>
        <v>111.515765436834</v>
      </c>
      <c r="AH178" s="63" t="n">
        <f aca="false">IF(COUNT(I178:K178)&gt;0,AD178-AG178,"")</f>
        <v>579.817567896499</v>
      </c>
      <c r="AI178" s="63" t="n">
        <f aca="false">IF(COUNT(I178:K178)&gt;0,AD178+AG178,"")</f>
        <v>802.849098770167</v>
      </c>
      <c r="AJ178" s="64" t="n">
        <f aca="false">IF(COUNT(I178:K178)&gt;0,AF178/AD178,"")</f>
        <v>0.0649289012492449</v>
      </c>
      <c r="AK178" s="65" t="n">
        <f aca="false">IF(SUM(L178:N178)&gt;0,AVERAGE(L178:N178),"")</f>
        <v>698.5</v>
      </c>
      <c r="AL178" s="66" t="n">
        <f aca="false">IF(SUM(L178:N178)&gt;0, ( IF(L178&gt;0,(L178-AK178)^2,0) + IF(M178&gt;0,(M178-AK178)^2,0) + IF(N178&gt;0,(N178-AK178)^2,0) ) / COUNT(L178:N178),"")</f>
        <v>210.25</v>
      </c>
      <c r="AM178" s="63" t="n">
        <f aca="false">IF(SUM(L178:N178)&gt;0,SQRT(AL178),"")</f>
        <v>14.5</v>
      </c>
      <c r="AN178" s="63" t="n">
        <f aca="false">IF(COUNT(L178:N178)&gt;0,VLOOKUP(COUNT(L178:N178),$AX$2:$AZ$5,3)*(AM178/SQRT(COUNT(L178:N178))),"")</f>
        <v>130.275232045466</v>
      </c>
      <c r="AO178" s="63" t="n">
        <f aca="false">IF(COUNT(L178:N178)&gt;0,AK178-AN178,"")</f>
        <v>568.224767954534</v>
      </c>
      <c r="AP178" s="63" t="n">
        <f aca="false">IF(COUNT(L178:N178)&gt;0,AK178+AN178,"")</f>
        <v>828.775232045466</v>
      </c>
      <c r="AQ178" s="64" t="n">
        <f aca="false">IF(COUNT(L178:N178)&gt;0,AM178/AK178,"")</f>
        <v>0.0207587687902649</v>
      </c>
    </row>
    <row r="179" customFormat="false" ht="12.8" hidden="false" customHeight="false" outlineLevel="0" collapsed="false">
      <c r="A179" s="56" t="s">
        <v>50</v>
      </c>
      <c r="B179" s="57" t="n">
        <v>40</v>
      </c>
      <c r="C179" s="56" t="n">
        <v>542</v>
      </c>
      <c r="D179" s="25" t="n">
        <v>673</v>
      </c>
      <c r="E179" s="57" t="n">
        <v>632</v>
      </c>
      <c r="F179" s="58"/>
      <c r="G179" s="0" t="n">
        <v>515</v>
      </c>
      <c r="H179" s="59" t="n">
        <v>517</v>
      </c>
      <c r="I179" s="56" t="n">
        <v>627</v>
      </c>
      <c r="J179" s="0" t="n">
        <v>527</v>
      </c>
      <c r="K179" s="57" t="n">
        <v>426</v>
      </c>
      <c r="L179" s="56"/>
      <c r="M179" s="0" t="n">
        <v>688</v>
      </c>
      <c r="N179" s="57" t="n">
        <v>550</v>
      </c>
      <c r="O179" s="65" t="n">
        <f aca="false">IF(SUM(C179:E179)&gt;0,AVERAGE(C179:E179),"")</f>
        <v>615.666666666667</v>
      </c>
      <c r="P179" s="66" t="n">
        <f aca="false">IF(SUM(C179:E179)&gt;0, ( IF(C179&gt;0,(C179-O179)^2,0) + IF(D179&gt;0,(D179-O179)^2,0) + IF(E179&gt;0,(E179-O179)^2,0) ) / COUNT(C179:E179),"")</f>
        <v>2993.55555555556</v>
      </c>
      <c r="Q179" s="63" t="n">
        <f aca="false">IF(SUM(C179:E179)&gt;0,SQRT(P179),"")</f>
        <v>54.7133946630581</v>
      </c>
      <c r="R179" s="63" t="n">
        <f aca="false">IF(COUNT(C179:E179)&gt;0,VLOOKUP(COUNT(C179:E179),$AX$2:$AZ$5,3)*(Q179/SQRT(COUNT(C179:E179))),"")</f>
        <v>135.926576868489</v>
      </c>
      <c r="S179" s="63" t="n">
        <f aca="false">IF(COUNT(C179:E179)&gt;0,O179-R179,"")</f>
        <v>479.740089798178</v>
      </c>
      <c r="T179" s="63" t="n">
        <f aca="false">IF(COUNT(C179:E179)&gt;0,O179+R179,"")</f>
        <v>751.593243535155</v>
      </c>
      <c r="U179" s="64" t="n">
        <f aca="false">IF(COUNT(C179:E179)&gt;0,Q179/O179,"")</f>
        <v>0.0888685349156331</v>
      </c>
      <c r="V179" s="65" t="n">
        <f aca="false">IF(SUM(F179:H179)&gt;0,AVERAGE(F179:H179),"")</f>
        <v>516</v>
      </c>
      <c r="W179" s="66" t="n">
        <f aca="false">IF(SUM(F179:H179)&gt;0, ( IF(F179&gt;0,(F179-V179)^2,0) + IF(G179&gt;0,(G179-V179)^2,0) + IF(H179&gt;0,(H179-V179)^2,0) ) / COUNT(F179:H179),"")</f>
        <v>1</v>
      </c>
      <c r="X179" s="63" t="n">
        <f aca="false">IF(SUM(F179:H179)&gt;0,SQRT(W179),"")</f>
        <v>1</v>
      </c>
      <c r="Y179" s="63" t="n">
        <f aca="false">IF(COUNT(F179:H179)&gt;0,VLOOKUP(COUNT(F179:H179),$AX$2:$AZ$5,3)*(X179/SQRT(COUNT(F179:H179))),"")</f>
        <v>8.98449876175627</v>
      </c>
      <c r="Z179" s="63" t="n">
        <f aca="false">IF(COUNT(F179:H179)&gt;0,V179-Y179,"")</f>
        <v>507.015501238244</v>
      </c>
      <c r="AA179" s="63" t="n">
        <f aca="false">IF(COUNT(F179:H179)&gt;0,V179+Y179,"")</f>
        <v>524.984498761756</v>
      </c>
      <c r="AB179" s="64" t="n">
        <f aca="false">IF(COUNT(F179:H179)&gt;0,X179/V179,"")</f>
        <v>0.00193798449612403</v>
      </c>
      <c r="AC179" s="26"/>
      <c r="AD179" s="65" t="n">
        <f aca="false">IF(SUM(I179:K179)&gt;0,AVERAGE(I179:K179),"")</f>
        <v>526.666666666667</v>
      </c>
      <c r="AE179" s="66" t="n">
        <f aca="false">IF(SUM(I179:K179)&gt;0, ( IF(I179&gt;0,(I179-AD179)^2,0) + IF(J179&gt;0,(J179-AD179)^2,0) + IF(K179&gt;0,(K179-AD179)^2,0) ) / COUNT(I179:K179),"")</f>
        <v>6733.55555555556</v>
      </c>
      <c r="AF179" s="63" t="n">
        <f aca="false">IF(SUM(I179:K179)&gt;0,SQRT(AE179),"")</f>
        <v>82.0582448968753</v>
      </c>
      <c r="AG179" s="63" t="n">
        <f aca="false">IF(COUNT(I179:K179)&gt;0,VLOOKUP(COUNT(I179:K179),$AX$2:$AZ$5,3)*(AF179/SQRT(COUNT(I179:K179))),"")</f>
        <v>203.86043310523</v>
      </c>
      <c r="AH179" s="63" t="n">
        <f aca="false">IF(COUNT(I179:K179)&gt;0,AD179-AG179,"")</f>
        <v>322.806233561437</v>
      </c>
      <c r="AI179" s="63" t="n">
        <f aca="false">IF(COUNT(I179:K179)&gt;0,AD179+AG179,"")</f>
        <v>730.527099771896</v>
      </c>
      <c r="AJ179" s="64" t="n">
        <f aca="false">IF(COUNT(I179:K179)&gt;0,AF179/AD179,"")</f>
        <v>0.155806794107991</v>
      </c>
      <c r="AK179" s="65" t="n">
        <f aca="false">IF(SUM(L179:N179)&gt;0,AVERAGE(L179:N179),"")</f>
        <v>619</v>
      </c>
      <c r="AL179" s="66" t="n">
        <f aca="false">IF(SUM(L179:N179)&gt;0, ( IF(L179&gt;0,(L179-AK179)^2,0) + IF(M179&gt;0,(M179-AK179)^2,0) + IF(N179&gt;0,(N179-AK179)^2,0) ) / COUNT(L179:N179),"")</f>
        <v>4761</v>
      </c>
      <c r="AM179" s="63" t="n">
        <f aca="false">IF(SUM(L179:N179)&gt;0,SQRT(AL179),"")</f>
        <v>69</v>
      </c>
      <c r="AN179" s="63" t="n">
        <f aca="false">IF(COUNT(L179:N179)&gt;0,VLOOKUP(COUNT(L179:N179),$AX$2:$AZ$5,3)*(AM179/SQRT(COUNT(L179:N179))),"")</f>
        <v>619.930414561183</v>
      </c>
      <c r="AO179" s="63" t="n">
        <f aca="false">IF(COUNT(L179:N179)&gt;0,AK179-AN179,"")</f>
        <v>-0.930414561182715</v>
      </c>
      <c r="AP179" s="63" t="n">
        <f aca="false">IF(COUNT(L179:N179)&gt;0,AK179+AN179,"")</f>
        <v>1238.93041456118</v>
      </c>
      <c r="AQ179" s="64" t="n">
        <f aca="false">IF(COUNT(L179:N179)&gt;0,AM179/AK179,"")</f>
        <v>0.111470113085622</v>
      </c>
    </row>
    <row r="180" customFormat="false" ht="12.8" hidden="false" customHeight="false" outlineLevel="0" collapsed="false">
      <c r="A180" s="56" t="s">
        <v>50</v>
      </c>
      <c r="B180" s="57" t="n">
        <v>50</v>
      </c>
      <c r="C180" s="56" t="n">
        <v>548</v>
      </c>
      <c r="D180" s="25" t="n">
        <v>468</v>
      </c>
      <c r="E180" s="57" t="n">
        <v>486</v>
      </c>
      <c r="F180" s="58" t="n">
        <v>391</v>
      </c>
      <c r="G180" s="0" t="n">
        <v>393</v>
      </c>
      <c r="H180" s="59" t="n">
        <v>405</v>
      </c>
      <c r="I180" s="56" t="n">
        <v>487</v>
      </c>
      <c r="J180" s="0" t="n">
        <v>456</v>
      </c>
      <c r="K180" s="57" t="n">
        <v>470</v>
      </c>
      <c r="L180" s="56"/>
      <c r="M180" s="0" t="n">
        <v>417</v>
      </c>
      <c r="N180" s="57" t="n">
        <v>487</v>
      </c>
      <c r="O180" s="65" t="n">
        <f aca="false">IF(SUM(C180:E180)&gt;0,AVERAGE(C180:E180),"")</f>
        <v>500.666666666667</v>
      </c>
      <c r="P180" s="66" t="n">
        <f aca="false">IF(SUM(C180:E180)&gt;0, ( IF(C180&gt;0,(C180-O180)^2,0) + IF(D180&gt;0,(D180-O180)^2,0) + IF(E180&gt;0,(E180-O180)^2,0) ) / COUNT(C180:E180),"")</f>
        <v>1174.22222222222</v>
      </c>
      <c r="Q180" s="63" t="n">
        <f aca="false">IF(SUM(C180:E180)&gt;0,SQRT(P180),"")</f>
        <v>34.2669260690571</v>
      </c>
      <c r="R180" s="63" t="n">
        <f aca="false">IF(COUNT(C180:E180)&gt;0,VLOOKUP(COUNT(C180:E180),$AX$2:$AZ$5,3)*(Q180/SQRT(COUNT(C180:E180))),"")</f>
        <v>85.1306337151365</v>
      </c>
      <c r="S180" s="63" t="n">
        <f aca="false">IF(COUNT(C180:E180)&gt;0,O180-R180,"")</f>
        <v>415.53603295153</v>
      </c>
      <c r="T180" s="63" t="n">
        <f aca="false">IF(COUNT(C180:E180)&gt;0,O180+R180,"")</f>
        <v>585.797300381803</v>
      </c>
      <c r="U180" s="64" t="n">
        <f aca="false">IF(COUNT(C180:E180)&gt;0,Q180/O180,"")</f>
        <v>0.0684425953443217</v>
      </c>
      <c r="V180" s="65" t="n">
        <f aca="false">IF(SUM(F180:H180)&gt;0,AVERAGE(F180:H180),"")</f>
        <v>396.333333333333</v>
      </c>
      <c r="W180" s="66" t="n">
        <f aca="false">IF(SUM(F180:H180)&gt;0, ( IF(F180&gt;0,(F180-V180)^2,0) + IF(G180&gt;0,(G180-V180)^2,0) + IF(H180&gt;0,(H180-V180)^2,0) ) / COUNT(F180:H180),"")</f>
        <v>38.2222222222222</v>
      </c>
      <c r="X180" s="63" t="n">
        <f aca="false">IF(SUM(F180:H180)&gt;0,SQRT(W180),"")</f>
        <v>6.18241233033047</v>
      </c>
      <c r="Y180" s="63" t="n">
        <f aca="false">IF(COUNT(F180:H180)&gt;0,VLOOKUP(COUNT(F180:H180),$AX$2:$AZ$5,3)*(X180/SQRT(COUNT(F180:H180))),"")</f>
        <v>15.359203171847</v>
      </c>
      <c r="Z180" s="63" t="n">
        <f aca="false">IF(COUNT(F180:H180)&gt;0,V180-Y180,"")</f>
        <v>380.974130161486</v>
      </c>
      <c r="AA180" s="63" t="n">
        <f aca="false">IF(COUNT(F180:H180)&gt;0,V180+Y180,"")</f>
        <v>411.69253650518</v>
      </c>
      <c r="AB180" s="64" t="n">
        <f aca="false">IF(COUNT(F180:H180)&gt;0,X180/V180,"")</f>
        <v>0.0155990218595386</v>
      </c>
      <c r="AC180" s="26"/>
      <c r="AD180" s="65" t="n">
        <f aca="false">IF(SUM(I180:K180)&gt;0,AVERAGE(I180:K180),"")</f>
        <v>471</v>
      </c>
      <c r="AE180" s="66" t="n">
        <f aca="false">IF(SUM(I180:K180)&gt;0, ( IF(I180&gt;0,(I180-AD180)^2,0) + IF(J180&gt;0,(J180-AD180)^2,0) + IF(K180&gt;0,(K180-AD180)^2,0) ) / COUNT(I180:K180),"")</f>
        <v>160.666666666667</v>
      </c>
      <c r="AF180" s="63" t="n">
        <f aca="false">IF(SUM(I180:K180)&gt;0,SQRT(AE180),"")</f>
        <v>12.675435561221</v>
      </c>
      <c r="AG180" s="63" t="n">
        <f aca="false">IF(COUNT(I180:K180)&gt;0,VLOOKUP(COUNT(I180:K180),$AX$2:$AZ$5,3)*(AF180/SQRT(COUNT(I180:K180))),"")</f>
        <v>31.490068871877</v>
      </c>
      <c r="AH180" s="63" t="n">
        <f aca="false">IF(COUNT(I180:K180)&gt;0,AD180-AG180,"")</f>
        <v>439.509931128123</v>
      </c>
      <c r="AI180" s="63" t="n">
        <f aca="false">IF(COUNT(I180:K180)&gt;0,AD180+AG180,"")</f>
        <v>502.490068871877</v>
      </c>
      <c r="AJ180" s="64" t="n">
        <f aca="false">IF(COUNT(I180:K180)&gt;0,AF180/AD180,"")</f>
        <v>0.0269117527839088</v>
      </c>
      <c r="AK180" s="65" t="n">
        <f aca="false">IF(SUM(L180:N180)&gt;0,AVERAGE(L180:N180),"")</f>
        <v>452</v>
      </c>
      <c r="AL180" s="66" t="n">
        <f aca="false">IF(SUM(L180:N180)&gt;0, ( IF(L180&gt;0,(L180-AK180)^2,0) + IF(M180&gt;0,(M180-AK180)^2,0) + IF(N180&gt;0,(N180-AK180)^2,0) ) / COUNT(L180:N180),"")</f>
        <v>1225</v>
      </c>
      <c r="AM180" s="63" t="n">
        <f aca="false">IF(SUM(L180:N180)&gt;0,SQRT(AL180),"")</f>
        <v>35</v>
      </c>
      <c r="AN180" s="63" t="n">
        <f aca="false">IF(COUNT(L180:N180)&gt;0,VLOOKUP(COUNT(L180:N180),$AX$2:$AZ$5,3)*(AM180/SQRT(COUNT(L180:N180))),"")</f>
        <v>314.45745666147</v>
      </c>
      <c r="AO180" s="63" t="n">
        <f aca="false">IF(COUNT(L180:N180)&gt;0,AK180-AN180,"")</f>
        <v>137.542543338531</v>
      </c>
      <c r="AP180" s="63" t="n">
        <f aca="false">IF(COUNT(L180:N180)&gt;0,AK180+AN180,"")</f>
        <v>766.45745666147</v>
      </c>
      <c r="AQ180" s="64" t="n">
        <f aca="false">IF(COUNT(L180:N180)&gt;0,AM180/AK180,"")</f>
        <v>0.0774336283185841</v>
      </c>
    </row>
    <row r="181" customFormat="false" ht="12.8" hidden="false" customHeight="true" outlineLevel="0" collapsed="false">
      <c r="A181" s="56" t="s">
        <v>50</v>
      </c>
      <c r="B181" s="57" t="n">
        <v>64</v>
      </c>
      <c r="C181" s="56" t="n">
        <v>474</v>
      </c>
      <c r="D181" s="25" t="n">
        <v>376</v>
      </c>
      <c r="E181" s="57" t="n">
        <v>356</v>
      </c>
      <c r="F181" s="58" t="n">
        <v>461</v>
      </c>
      <c r="G181" s="0" t="n">
        <v>399</v>
      </c>
      <c r="H181" s="59" t="n">
        <v>311</v>
      </c>
      <c r="I181" s="56" t="n">
        <v>413</v>
      </c>
      <c r="J181" s="0" t="n">
        <v>363</v>
      </c>
      <c r="K181" s="57" t="n">
        <v>365</v>
      </c>
      <c r="L181" s="56"/>
      <c r="M181" s="0" t="n">
        <v>373</v>
      </c>
      <c r="N181" s="57" t="n">
        <v>422</v>
      </c>
      <c r="O181" s="65" t="n">
        <f aca="false">IF(SUM(C181:E181)&gt;0,AVERAGE(C181:E181),"")</f>
        <v>402</v>
      </c>
      <c r="P181" s="66" t="n">
        <f aca="false">IF(SUM(C181:E181)&gt;0, ( IF(C181&gt;0,(C181-O181)^2,0) + IF(D181&gt;0,(D181-O181)^2,0) + IF(E181&gt;0,(E181-O181)^2,0) ) / COUNT(C181:E181),"")</f>
        <v>2658.66666666667</v>
      </c>
      <c r="Q181" s="63" t="n">
        <f aca="false">IF(SUM(C181:E181)&gt;0,SQRT(P181),"")</f>
        <v>51.562260100452</v>
      </c>
      <c r="R181" s="63" t="n">
        <f aca="false">IF(COUNT(C181:E181)&gt;0,VLOOKUP(COUNT(C181:E181),$AX$2:$AZ$5,3)*(Q181/SQRT(COUNT(C181:E181))),"")</f>
        <v>128.098092875039</v>
      </c>
      <c r="S181" s="63" t="n">
        <f aca="false">IF(COUNT(C181:E181)&gt;0,O181-R181,"")</f>
        <v>273.901907124961</v>
      </c>
      <c r="T181" s="63" t="n">
        <f aca="false">IF(COUNT(C181:E181)&gt;0,O181+R181,"")</f>
        <v>530.098092875039</v>
      </c>
      <c r="U181" s="64" t="n">
        <f aca="false">IF(COUNT(C181:E181)&gt;0,Q181/O181,"")</f>
        <v>0.12826432860809</v>
      </c>
      <c r="V181" s="65" t="n">
        <f aca="false">IF(SUM(F181:H181)&gt;0,AVERAGE(F181:H181),"")</f>
        <v>390.333333333333</v>
      </c>
      <c r="W181" s="66" t="n">
        <f aca="false">IF(SUM(F181:H181)&gt;0, ( IF(F181&gt;0,(F181-V181)^2,0) + IF(G181&gt;0,(G181-V181)^2,0) + IF(H181&gt;0,(H181-V181)^2,0) ) / COUNT(F181:H181),"")</f>
        <v>3787.55555555556</v>
      </c>
      <c r="X181" s="63" t="n">
        <f aca="false">IF(SUM(F181:H181)&gt;0,SQRT(W181),"")</f>
        <v>61.5431194818361</v>
      </c>
      <c r="Y181" s="63" t="n">
        <f aca="false">IF(COUNT(F181:H181)&gt;0,VLOOKUP(COUNT(F181:H181),$AX$2:$AZ$5,3)*(X181/SQRT(COUNT(F181:H181))),"")</f>
        <v>152.893923188111</v>
      </c>
      <c r="Z181" s="63" t="n">
        <f aca="false">IF(COUNT(F181:H181)&gt;0,V181-Y181,"")</f>
        <v>237.439410145223</v>
      </c>
      <c r="AA181" s="63" t="n">
        <f aca="false">IF(COUNT(F181:H181)&gt;0,V181+Y181,"")</f>
        <v>543.227256521444</v>
      </c>
      <c r="AB181" s="64" t="n">
        <f aca="false">IF(COUNT(F181:H181)&gt;0,X181/V181,"")</f>
        <v>0.157668111396677</v>
      </c>
      <c r="AC181" s="26"/>
      <c r="AD181" s="65" t="n">
        <f aca="false">IF(SUM(I181:K181)&gt;0,AVERAGE(I181:K181),"")</f>
        <v>380.333333333333</v>
      </c>
      <c r="AE181" s="66" t="n">
        <f aca="false">IF(SUM(I181:K181)&gt;0, ( IF(I181&gt;0,(I181-AD181)^2,0) + IF(J181&gt;0,(J181-AD181)^2,0) + IF(K181&gt;0,(K181-AD181)^2,0) ) / COUNT(I181:K181),"")</f>
        <v>534.222222222222</v>
      </c>
      <c r="AF181" s="63" t="n">
        <f aca="false">IF(SUM(I181:K181)&gt;0,SQRT(AE181),"")</f>
        <v>23.1132477644796</v>
      </c>
      <c r="AG181" s="63" t="n">
        <f aca="false">IF(COUNT(I181:K181)&gt;0,VLOOKUP(COUNT(I181:K181),$AX$2:$AZ$5,3)*(AF181/SQRT(COUNT(I181:K181))),"")</f>
        <v>57.421124539732</v>
      </c>
      <c r="AH181" s="63" t="n">
        <f aca="false">IF(COUNT(I181:K181)&gt;0,AD181-AG181,"")</f>
        <v>322.912208793601</v>
      </c>
      <c r="AI181" s="63" t="n">
        <f aca="false">IF(COUNT(I181:K181)&gt;0,AD181+AG181,"")</f>
        <v>437.754457873065</v>
      </c>
      <c r="AJ181" s="64" t="n">
        <f aca="false">IF(COUNT(I181:K181)&gt;0,AF181/AD181,"")</f>
        <v>0.060771028302751</v>
      </c>
      <c r="AK181" s="65" t="n">
        <f aca="false">IF(SUM(L181:N181)&gt;0,AVERAGE(L181:N181),"")</f>
        <v>397.5</v>
      </c>
      <c r="AL181" s="66" t="n">
        <f aca="false">IF(SUM(L181:N181)&gt;0, ( IF(L181&gt;0,(L181-AK181)^2,0) + IF(M181&gt;0,(M181-AK181)^2,0) + IF(N181&gt;0,(N181-AK181)^2,0) ) / COUNT(L181:N181),"")</f>
        <v>600.25</v>
      </c>
      <c r="AM181" s="63" t="n">
        <f aca="false">IF(SUM(L181:N181)&gt;0,SQRT(AL181),"")</f>
        <v>24.5</v>
      </c>
      <c r="AN181" s="63" t="n">
        <f aca="false">IF(COUNT(L181:N181)&gt;0,VLOOKUP(COUNT(L181:N181),$AX$2:$AZ$5,3)*(AM181/SQRT(COUNT(L181:N181))),"")</f>
        <v>220.120219663029</v>
      </c>
      <c r="AO181" s="63" t="n">
        <f aca="false">IF(COUNT(L181:N181)&gt;0,AK181-AN181,"")</f>
        <v>177.379780336971</v>
      </c>
      <c r="AP181" s="63" t="n">
        <f aca="false">IF(COUNT(L181:N181)&gt;0,AK181+AN181,"")</f>
        <v>617.620219663029</v>
      </c>
      <c r="AQ181" s="64" t="n">
        <f aca="false">IF(COUNT(L181:N181)&gt;0,AM181/AK181,"")</f>
        <v>0.0616352201257862</v>
      </c>
    </row>
    <row r="182" customFormat="false" ht="12.8" hidden="false" customHeight="false" outlineLevel="0" collapsed="false">
      <c r="A182" s="56" t="s">
        <v>50</v>
      </c>
      <c r="B182" s="57" t="n">
        <v>82</v>
      </c>
      <c r="C182" s="56" t="n">
        <v>364</v>
      </c>
      <c r="D182" s="25" t="n">
        <v>298</v>
      </c>
      <c r="E182" s="57" t="n">
        <v>309</v>
      </c>
      <c r="F182" s="58" t="n">
        <v>239</v>
      </c>
      <c r="H182" s="59" t="n">
        <v>246</v>
      </c>
      <c r="I182" s="56" t="n">
        <v>355</v>
      </c>
      <c r="J182" s="0" t="n">
        <v>334</v>
      </c>
      <c r="K182" s="57" t="n">
        <v>301</v>
      </c>
      <c r="L182" s="56"/>
      <c r="M182" s="0" t="n">
        <v>312</v>
      </c>
      <c r="N182" s="57" t="n">
        <v>319</v>
      </c>
      <c r="O182" s="65" t="n">
        <f aca="false">IF(SUM(C182:E182)&gt;0,AVERAGE(C182:E182),"")</f>
        <v>323.666666666667</v>
      </c>
      <c r="P182" s="66" t="n">
        <f aca="false">IF(SUM(C182:E182)&gt;0, ( IF(C182&gt;0,(C182-O182)^2,0) + IF(D182&gt;0,(D182-O182)^2,0) + IF(E182&gt;0,(E182-O182)^2,0) ) / COUNT(C182:E182),"")</f>
        <v>833.555555555556</v>
      </c>
      <c r="Q182" s="63" t="n">
        <f aca="false">IF(SUM(C182:E182)&gt;0,SQRT(P182),"")</f>
        <v>28.87136220471</v>
      </c>
      <c r="R182" s="63" t="n">
        <f aca="false">IF(COUNT(C182:E182)&gt;0,VLOOKUP(COUNT(C182:E182),$AX$2:$AZ$5,3)*(Q182/SQRT(COUNT(C182:E182))),"")</f>
        <v>71.7262282514924</v>
      </c>
      <c r="S182" s="63" t="n">
        <f aca="false">IF(COUNT(C182:E182)&gt;0,O182-R182,"")</f>
        <v>251.940438415174</v>
      </c>
      <c r="T182" s="63" t="n">
        <f aca="false">IF(COUNT(C182:E182)&gt;0,O182+R182,"")</f>
        <v>395.392894918159</v>
      </c>
      <c r="U182" s="64" t="n">
        <f aca="false">IF(COUNT(C182:E182)&gt;0,Q182/O182,"")</f>
        <v>0.0892009130938516</v>
      </c>
      <c r="V182" s="65" t="n">
        <f aca="false">IF(SUM(F182:H182)&gt;0,AVERAGE(F182:H182),"")</f>
        <v>242.5</v>
      </c>
      <c r="W182" s="66" t="n">
        <f aca="false">IF(SUM(F182:H182)&gt;0, ( IF(F182&gt;0,(F182-V182)^2,0) + IF(G182&gt;0,(G182-V182)^2,0) + IF(H182&gt;0,(H182-V182)^2,0) ) / COUNT(F182:H182),"")</f>
        <v>12.25</v>
      </c>
      <c r="X182" s="63" t="n">
        <f aca="false">IF(SUM(F182:H182)&gt;0,SQRT(W182),"")</f>
        <v>3.5</v>
      </c>
      <c r="Y182" s="63" t="n">
        <f aca="false">IF(COUNT(F182:H182)&gt;0,VLOOKUP(COUNT(F182:H182),$AX$2:$AZ$5,3)*(X182/SQRT(COUNT(F182:H182))),"")</f>
        <v>31.445745666147</v>
      </c>
      <c r="Z182" s="63" t="n">
        <f aca="false">IF(COUNT(F182:H182)&gt;0,V182-Y182,"")</f>
        <v>211.054254333853</v>
      </c>
      <c r="AA182" s="63" t="n">
        <f aca="false">IF(COUNT(F182:H182)&gt;0,V182+Y182,"")</f>
        <v>273.945745666147</v>
      </c>
      <c r="AB182" s="64" t="n">
        <f aca="false">IF(COUNT(F182:H182)&gt;0,X182/V182,"")</f>
        <v>0.0144329896907217</v>
      </c>
      <c r="AC182" s="26"/>
      <c r="AD182" s="65" t="n">
        <f aca="false">IF(SUM(I182:K182)&gt;0,AVERAGE(I182:K182),"")</f>
        <v>330</v>
      </c>
      <c r="AE182" s="66" t="n">
        <f aca="false">IF(SUM(I182:K182)&gt;0, ( IF(I182&gt;0,(I182-AD182)^2,0) + IF(J182&gt;0,(J182-AD182)^2,0) + IF(K182&gt;0,(K182-AD182)^2,0) ) / COUNT(I182:K182),"")</f>
        <v>494</v>
      </c>
      <c r="AF182" s="63" t="n">
        <f aca="false">IF(SUM(I182:K182)&gt;0,SQRT(AE182),"")</f>
        <v>22.2261107708929</v>
      </c>
      <c r="AG182" s="63" t="n">
        <f aca="false">IF(COUNT(I182:K182)&gt;0,VLOOKUP(COUNT(I182:K182),$AX$2:$AZ$5,3)*(AF182/SQRT(COUNT(I182:K182))),"")</f>
        <v>55.2171762105476</v>
      </c>
      <c r="AH182" s="63" t="n">
        <f aca="false">IF(COUNT(I182:K182)&gt;0,AD182-AG182,"")</f>
        <v>274.782823789452</v>
      </c>
      <c r="AI182" s="63" t="n">
        <f aca="false">IF(COUNT(I182:K182)&gt;0,AD182+AG182,"")</f>
        <v>385.217176210548</v>
      </c>
      <c r="AJ182" s="64" t="n">
        <f aca="false">IF(COUNT(I182:K182)&gt;0,AF182/AD182,"")</f>
        <v>0.0673518508208875</v>
      </c>
      <c r="AK182" s="65" t="n">
        <f aca="false">IF(SUM(L182:N182)&gt;0,AVERAGE(L182:N182),"")</f>
        <v>315.5</v>
      </c>
      <c r="AL182" s="66" t="n">
        <f aca="false">IF(SUM(L182:N182)&gt;0, ( IF(L182&gt;0,(L182-AK182)^2,0) + IF(M182&gt;0,(M182-AK182)^2,0) + IF(N182&gt;0,(N182-AK182)^2,0) ) / COUNT(L182:N182),"")</f>
        <v>12.25</v>
      </c>
      <c r="AM182" s="63" t="n">
        <f aca="false">IF(SUM(L182:N182)&gt;0,SQRT(AL182),"")</f>
        <v>3.5</v>
      </c>
      <c r="AN182" s="63" t="n">
        <f aca="false">IF(COUNT(L182:N182)&gt;0,VLOOKUP(COUNT(L182:N182),$AX$2:$AZ$5,3)*(AM182/SQRT(COUNT(L182:N182))),"")</f>
        <v>31.445745666147</v>
      </c>
      <c r="AO182" s="63" t="n">
        <f aca="false">IF(COUNT(L182:N182)&gt;0,AK182-AN182,"")</f>
        <v>284.054254333853</v>
      </c>
      <c r="AP182" s="63" t="n">
        <f aca="false">IF(COUNT(L182:N182)&gt;0,AK182+AN182,"")</f>
        <v>346.945745666147</v>
      </c>
      <c r="AQ182" s="64" t="n">
        <f aca="false">IF(COUNT(L182:N182)&gt;0,AM182/AK182,"")</f>
        <v>0.0110935023771791</v>
      </c>
    </row>
    <row r="183" customFormat="false" ht="12.8" hidden="false" customHeight="false" outlineLevel="0" collapsed="false">
      <c r="A183" s="68" t="s">
        <v>50</v>
      </c>
      <c r="B183" s="69" t="n">
        <v>100</v>
      </c>
      <c r="C183" s="68" t="n">
        <v>328</v>
      </c>
      <c r="D183" s="70" t="n">
        <v>229</v>
      </c>
      <c r="E183" s="69" t="n">
        <v>297</v>
      </c>
      <c r="F183" s="71" t="n">
        <v>215</v>
      </c>
      <c r="G183" s="72" t="n">
        <v>211</v>
      </c>
      <c r="H183" s="73" t="n">
        <v>196</v>
      </c>
      <c r="I183" s="68" t="n">
        <v>301</v>
      </c>
      <c r="J183" s="72" t="n">
        <v>242</v>
      </c>
      <c r="K183" s="69"/>
      <c r="L183" s="68"/>
      <c r="M183" s="72" t="n">
        <v>246</v>
      </c>
      <c r="N183" s="69" t="n">
        <v>289</v>
      </c>
      <c r="O183" s="74" t="n">
        <f aca="false">IF(SUM(C183:E183)&gt;0,AVERAGE(C183:E183),"")</f>
        <v>284.666666666667</v>
      </c>
      <c r="P183" s="75" t="n">
        <f aca="false">IF(SUM(C183:E183)&gt;0, ( IF(C183&gt;0,(C183-O183)^2,0) + IF(D183&gt;0,(D183-O183)^2,0) + IF(E183&gt;0,(E183-O183)^2,0) ) / COUNT(C183:E183),"")</f>
        <v>1709.55555555556</v>
      </c>
      <c r="Q183" s="75" t="n">
        <f aca="false">IF(SUM(C183:E183)&gt;0,SQRT(P183),"")</f>
        <v>41.3467720088952</v>
      </c>
      <c r="R183" s="75" t="n">
        <f aca="false">IF(COUNT(C183:E183)&gt;0,VLOOKUP(COUNT(C183:E183),$AX$2:$AZ$5,3)*(Q183/SQRT(COUNT(C183:E183))),"")</f>
        <v>102.719365492516</v>
      </c>
      <c r="S183" s="75" t="n">
        <f aca="false">IF(COUNT(C183:E183)&gt;0,O183-R183,"")</f>
        <v>181.94730117415</v>
      </c>
      <c r="T183" s="75" t="n">
        <f aca="false">IF(COUNT(C183:E183)&gt;0,O183+R183,"")</f>
        <v>387.386032159183</v>
      </c>
      <c r="U183" s="76" t="n">
        <f aca="false">IF(COUNT(C183:E183)&gt;0,Q183/O183,"")</f>
        <v>0.145246271694011</v>
      </c>
      <c r="V183" s="74" t="n">
        <f aca="false">IF(SUM(F183:H183)&gt;0,AVERAGE(F183:H183),"")</f>
        <v>207.333333333333</v>
      </c>
      <c r="W183" s="75" t="n">
        <f aca="false">IF(SUM(F183:H183)&gt;0, ( IF(F183&gt;0,(F183-V183)^2,0) + IF(G183&gt;0,(G183-V183)^2,0) + IF(H183&gt;0,(H183-V183)^2,0) ) / COUNT(F183:H183),"")</f>
        <v>66.8888888888889</v>
      </c>
      <c r="X183" s="75" t="n">
        <f aca="false">IF(SUM(F183:H183)&gt;0,SQRT(W183),"")</f>
        <v>8.17856276425687</v>
      </c>
      <c r="Y183" s="63" t="n">
        <f aca="false">IF(COUNT(F183:H183)&gt;0,VLOOKUP(COUNT(F183:H183),$AX$2:$AZ$5,3)*(X183/SQRT(COUNT(F183:H183))),"")</f>
        <v>20.3183159644108</v>
      </c>
      <c r="Z183" s="75" t="n">
        <f aca="false">IF(COUNT(F183:H183)&gt;0,V183-Y183,"")</f>
        <v>187.015017368923</v>
      </c>
      <c r="AA183" s="75" t="n">
        <f aca="false">IF(COUNT(F183:H183)&gt;0,V183+Y183,"")</f>
        <v>227.651649297744</v>
      </c>
      <c r="AB183" s="76" t="n">
        <f aca="false">IF(COUNT(F183:H183)&gt;0,X183/V183,"")</f>
        <v>0.0394464442005958</v>
      </c>
      <c r="AC183" s="26"/>
      <c r="AD183" s="74" t="n">
        <f aca="false">IF(SUM(I183:K183)&gt;0,AVERAGE(I183:K183),"")</f>
        <v>271.5</v>
      </c>
      <c r="AE183" s="75" t="n">
        <f aca="false">IF(SUM(I183:K183)&gt;0, ( IF(I183&gt;0,(I183-AD183)^2,0) + IF(J183&gt;0,(J183-AD183)^2,0) + IF(K183&gt;0,(K183-AD183)^2,0) ) / COUNT(I183:K183),"")</f>
        <v>870.25</v>
      </c>
      <c r="AF183" s="75" t="n">
        <f aca="false">IF(SUM(I183:K183)&gt;0,SQRT(AE183),"")</f>
        <v>29.5</v>
      </c>
      <c r="AG183" s="63" t="n">
        <f aca="false">IF(COUNT(I183:K183)&gt;0,VLOOKUP(COUNT(I183:K183),$AX$2:$AZ$5,3)*(AF183/SQRT(COUNT(I183:K183))),"")</f>
        <v>265.04271347181</v>
      </c>
      <c r="AH183" s="75" t="n">
        <f aca="false">IF(COUNT(I183:K183)&gt;0,AD183-AG183,"")</f>
        <v>6.45728652818997</v>
      </c>
      <c r="AI183" s="75" t="n">
        <f aca="false">IF(COUNT(I183:K183)&gt;0,AD183+AG183,"")</f>
        <v>536.54271347181</v>
      </c>
      <c r="AJ183" s="76" t="n">
        <f aca="false">IF(COUNT(I183:K183)&gt;0,AF183/AD183,"")</f>
        <v>0.10865561694291</v>
      </c>
      <c r="AK183" s="74" t="n">
        <f aca="false">IF(SUM(L183:N183)&gt;0,AVERAGE(L183:N183),"")</f>
        <v>267.5</v>
      </c>
      <c r="AL183" s="75" t="n">
        <f aca="false">IF(SUM(L183:N183)&gt;0, ( IF(L183&gt;0,(L183-AK183)^2,0) + IF(M183&gt;0,(M183-AK183)^2,0) + IF(N183&gt;0,(N183-AK183)^2,0) ) / COUNT(L183:N183),"")</f>
        <v>462.25</v>
      </c>
      <c r="AM183" s="75" t="n">
        <f aca="false">IF(SUM(L183:N183)&gt;0,SQRT(AL183),"")</f>
        <v>21.5</v>
      </c>
      <c r="AN183" s="63" t="n">
        <f aca="false">IF(COUNT(L183:N183)&gt;0,VLOOKUP(COUNT(L183:N183),$AX$2:$AZ$5,3)*(AM183/SQRT(COUNT(L183:N183))),"")</f>
        <v>193.16672337776</v>
      </c>
      <c r="AO183" s="75" t="n">
        <f aca="false">IF(COUNT(L183:N183)&gt;0,AK183-AN183,"")</f>
        <v>74.3332766222402</v>
      </c>
      <c r="AP183" s="75" t="n">
        <f aca="false">IF(COUNT(L183:N183)&gt;0,AK183+AN183,"")</f>
        <v>460.66672337776</v>
      </c>
      <c r="AQ183" s="76" t="n">
        <f aca="false">IF(COUNT(L183:N183)&gt;0,AM183/AK183,"")</f>
        <v>0.0803738317757009</v>
      </c>
    </row>
    <row r="184" customFormat="false" ht="12.8" hidden="false" customHeight="false" outlineLevel="0" collapsed="false">
      <c r="L184" s="77"/>
      <c r="R184" s="63"/>
      <c r="S184" s="63"/>
      <c r="T184" s="63"/>
      <c r="AB184" s="26"/>
      <c r="AC184" s="26"/>
    </row>
    <row r="185" customFormat="false" ht="12.8" hidden="false" customHeight="false" outlineLevel="0" collapsed="false">
      <c r="L185" s="77"/>
      <c r="AB185" s="26"/>
      <c r="AC185" s="26"/>
    </row>
    <row r="186" customFormat="false" ht="12.8" hidden="false" customHeight="false" outlineLevel="0" collapsed="false">
      <c r="L186" s="77"/>
      <c r="AB186" s="26"/>
      <c r="AC186" s="26"/>
    </row>
    <row r="187" customFormat="false" ht="12.8" hidden="false" customHeight="false" outlineLevel="0" collapsed="false">
      <c r="L187" s="77"/>
      <c r="AB187" s="26"/>
      <c r="AC187" s="26"/>
    </row>
    <row r="188" customFormat="false" ht="12.8" hidden="false" customHeight="false" outlineLevel="0" collapsed="false">
      <c r="L188" s="77"/>
      <c r="AB188" s="26"/>
      <c r="AC188" s="26"/>
    </row>
    <row r="189" customFormat="false" ht="12.8" hidden="false" customHeight="false" outlineLevel="0" collapsed="false">
      <c r="L189" s="77"/>
      <c r="AB189" s="26"/>
      <c r="AC189" s="26"/>
    </row>
    <row r="190" customFormat="false" ht="12.8" hidden="false" customHeight="false" outlineLevel="0" collapsed="false">
      <c r="L190" s="77"/>
      <c r="AB190" s="26"/>
      <c r="AC190" s="26"/>
    </row>
    <row r="191" customFormat="false" ht="12.8" hidden="false" customHeight="false" outlineLevel="0" collapsed="false">
      <c r="L191" s="77"/>
      <c r="AB191" s="26"/>
      <c r="AC191" s="26"/>
    </row>
    <row r="192" customFormat="false" ht="12.8" hidden="false" customHeight="false" outlineLevel="0" collapsed="false">
      <c r="L192" s="77"/>
      <c r="AB192" s="26"/>
      <c r="AC192" s="26"/>
    </row>
    <row r="193" customFormat="false" ht="12.8" hidden="false" customHeight="false" outlineLevel="0" collapsed="false">
      <c r="L193" s="77"/>
      <c r="AB193" s="26"/>
      <c r="AC193" s="26"/>
    </row>
    <row r="194" customFormat="false" ht="12.8" hidden="false" customHeight="false" outlineLevel="0" collapsed="false">
      <c r="L194" s="77"/>
      <c r="AB194" s="26"/>
      <c r="AC194" s="26"/>
    </row>
    <row r="195" customFormat="false" ht="12.8" hidden="false" customHeight="false" outlineLevel="0" collapsed="false">
      <c r="L195" s="77"/>
      <c r="AB195" s="26"/>
      <c r="AC195" s="26"/>
    </row>
    <row r="196" customFormat="false" ht="12.8" hidden="false" customHeight="false" outlineLevel="0" collapsed="false">
      <c r="L196" s="77"/>
      <c r="AB196" s="26"/>
      <c r="AC196" s="26"/>
    </row>
    <row r="197" customFormat="false" ht="12.8" hidden="false" customHeight="false" outlineLevel="0" collapsed="false">
      <c r="L197" s="77"/>
      <c r="AB197" s="26"/>
      <c r="AC197" s="26"/>
    </row>
    <row r="198" customFormat="false" ht="12.8" hidden="false" customHeight="false" outlineLevel="0" collapsed="false">
      <c r="L198" s="77"/>
      <c r="AB198" s="26"/>
      <c r="AC198" s="26"/>
    </row>
    <row r="199" customFormat="false" ht="12.8" hidden="false" customHeight="false" outlineLevel="0" collapsed="false">
      <c r="L199" s="77"/>
      <c r="AB199" s="26"/>
      <c r="AC199" s="26"/>
    </row>
    <row r="200" customFormat="false" ht="12.8" hidden="false" customHeight="false" outlineLevel="0" collapsed="false">
      <c r="L200" s="77"/>
      <c r="AB200" s="26"/>
      <c r="AC200" s="26"/>
    </row>
    <row r="201" customFormat="false" ht="12.8" hidden="false" customHeight="false" outlineLevel="0" collapsed="false">
      <c r="L201" s="77"/>
      <c r="AB201" s="26"/>
      <c r="AC201" s="26"/>
    </row>
    <row r="202" customFormat="false" ht="12.8" hidden="false" customHeight="false" outlineLevel="0" collapsed="false">
      <c r="L202" s="77"/>
      <c r="AB202" s="26"/>
      <c r="AC202" s="26"/>
    </row>
    <row r="203" customFormat="false" ht="12.8" hidden="false" customHeight="false" outlineLevel="0" collapsed="false">
      <c r="L203" s="77"/>
      <c r="AB203" s="26"/>
      <c r="AC203" s="26"/>
    </row>
    <row r="204" customFormat="false" ht="12.8" hidden="false" customHeight="false" outlineLevel="0" collapsed="false">
      <c r="L204" s="77"/>
      <c r="AB204" s="26"/>
      <c r="AC204" s="26"/>
    </row>
    <row r="205" customFormat="false" ht="12.8" hidden="false" customHeight="false" outlineLevel="0" collapsed="false">
      <c r="L205" s="77"/>
      <c r="AB205" s="26"/>
      <c r="AC205" s="26"/>
    </row>
    <row r="206" customFormat="false" ht="12.8" hidden="false" customHeight="false" outlineLevel="0" collapsed="false">
      <c r="L206" s="77"/>
      <c r="AB206" s="26"/>
      <c r="AC206" s="26"/>
    </row>
    <row r="207" customFormat="false" ht="12.8" hidden="false" customHeight="false" outlineLevel="0" collapsed="false">
      <c r="L207" s="77"/>
    </row>
    <row r="208" customFormat="false" ht="12.8" hidden="false" customHeight="false" outlineLevel="0" collapsed="false">
      <c r="L208" s="77"/>
    </row>
    <row r="209" customFormat="false" ht="12.8" hidden="false" customHeight="false" outlineLevel="0" collapsed="false">
      <c r="L209" s="77"/>
    </row>
    <row r="210" customFormat="false" ht="12.8" hidden="false" customHeight="false" outlineLevel="0" collapsed="false">
      <c r="L210" s="77"/>
    </row>
    <row r="211" customFormat="false" ht="12.8" hidden="false" customHeight="false" outlineLevel="0" collapsed="false">
      <c r="L211" s="77"/>
    </row>
    <row r="212" customFormat="false" ht="12.8" hidden="false" customHeight="false" outlineLevel="0" collapsed="false">
      <c r="L212" s="77"/>
    </row>
    <row r="213" customFormat="false" ht="12.8" hidden="false" customHeight="false" outlineLevel="0" collapsed="false">
      <c r="L213" s="77"/>
    </row>
    <row r="214" customFormat="false" ht="12.8" hidden="false" customHeight="false" outlineLevel="0" collapsed="false">
      <c r="L214" s="77"/>
    </row>
    <row r="215" customFormat="false" ht="12.8" hidden="false" customHeight="false" outlineLevel="0" collapsed="false">
      <c r="L215" s="77"/>
    </row>
    <row r="216" customFormat="false" ht="12.8" hidden="false" customHeight="false" outlineLevel="0" collapsed="false">
      <c r="L216" s="77"/>
    </row>
    <row r="217" customFormat="false" ht="12.8" hidden="false" customHeight="false" outlineLevel="0" collapsed="false">
      <c r="L217" s="77"/>
    </row>
    <row r="218" customFormat="false" ht="12.8" hidden="false" customHeight="false" outlineLevel="0" collapsed="false">
      <c r="L218" s="77"/>
    </row>
    <row r="219" customFormat="false" ht="12.8" hidden="false" customHeight="false" outlineLevel="0" collapsed="false">
      <c r="L219" s="77"/>
    </row>
    <row r="220" customFormat="false" ht="12.8" hidden="false" customHeight="false" outlineLevel="0" collapsed="false">
      <c r="L220" s="77"/>
    </row>
    <row r="221" customFormat="false" ht="12.8" hidden="false" customHeight="false" outlineLevel="0" collapsed="false">
      <c r="L221" s="77"/>
    </row>
    <row r="222" customFormat="false" ht="12.8" hidden="false" customHeight="false" outlineLevel="0" collapsed="false">
      <c r="L222" s="77"/>
    </row>
    <row r="223" customFormat="false" ht="12.8" hidden="false" customHeight="false" outlineLevel="0" collapsed="false">
      <c r="L223" s="77"/>
    </row>
    <row r="224" customFormat="false" ht="12.8" hidden="false" customHeight="false" outlineLevel="0" collapsed="false">
      <c r="L224" s="77"/>
    </row>
    <row r="225" customFormat="false" ht="12.8" hidden="false" customHeight="false" outlineLevel="0" collapsed="false">
      <c r="L225" s="77"/>
    </row>
    <row r="226" customFormat="false" ht="12.8" hidden="false" customHeight="false" outlineLevel="0" collapsed="false">
      <c r="L226" s="77"/>
    </row>
    <row r="227" customFormat="false" ht="12.8" hidden="false" customHeight="false" outlineLevel="0" collapsed="false">
      <c r="L227" s="77"/>
    </row>
    <row r="228" customFormat="false" ht="12.8" hidden="false" customHeight="false" outlineLevel="0" collapsed="false">
      <c r="L228" s="77"/>
    </row>
    <row r="229" customFormat="false" ht="12.8" hidden="false" customHeight="false" outlineLevel="0" collapsed="false">
      <c r="L229" s="77"/>
    </row>
    <row r="230" customFormat="false" ht="12.8" hidden="false" customHeight="false" outlineLevel="0" collapsed="false">
      <c r="L230" s="77"/>
    </row>
    <row r="231" customFormat="false" ht="12.8" hidden="false" customHeight="false" outlineLevel="0" collapsed="false">
      <c r="L231" s="77"/>
    </row>
    <row r="232" customFormat="false" ht="12.8" hidden="false" customHeight="false" outlineLevel="0" collapsed="false">
      <c r="L232" s="77"/>
    </row>
    <row r="233" customFormat="false" ht="12.8" hidden="false" customHeight="false" outlineLevel="0" collapsed="false">
      <c r="L233" s="77"/>
      <c r="M233" s="77"/>
    </row>
    <row r="234" customFormat="false" ht="12.8" hidden="false" customHeight="false" outlineLevel="0" collapsed="false">
      <c r="L234" s="26"/>
      <c r="M234" s="26"/>
    </row>
    <row r="235" customFormat="false" ht="12.8" hidden="false" customHeight="false" outlineLevel="0" collapsed="false">
      <c r="L235" s="26"/>
      <c r="M235" s="26"/>
    </row>
    <row r="236" customFormat="false" ht="12.8" hidden="false" customHeight="false" outlineLevel="0" collapsed="false">
      <c r="L236" s="26"/>
      <c r="M236" s="26"/>
    </row>
    <row r="237" customFormat="false" ht="12.8" hidden="false" customHeight="false" outlineLevel="0" collapsed="false">
      <c r="L237" s="26"/>
      <c r="M237" s="26"/>
    </row>
    <row r="238" customFormat="false" ht="12.8" hidden="false" customHeight="false" outlineLevel="0" collapsed="false">
      <c r="L238" s="26"/>
      <c r="M238" s="26"/>
    </row>
    <row r="239" customFormat="false" ht="12.8" hidden="false" customHeight="false" outlineLevel="0" collapsed="false">
      <c r="L239" s="26"/>
      <c r="M239" s="26"/>
    </row>
    <row r="240" customFormat="false" ht="12.8" hidden="false" customHeight="false" outlineLevel="0" collapsed="false">
      <c r="L240" s="26"/>
      <c r="M240" s="26"/>
    </row>
    <row r="241" customFormat="false" ht="12.8" hidden="false" customHeight="false" outlineLevel="0" collapsed="false">
      <c r="L241" s="26"/>
      <c r="M241" s="26"/>
    </row>
    <row r="242" customFormat="false" ht="12.8" hidden="false" customHeight="false" outlineLevel="0" collapsed="false">
      <c r="L242" s="26"/>
      <c r="M242" s="26"/>
    </row>
    <row r="243" customFormat="false" ht="12.8" hidden="false" customHeight="false" outlineLevel="0" collapsed="false">
      <c r="L243" s="26"/>
      <c r="M243" s="26"/>
    </row>
    <row r="244" customFormat="false" ht="12.8" hidden="false" customHeight="false" outlineLevel="0" collapsed="false">
      <c r="L244" s="26"/>
      <c r="M244" s="26"/>
    </row>
    <row r="245" customFormat="false" ht="12.8" hidden="false" customHeight="false" outlineLevel="0" collapsed="false">
      <c r="L245" s="26"/>
      <c r="M245" s="26"/>
    </row>
    <row r="246" customFormat="false" ht="12.8" hidden="false" customHeight="false" outlineLevel="0" collapsed="false">
      <c r="L246" s="26"/>
      <c r="M246" s="26"/>
    </row>
    <row r="247" customFormat="false" ht="12.8" hidden="false" customHeight="false" outlineLevel="0" collapsed="false">
      <c r="L247" s="26"/>
      <c r="M247" s="26"/>
    </row>
    <row r="248" customFormat="false" ht="12.8" hidden="false" customHeight="false" outlineLevel="0" collapsed="false">
      <c r="L248" s="26"/>
      <c r="M248" s="26"/>
    </row>
    <row r="249" customFormat="false" ht="12.8" hidden="false" customHeight="false" outlineLevel="0" collapsed="false">
      <c r="L249" s="26"/>
      <c r="M249" s="26"/>
    </row>
    <row r="250" customFormat="false" ht="12.8" hidden="false" customHeight="false" outlineLevel="0" collapsed="false">
      <c r="L250" s="26"/>
      <c r="M250" s="26"/>
    </row>
    <row r="251" customFormat="false" ht="12.8" hidden="false" customHeight="false" outlineLevel="0" collapsed="false">
      <c r="L251" s="26"/>
      <c r="M251" s="26"/>
    </row>
    <row r="252" customFormat="false" ht="12.8" hidden="false" customHeight="false" outlineLevel="0" collapsed="false">
      <c r="L252" s="26"/>
      <c r="M252" s="26"/>
    </row>
    <row r="253" customFormat="false" ht="12.8" hidden="false" customHeight="false" outlineLevel="0" collapsed="false">
      <c r="L253" s="26"/>
      <c r="M253" s="26"/>
    </row>
    <row r="254" customFormat="false" ht="12.8" hidden="false" customHeight="false" outlineLevel="0" collapsed="false">
      <c r="L254" s="26"/>
      <c r="M254" s="26"/>
    </row>
    <row r="255" customFormat="false" ht="12.8" hidden="false" customHeight="false" outlineLevel="0" collapsed="false">
      <c r="L255" s="26"/>
      <c r="M255" s="26"/>
    </row>
    <row r="256" customFormat="false" ht="12.8" hidden="false" customHeight="false" outlineLevel="0" collapsed="false">
      <c r="L256" s="26"/>
      <c r="M256" s="26"/>
    </row>
    <row r="257" customFormat="false" ht="12.8" hidden="false" customHeight="false" outlineLevel="0" collapsed="false">
      <c r="L257" s="26"/>
      <c r="M257" s="26"/>
    </row>
    <row r="258" customFormat="false" ht="12.8" hidden="false" customHeight="false" outlineLevel="0" collapsed="false">
      <c r="L258" s="26"/>
      <c r="M258" s="26"/>
    </row>
    <row r="259" customFormat="false" ht="12.8" hidden="false" customHeight="false" outlineLevel="0" collapsed="false">
      <c r="L259" s="26"/>
      <c r="M259" s="26"/>
    </row>
    <row r="260" customFormat="false" ht="12.8" hidden="false" customHeight="false" outlineLevel="0" collapsed="false">
      <c r="L260" s="26"/>
      <c r="M260" s="26"/>
    </row>
    <row r="261" customFormat="false" ht="12.8" hidden="false" customHeight="false" outlineLevel="0" collapsed="false">
      <c r="L261" s="26"/>
      <c r="M261" s="26"/>
    </row>
    <row r="262" customFormat="false" ht="12.8" hidden="false" customHeight="false" outlineLevel="0" collapsed="false">
      <c r="L262" s="26"/>
      <c r="M262" s="26"/>
    </row>
    <row r="263" customFormat="false" ht="12.8" hidden="false" customHeight="false" outlineLevel="0" collapsed="false">
      <c r="L263" s="26"/>
      <c r="M263" s="26"/>
    </row>
    <row r="264" customFormat="false" ht="12.8" hidden="false" customHeight="false" outlineLevel="0" collapsed="false">
      <c r="L264" s="26"/>
      <c r="M264" s="26"/>
    </row>
    <row r="265" customFormat="false" ht="12.8" hidden="false" customHeight="false" outlineLevel="0" collapsed="false">
      <c r="L265" s="26"/>
      <c r="M265" s="26"/>
    </row>
    <row r="266" customFormat="false" ht="12.8" hidden="false" customHeight="false" outlineLevel="0" collapsed="false">
      <c r="L266" s="26"/>
      <c r="M266" s="26"/>
    </row>
    <row r="267" customFormat="false" ht="12.8" hidden="false" customHeight="false" outlineLevel="0" collapsed="false">
      <c r="L267" s="26"/>
      <c r="M267" s="26"/>
    </row>
    <row r="268" customFormat="false" ht="12.8" hidden="false" customHeight="false" outlineLevel="0" collapsed="false">
      <c r="L268" s="26"/>
      <c r="M268" s="26"/>
    </row>
    <row r="269" customFormat="false" ht="12.8" hidden="false" customHeight="false" outlineLevel="0" collapsed="false">
      <c r="L269" s="26"/>
      <c r="M269" s="26"/>
    </row>
    <row r="270" customFormat="false" ht="12.8" hidden="false" customHeight="false" outlineLevel="0" collapsed="false">
      <c r="L270" s="26"/>
      <c r="M270" s="26"/>
    </row>
    <row r="271" customFormat="false" ht="12.8" hidden="false" customHeight="false" outlineLevel="0" collapsed="false">
      <c r="L271" s="26"/>
      <c r="M271" s="26"/>
    </row>
    <row r="272" customFormat="false" ht="12.8" hidden="false" customHeight="false" outlineLevel="0" collapsed="false">
      <c r="L272" s="26"/>
      <c r="M272" s="26"/>
    </row>
    <row r="273" customFormat="false" ht="12.8" hidden="false" customHeight="false" outlineLevel="0" collapsed="false">
      <c r="L273" s="26"/>
      <c r="M273" s="26"/>
    </row>
    <row r="274" customFormat="false" ht="12.8" hidden="false" customHeight="false" outlineLevel="0" collapsed="false">
      <c r="L274" s="26"/>
      <c r="M274" s="26"/>
    </row>
    <row r="275" customFormat="false" ht="12.8" hidden="false" customHeight="false" outlineLevel="0" collapsed="false">
      <c r="L275" s="26"/>
      <c r="M275" s="26"/>
    </row>
    <row r="276" customFormat="false" ht="12.8" hidden="false" customHeight="false" outlineLevel="0" collapsed="false">
      <c r="L276" s="26"/>
      <c r="M276" s="26"/>
    </row>
    <row r="277" customFormat="false" ht="12.8" hidden="false" customHeight="false" outlineLevel="0" collapsed="false">
      <c r="L277" s="26"/>
      <c r="M277" s="26"/>
    </row>
    <row r="278" customFormat="false" ht="12.8" hidden="false" customHeight="false" outlineLevel="0" collapsed="false">
      <c r="L278" s="26"/>
      <c r="M278" s="26"/>
    </row>
    <row r="279" customFormat="false" ht="12.8" hidden="false" customHeight="false" outlineLevel="0" collapsed="false">
      <c r="L279" s="26"/>
      <c r="M279" s="26"/>
    </row>
    <row r="280" customFormat="false" ht="12.8" hidden="false" customHeight="false" outlineLevel="0" collapsed="false">
      <c r="L280" s="26"/>
      <c r="M280" s="26"/>
    </row>
    <row r="281" customFormat="false" ht="12.8" hidden="false" customHeight="false" outlineLevel="0" collapsed="false">
      <c r="L281" s="26"/>
      <c r="M281" s="26"/>
    </row>
    <row r="282" customFormat="false" ht="12.8" hidden="false" customHeight="false" outlineLevel="0" collapsed="false">
      <c r="L282" s="26"/>
      <c r="M282" s="26"/>
    </row>
    <row r="283" customFormat="false" ht="12.8" hidden="false" customHeight="false" outlineLevel="0" collapsed="false">
      <c r="L283" s="26"/>
      <c r="M283" s="26"/>
    </row>
    <row r="284" customFormat="false" ht="12.8" hidden="false" customHeight="false" outlineLevel="0" collapsed="false">
      <c r="L284" s="26"/>
      <c r="M284" s="26"/>
    </row>
    <row r="285" customFormat="false" ht="12.8" hidden="false" customHeight="false" outlineLevel="0" collapsed="false">
      <c r="L285" s="26"/>
      <c r="M285" s="26"/>
    </row>
    <row r="286" customFormat="false" ht="12.8" hidden="false" customHeight="false" outlineLevel="0" collapsed="false">
      <c r="L286" s="26"/>
      <c r="M286" s="26"/>
    </row>
    <row r="287" customFormat="false" ht="12.8" hidden="false" customHeight="false" outlineLevel="0" collapsed="false">
      <c r="L287" s="26"/>
      <c r="M287" s="26"/>
    </row>
    <row r="288" customFormat="false" ht="12.8" hidden="false" customHeight="false" outlineLevel="0" collapsed="false">
      <c r="L288" s="26"/>
      <c r="M288" s="26"/>
    </row>
    <row r="289" customFormat="false" ht="12.8" hidden="false" customHeight="false" outlineLevel="0" collapsed="false">
      <c r="L289" s="26"/>
      <c r="M289" s="26"/>
    </row>
    <row r="290" customFormat="false" ht="12.8" hidden="false" customHeight="false" outlineLevel="0" collapsed="false">
      <c r="L290" s="26"/>
      <c r="M290" s="26"/>
    </row>
    <row r="291" customFormat="false" ht="12.8" hidden="false" customHeight="false" outlineLevel="0" collapsed="false">
      <c r="L291" s="26"/>
      <c r="M291" s="26"/>
    </row>
    <row r="292" customFormat="false" ht="12.8" hidden="false" customHeight="false" outlineLevel="0" collapsed="false">
      <c r="L292" s="26"/>
      <c r="M292" s="26"/>
    </row>
    <row r="293" customFormat="false" ht="12.8" hidden="false" customHeight="false" outlineLevel="0" collapsed="false">
      <c r="L293" s="26"/>
      <c r="M293" s="26"/>
    </row>
    <row r="294" customFormat="false" ht="12.8" hidden="false" customHeight="false" outlineLevel="0" collapsed="false">
      <c r="L294" s="26"/>
      <c r="M294" s="26"/>
    </row>
    <row r="295" customFormat="false" ht="12.8" hidden="false" customHeight="false" outlineLevel="0" collapsed="false">
      <c r="L295" s="26"/>
      <c r="M295" s="26"/>
    </row>
    <row r="296" customFormat="false" ht="12.8" hidden="false" customHeight="false" outlineLevel="0" collapsed="false">
      <c r="L296" s="26"/>
      <c r="M296" s="26"/>
    </row>
    <row r="297" customFormat="false" ht="12.8" hidden="false" customHeight="false" outlineLevel="0" collapsed="false">
      <c r="L297" s="26"/>
      <c r="M297" s="26"/>
    </row>
    <row r="298" customFormat="false" ht="12.8" hidden="false" customHeight="false" outlineLevel="0" collapsed="false">
      <c r="L298" s="26"/>
      <c r="M298" s="26"/>
    </row>
    <row r="299" customFormat="false" ht="12.8" hidden="false" customHeight="false" outlineLevel="0" collapsed="false">
      <c r="L299" s="26"/>
      <c r="M299" s="26"/>
    </row>
    <row r="300" customFormat="false" ht="12.8" hidden="false" customHeight="false" outlineLevel="0" collapsed="false">
      <c r="L300" s="26"/>
      <c r="M300" s="26"/>
    </row>
    <row r="301" customFormat="false" ht="12.8" hidden="false" customHeight="false" outlineLevel="0" collapsed="false">
      <c r="L301" s="26"/>
      <c r="M301" s="26"/>
    </row>
    <row r="302" customFormat="false" ht="12.8" hidden="false" customHeight="false" outlineLevel="0" collapsed="false">
      <c r="L302" s="26"/>
      <c r="M302" s="26"/>
    </row>
    <row r="303" customFormat="false" ht="12.8" hidden="false" customHeight="false" outlineLevel="0" collapsed="false">
      <c r="L303" s="26"/>
      <c r="M303" s="26"/>
    </row>
    <row r="304" customFormat="false" ht="12.8" hidden="false" customHeight="false" outlineLevel="0" collapsed="false">
      <c r="L304" s="26"/>
      <c r="M304" s="26"/>
    </row>
    <row r="305" customFormat="false" ht="12.8" hidden="false" customHeight="false" outlineLevel="0" collapsed="false">
      <c r="L305" s="26"/>
      <c r="M305" s="26"/>
    </row>
    <row r="306" customFormat="false" ht="12.8" hidden="false" customHeight="false" outlineLevel="0" collapsed="false">
      <c r="L306" s="26"/>
      <c r="M306" s="26"/>
    </row>
  </sheetData>
  <mergeCells count="12">
    <mergeCell ref="A1:A3"/>
    <mergeCell ref="B1:B3"/>
    <mergeCell ref="C1:N1"/>
    <mergeCell ref="O1:AQ1"/>
    <mergeCell ref="C2:E2"/>
    <mergeCell ref="F2:H2"/>
    <mergeCell ref="I2:K2"/>
    <mergeCell ref="L2:N2"/>
    <mergeCell ref="O2:U2"/>
    <mergeCell ref="V2:AB2"/>
    <mergeCell ref="AD2:AJ2"/>
    <mergeCell ref="AK2:AQ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206"/>
  <sheetViews>
    <sheetView showFormulas="false" showGridLines="true" showRowColHeaders="true" showZeros="true" rightToLeft="false" tabSelected="false" showOutlineSymbols="true" defaultGridColor="true" view="normal" topLeftCell="A102" colorId="64" zoomScale="100" zoomScaleNormal="100" zoomScalePageLayoutView="100" workbookViewId="0">
      <selection pane="topLeft" activeCell="I150" activeCellId="0" sqref="I150"/>
    </sheetView>
  </sheetViews>
  <sheetFormatPr defaultColWidth="11.23046875" defaultRowHeight="12.8" customHeight="false" zeroHeight="false" outlineLevelRow="0" outlineLevelCol="0"/>
  <cols>
    <col collapsed="false" customWidth="true" hidden="false" outlineLevel="0" max="14" min="12" style="0" width="10.23"/>
    <col collapsed="false" customWidth="false" hidden="false" outlineLevel="0" max="25" min="24" style="45" width="11.23"/>
    <col collapsed="false" customWidth="false" hidden="false" outlineLevel="0" max="37" min="36" style="45" width="11.23"/>
  </cols>
  <sheetData>
    <row r="1" customFormat="false" ht="12.8" hidden="false" customHeight="false" outlineLevel="0" collapsed="false">
      <c r="A1" s="50" t="s">
        <v>83</v>
      </c>
      <c r="B1" s="50"/>
      <c r="C1" s="50"/>
      <c r="D1" s="50" t="s">
        <v>83</v>
      </c>
      <c r="E1" s="50"/>
      <c r="F1" s="50"/>
      <c r="G1" s="50"/>
      <c r="H1" s="50"/>
      <c r="I1" s="50"/>
      <c r="J1" s="50"/>
      <c r="L1" s="50" t="s">
        <v>84</v>
      </c>
      <c r="M1" s="50"/>
      <c r="N1" s="50"/>
      <c r="O1" s="78"/>
      <c r="P1" s="78"/>
      <c r="Q1" s="78"/>
      <c r="R1" s="79" t="s">
        <v>84</v>
      </c>
      <c r="S1" s="79"/>
      <c r="T1" s="79"/>
      <c r="U1" s="79"/>
      <c r="V1" s="79"/>
      <c r="W1" s="79"/>
      <c r="X1" s="79"/>
      <c r="Y1" s="79"/>
      <c r="Z1" s="79"/>
      <c r="AA1" s="80"/>
      <c r="AB1" s="81"/>
      <c r="AD1" s="79" t="s">
        <v>85</v>
      </c>
      <c r="AE1" s="79"/>
      <c r="AF1" s="79"/>
      <c r="AG1" s="79"/>
      <c r="AH1" s="79"/>
      <c r="AI1" s="79"/>
      <c r="AJ1" s="79"/>
      <c r="AK1" s="79"/>
      <c r="AL1" s="79"/>
      <c r="AM1" s="80"/>
      <c r="AN1" s="81"/>
      <c r="AP1" s="79" t="s">
        <v>86</v>
      </c>
      <c r="AQ1" s="79"/>
      <c r="AR1" s="79"/>
      <c r="AS1" s="79"/>
      <c r="AT1" s="79"/>
      <c r="AU1" s="79"/>
      <c r="AV1" s="79"/>
      <c r="AW1" s="79"/>
      <c r="AX1" s="79"/>
      <c r="AY1" s="82"/>
      <c r="AZ1" s="81"/>
    </row>
    <row r="2" customFormat="false" ht="28.35" hidden="false" customHeight="false" outlineLevel="0" collapsed="false">
      <c r="A2" s="52" t="n">
        <v>632456723</v>
      </c>
      <c r="B2" s="19" t="n">
        <v>102370435</v>
      </c>
      <c r="C2" s="53" t="n">
        <v>914023457</v>
      </c>
      <c r="D2" s="54" t="s">
        <v>90</v>
      </c>
      <c r="E2" s="20" t="s">
        <v>91</v>
      </c>
      <c r="F2" s="55" t="s">
        <v>92</v>
      </c>
      <c r="G2" s="55" t="s">
        <v>93</v>
      </c>
      <c r="H2" s="55" t="s">
        <v>94</v>
      </c>
      <c r="I2" s="55" t="s">
        <v>95</v>
      </c>
      <c r="J2" s="53" t="s">
        <v>96</v>
      </c>
      <c r="L2" s="52" t="n">
        <v>632456723</v>
      </c>
      <c r="M2" s="19" t="n">
        <v>102370435</v>
      </c>
      <c r="N2" s="53" t="n">
        <v>914023457</v>
      </c>
      <c r="O2" s="53"/>
      <c r="P2" s="53"/>
      <c r="Q2" s="53"/>
      <c r="R2" s="54" t="s">
        <v>97</v>
      </c>
      <c r="S2" s="20" t="s">
        <v>91</v>
      </c>
      <c r="T2" s="55" t="s">
        <v>92</v>
      </c>
      <c r="U2" s="55" t="s">
        <v>93</v>
      </c>
      <c r="V2" s="55" t="s">
        <v>98</v>
      </c>
      <c r="W2" s="55" t="s">
        <v>99</v>
      </c>
      <c r="X2" s="55" t="s">
        <v>98</v>
      </c>
      <c r="Y2" s="55" t="s">
        <v>99</v>
      </c>
      <c r="Z2" s="83" t="s">
        <v>96</v>
      </c>
      <c r="AA2" s="84" t="s">
        <v>100</v>
      </c>
      <c r="AB2" s="85" t="s">
        <v>101</v>
      </c>
      <c r="AD2" s="54" t="s">
        <v>90</v>
      </c>
      <c r="AE2" s="20" t="s">
        <v>91</v>
      </c>
      <c r="AF2" s="55" t="s">
        <v>92</v>
      </c>
      <c r="AG2" s="55" t="s">
        <v>93</v>
      </c>
      <c r="AH2" s="55" t="s">
        <v>94</v>
      </c>
      <c r="AI2" s="55" t="s">
        <v>95</v>
      </c>
      <c r="AJ2" s="86" t="s">
        <v>98</v>
      </c>
      <c r="AK2" s="86" t="s">
        <v>99</v>
      </c>
      <c r="AL2" s="83" t="s">
        <v>96</v>
      </c>
      <c r="AM2" s="84" t="s">
        <v>100</v>
      </c>
      <c r="AN2" s="85" t="s">
        <v>101</v>
      </c>
      <c r="AP2" s="54" t="s">
        <v>90</v>
      </c>
      <c r="AQ2" s="20" t="s">
        <v>91</v>
      </c>
      <c r="AR2" s="55" t="s">
        <v>92</v>
      </c>
      <c r="AS2" s="55" t="s">
        <v>93</v>
      </c>
      <c r="AT2" s="55" t="s">
        <v>94</v>
      </c>
      <c r="AU2" s="55" t="s">
        <v>95</v>
      </c>
      <c r="AV2" s="86" t="s">
        <v>98</v>
      </c>
      <c r="AW2" s="86" t="s">
        <v>99</v>
      </c>
      <c r="AX2" s="83" t="s">
        <v>96</v>
      </c>
      <c r="AY2" s="84" t="s">
        <v>100</v>
      </c>
      <c r="AZ2" s="85" t="s">
        <v>101</v>
      </c>
    </row>
    <row r="3" customFormat="false" ht="12.8" hidden="false" customHeight="false" outlineLevel="0" collapsed="false">
      <c r="A3" s="56"/>
      <c r="B3" s="25"/>
      <c r="C3" s="57"/>
      <c r="D3" s="60"/>
      <c r="E3" s="61"/>
      <c r="F3" s="62"/>
      <c r="G3" s="63"/>
      <c r="H3" s="63"/>
      <c r="I3" s="63"/>
      <c r="J3" s="64"/>
      <c r="L3" s="58"/>
      <c r="N3" s="59" t="n">
        <v>3422</v>
      </c>
      <c r="O3" s="59" t="str">
        <f aca="false">IF(A3="","",IF(L3="","",A3-L3))</f>
        <v/>
      </c>
      <c r="P3" s="59" t="str">
        <f aca="false">IF(B3="","",IF(M3="","",B3-M3))</f>
        <v/>
      </c>
      <c r="Q3" s="59" t="str">
        <f aca="false">IF(C3="","",IF(N3="","",C3-N3))</f>
        <v/>
      </c>
      <c r="R3" s="65" t="n">
        <v>3422</v>
      </c>
      <c r="S3" s="66" t="n">
        <v>0</v>
      </c>
      <c r="T3" s="63" t="n">
        <v>0</v>
      </c>
      <c r="U3" s="63" t="n">
        <v>0</v>
      </c>
      <c r="V3" s="63" t="n">
        <v>3422</v>
      </c>
      <c r="W3" s="63" t="n">
        <v>3422</v>
      </c>
      <c r="X3" s="87"/>
      <c r="Y3" s="87"/>
      <c r="Z3" s="87" t="n">
        <v>0</v>
      </c>
      <c r="AA3" s="87" t="str">
        <f aca="false">IF(D3="","",IF(R3="","",(R3-D3)/D3))</f>
        <v/>
      </c>
      <c r="AB3" s="64" t="str">
        <f aca="false">IF(NOT(AA3=""),ABS(AA3),"")</f>
        <v/>
      </c>
      <c r="AD3" s="65"/>
      <c r="AE3" s="66"/>
      <c r="AF3" s="63"/>
      <c r="AG3" s="63"/>
      <c r="AH3" s="63"/>
      <c r="AI3" s="63"/>
      <c r="AJ3" s="87"/>
      <c r="AK3" s="87"/>
      <c r="AL3" s="87"/>
      <c r="AM3" s="87" t="str">
        <f aca="false">IF(D3="","",IF(AD3="","",(AD3-D3)/D3))</f>
        <v/>
      </c>
      <c r="AN3" s="64" t="str">
        <f aca="false">IF(NOT(AM3=""),ABS(AM3),"")</f>
        <v/>
      </c>
      <c r="AP3" s="65"/>
      <c r="AQ3" s="66"/>
      <c r="AR3" s="63"/>
      <c r="AS3" s="63"/>
      <c r="AT3" s="63"/>
      <c r="AU3" s="63"/>
      <c r="AV3" s="87"/>
      <c r="AW3" s="87"/>
      <c r="AX3" s="87"/>
      <c r="AY3" s="45" t="str">
        <f aca="false">IF(D3="","",IF(AP3="","",(AP33-D3)/D3))</f>
        <v/>
      </c>
      <c r="AZ3" s="64" t="str">
        <f aca="false">IF(NOT(AY3=""),ABS(AY3),"")</f>
        <v/>
      </c>
    </row>
    <row r="4" customFormat="false" ht="12.8" hidden="false" customHeight="false" outlineLevel="0" collapsed="false">
      <c r="A4" s="56" t="n">
        <v>1949</v>
      </c>
      <c r="B4" s="25" t="n">
        <v>2335</v>
      </c>
      <c r="C4" s="57" t="n">
        <v>1884</v>
      </c>
      <c r="D4" s="65" t="n">
        <v>2056</v>
      </c>
      <c r="E4" s="66" t="n">
        <v>39624.6666666667</v>
      </c>
      <c r="F4" s="63" t="n">
        <v>199.059455104918</v>
      </c>
      <c r="G4" s="63" t="n">
        <v>494.531010045095</v>
      </c>
      <c r="H4" s="63" t="n">
        <v>1561.4689899549</v>
      </c>
      <c r="I4" s="63" t="n">
        <v>2550.5310100451</v>
      </c>
      <c r="J4" s="64" t="n">
        <v>0.0968188011210688</v>
      </c>
      <c r="L4" s="58" t="n">
        <v>1530</v>
      </c>
      <c r="M4" s="0" t="n">
        <v>1246</v>
      </c>
      <c r="N4" s="59" t="n">
        <v>1768</v>
      </c>
      <c r="O4" s="59" t="n">
        <f aca="false">IF(A4="","",IF(L4="","",A4-L4))</f>
        <v>419</v>
      </c>
      <c r="P4" s="59" t="n">
        <f aca="false">IF(B4="","",IF(M4="","",B4-M4))</f>
        <v>1089</v>
      </c>
      <c r="Q4" s="59" t="n">
        <f aca="false">IF(C4="","",IF(N4="","",C4-N4))</f>
        <v>116</v>
      </c>
      <c r="R4" s="65" t="n">
        <v>1515</v>
      </c>
      <c r="S4" s="66" t="n">
        <v>45531.5555555556</v>
      </c>
      <c r="T4" s="63" t="n">
        <v>213.381244619942</v>
      </c>
      <c r="U4" s="63" t="n">
        <v>530.11117894883</v>
      </c>
      <c r="V4" s="63" t="n">
        <v>985</v>
      </c>
      <c r="W4" s="63" t="n">
        <v>2045</v>
      </c>
      <c r="X4" s="87" t="n">
        <f aca="false">IF(D4="","",IF(V4="","",(V4-D4)/D4))</f>
        <v>-0.52091439688716</v>
      </c>
      <c r="Y4" s="87" t="n">
        <f aca="false">IF(D4="","",IF(W4="","",(W4-D4)/D4))</f>
        <v>-0.00535019455252918</v>
      </c>
      <c r="Z4" s="87" t="n">
        <v>0.1408767019938</v>
      </c>
      <c r="AA4" s="87" t="n">
        <f aca="false">IF(D4="","",IF(R4="","",(R4-D4)/D4))</f>
        <v>-0.263132295719844</v>
      </c>
      <c r="AB4" s="64" t="n">
        <f aca="false">IF(NOT(AA4=""),ABS(AA4),"")</f>
        <v>0.263132295719844</v>
      </c>
      <c r="AD4" s="65" t="n">
        <v>1832.66666666667</v>
      </c>
      <c r="AE4" s="66" t="n">
        <v>3984.88888888889</v>
      </c>
      <c r="AF4" s="63" t="n">
        <v>63.1259763400844</v>
      </c>
      <c r="AG4" s="63" t="n">
        <v>156.826274959363</v>
      </c>
      <c r="AH4" s="63" t="n">
        <v>1675.8403917073</v>
      </c>
      <c r="AI4" s="63" t="n">
        <v>1989.49294162603</v>
      </c>
      <c r="AJ4" s="87" t="n">
        <f aca="false">IF(D4="","",IF(AH4="","",(AH4-D4)/D4))</f>
        <v>-0.184902533216294</v>
      </c>
      <c r="AK4" s="87" t="n">
        <f aca="false">IF(D4="","",IF(AI4="","",(AI4-D4)/D4))</f>
        <v>-0.0323477910379232</v>
      </c>
      <c r="AL4" s="87" t="n">
        <v>0.0344448761404607</v>
      </c>
      <c r="AM4" s="87" t="n">
        <f aca="false">IF(D4="","",IF(AD4="","",(AD4-D4)/D4))</f>
        <v>-0.108625162127106</v>
      </c>
      <c r="AN4" s="64" t="n">
        <f aca="false">IF(NOT(AM4=""),ABS(AM4),"")</f>
        <v>0.108625162127106</v>
      </c>
      <c r="AP4" s="65" t="n">
        <v>1920.5</v>
      </c>
      <c r="AQ4" s="66" t="n">
        <v>171810.25</v>
      </c>
      <c r="AR4" s="63" t="n">
        <v>414.5</v>
      </c>
      <c r="AS4" s="63" t="n">
        <v>3724.07473674798</v>
      </c>
      <c r="AT4" s="63" t="n">
        <v>-1803.57473674797</v>
      </c>
      <c r="AU4" s="63" t="n">
        <v>5644.57473674797</v>
      </c>
      <c r="AV4" s="87" t="n">
        <f aca="false">IF(D4="","",IF(AT4="","",(AT4-D4)/D4))</f>
        <v>-1.87722506651166</v>
      </c>
      <c r="AW4" s="87" t="n">
        <f aca="false">IF(D4="","",IF(AU4="","",(AU4-D4)/D4))</f>
        <v>1.74541572799026</v>
      </c>
      <c r="AX4" s="87" t="n">
        <v>0.215829211142932</v>
      </c>
      <c r="AY4" s="45" t="n">
        <f aca="false">IF(D4="","",IF(AP4="","",(AP4-D4)/D4))</f>
        <v>-0.0659046692607004</v>
      </c>
      <c r="AZ4" s="64" t="n">
        <f aca="false">IF(NOT(AY4=""),ABS(AY4),"")</f>
        <v>0.0659046692607004</v>
      </c>
    </row>
    <row r="5" customFormat="false" ht="12.8" hidden="false" customHeight="false" outlineLevel="0" collapsed="false">
      <c r="A5" s="56" t="n">
        <v>976</v>
      </c>
      <c r="B5" s="25" t="n">
        <v>1058</v>
      </c>
      <c r="C5" s="57" t="n">
        <v>1014</v>
      </c>
      <c r="D5" s="65" t="n">
        <v>1016</v>
      </c>
      <c r="E5" s="66" t="n">
        <v>1122.66666666667</v>
      </c>
      <c r="F5" s="63" t="n">
        <v>33.5062183283442</v>
      </c>
      <c r="G5" s="63" t="n">
        <v>83.2407784095165</v>
      </c>
      <c r="H5" s="63" t="n">
        <v>932.759221590484</v>
      </c>
      <c r="I5" s="63" t="n">
        <v>1099.24077840952</v>
      </c>
      <c r="J5" s="64" t="n">
        <v>0.0329785613467954</v>
      </c>
      <c r="L5" s="58" t="n">
        <v>1122</v>
      </c>
      <c r="M5" s="0" t="n">
        <v>989</v>
      </c>
      <c r="N5" s="59" t="n">
        <v>1001</v>
      </c>
      <c r="O5" s="59" t="n">
        <f aca="false">IF(A5="","",IF(L5="","",A5-L5))</f>
        <v>-146</v>
      </c>
      <c r="P5" s="59" t="n">
        <f aca="false">IF(B5="","",IF(M5="","",B5-M5))</f>
        <v>69</v>
      </c>
      <c r="Q5" s="59" t="n">
        <f aca="false">IF(C5="","",IF(N5="","",C5-N5))</f>
        <v>13</v>
      </c>
      <c r="R5" s="65" t="n">
        <v>1037</v>
      </c>
      <c r="S5" s="66" t="n">
        <v>3608.22222222222</v>
      </c>
      <c r="T5" s="63" t="n">
        <v>60.0684794399044</v>
      </c>
      <c r="U5" s="63" t="n">
        <v>149.230418588417</v>
      </c>
      <c r="V5" s="63" t="n">
        <v>888</v>
      </c>
      <c r="W5" s="63" t="n">
        <v>1187</v>
      </c>
      <c r="X5" s="87" t="n">
        <f aca="false">IF(D5="","",IF(V5="","",(V5-D5)/D5))</f>
        <v>-0.125984251968504</v>
      </c>
      <c r="Y5" s="87" t="n">
        <f aca="false">IF(D5="","",IF(W5="","",(W5-D5)/D5))</f>
        <v>0.168307086614173</v>
      </c>
      <c r="Z5" s="87" t="n">
        <v>0.0579066318508076</v>
      </c>
      <c r="AA5" s="87" t="n">
        <f aca="false">IF(D5="","",IF(R5="","",(R5-D5)/D5))</f>
        <v>0.0206692913385827</v>
      </c>
      <c r="AB5" s="64" t="n">
        <f aca="false">IF(NOT(AA5=""),ABS(AA5),"")</f>
        <v>0.0206692913385827</v>
      </c>
      <c r="AD5" s="65" t="n">
        <v>1087.33333333333</v>
      </c>
      <c r="AE5" s="66" t="n">
        <v>25504.2222222222</v>
      </c>
      <c r="AF5" s="63" t="n">
        <v>159.700413970103</v>
      </c>
      <c r="AG5" s="63" t="n">
        <v>396.74984031092</v>
      </c>
      <c r="AH5" s="63" t="n">
        <v>690.583493022413</v>
      </c>
      <c r="AI5" s="63" t="n">
        <v>1484.08317364425</v>
      </c>
      <c r="AJ5" s="87" t="n">
        <f aca="false">IF(D5="","",IF(AH5="","",(AH5-D5)/D5))</f>
        <v>-0.320291837576365</v>
      </c>
      <c r="AK5" s="87" t="n">
        <f aca="false">IF(D5="","",IF(AI5="","",(AI5-D5)/D5))</f>
        <v>0.460711785082923</v>
      </c>
      <c r="AL5" s="87" t="n">
        <v>0.146873464718059</v>
      </c>
      <c r="AM5" s="87" t="n">
        <f aca="false">IF(D5="","",IF(AD5="","",(AD5-D5)/D5))</f>
        <v>0.0702099737532776</v>
      </c>
      <c r="AN5" s="64" t="n">
        <f aca="false">IF(NOT(AM5=""),ABS(AM5),"")</f>
        <v>0.0702099737532776</v>
      </c>
      <c r="AP5" s="65" t="n">
        <v>1069</v>
      </c>
      <c r="AQ5" s="66" t="n">
        <v>5929</v>
      </c>
      <c r="AR5" s="63" t="n">
        <v>77</v>
      </c>
      <c r="AS5" s="63" t="n">
        <v>691.806404655233</v>
      </c>
      <c r="AT5" s="63" t="n">
        <v>377.193595344767</v>
      </c>
      <c r="AU5" s="63" t="n">
        <v>1760.80640465523</v>
      </c>
      <c r="AV5" s="87" t="n">
        <f aca="false">IF(D5="","",IF(AT5="","",(AT5-D5)/D5))</f>
        <v>-0.628746461274836</v>
      </c>
      <c r="AW5" s="87" t="n">
        <f aca="false">IF(D5="","",IF(AU5="","",(AU5-D5)/D5))</f>
        <v>0.73307716993625</v>
      </c>
      <c r="AX5" s="87" t="n">
        <v>0.0720299345182413</v>
      </c>
      <c r="AY5" s="45" t="n">
        <f aca="false">IF(D5="","",IF(AP5="","",(AP5-D5)/D5))</f>
        <v>0.0521653543307087</v>
      </c>
      <c r="AZ5" s="64" t="n">
        <f aca="false">IF(NOT(AY5=""),ABS(AY5),"")</f>
        <v>0.0521653543307087</v>
      </c>
    </row>
    <row r="6" customFormat="false" ht="12.8" hidden="false" customHeight="false" outlineLevel="0" collapsed="false">
      <c r="A6" s="56" t="n">
        <v>854</v>
      </c>
      <c r="B6" s="25" t="n">
        <v>703</v>
      </c>
      <c r="C6" s="57" t="n">
        <v>708</v>
      </c>
      <c r="D6" s="65" t="n">
        <v>755</v>
      </c>
      <c r="E6" s="66" t="n">
        <v>4904.66666666667</v>
      </c>
      <c r="F6" s="63" t="n">
        <v>70.0333254006024</v>
      </c>
      <c r="G6" s="63" t="n">
        <v>173.986466148631</v>
      </c>
      <c r="H6" s="63" t="n">
        <v>581.013533851369</v>
      </c>
      <c r="I6" s="63" t="n">
        <v>928.986466148632</v>
      </c>
      <c r="J6" s="64" t="n">
        <v>0.0927593713915264</v>
      </c>
      <c r="L6" s="58" t="n">
        <v>695</v>
      </c>
      <c r="M6" s="0" t="n">
        <v>742</v>
      </c>
      <c r="N6" s="59" t="n">
        <v>760</v>
      </c>
      <c r="O6" s="59" t="n">
        <f aca="false">IF(A6="","",IF(L6="","",A6-L6))</f>
        <v>159</v>
      </c>
      <c r="P6" s="59" t="n">
        <f aca="false">IF(B6="","",IF(M6="","",B6-M6))</f>
        <v>-39</v>
      </c>
      <c r="Q6" s="59" t="n">
        <f aca="false">IF(C6="","",IF(N6="","",C6-N6))</f>
        <v>-52</v>
      </c>
      <c r="R6" s="65" t="n">
        <v>732</v>
      </c>
      <c r="S6" s="66" t="n">
        <v>750.888888888889</v>
      </c>
      <c r="T6" s="63" t="n">
        <v>27.4023518860861</v>
      </c>
      <c r="U6" s="63" t="n">
        <v>68.0767097885145</v>
      </c>
      <c r="V6" s="63" t="n">
        <v>664</v>
      </c>
      <c r="W6" s="63" t="n">
        <v>800</v>
      </c>
      <c r="X6" s="87" t="n">
        <f aca="false">IF(D6="","",IF(V6="","",(V6-D6)/D6))</f>
        <v>-0.120529801324503</v>
      </c>
      <c r="Y6" s="87" t="n">
        <f aca="false">IF(D6="","",IF(W6="","",(W6-D6)/D6))</f>
        <v>0.0596026490066225</v>
      </c>
      <c r="Z6" s="87" t="n">
        <v>0.0374178678462715</v>
      </c>
      <c r="AA6" s="87" t="n">
        <f aca="false">IF(D6="","",IF(R6="","",(R6-D6)/D6))</f>
        <v>-0.0304635761589404</v>
      </c>
      <c r="AB6" s="64" t="n">
        <f aca="false">IF(NOT(AA6=""),ABS(AA6),"")</f>
        <v>0.0304635761589404</v>
      </c>
      <c r="AD6" s="65" t="n">
        <v>764.666666666667</v>
      </c>
      <c r="AE6" s="66" t="n">
        <v>14676.2222222222</v>
      </c>
      <c r="AF6" s="63" t="n">
        <v>121.145458941812</v>
      </c>
      <c r="AG6" s="63" t="n">
        <v>300.966292413964</v>
      </c>
      <c r="AH6" s="63" t="n">
        <v>463.700374252703</v>
      </c>
      <c r="AI6" s="63" t="n">
        <v>1065.63295908063</v>
      </c>
      <c r="AJ6" s="87" t="n">
        <f aca="false">IF(D6="","",IF(AH6="","",(AH6-D6)/D6))</f>
        <v>-0.385827318870592</v>
      </c>
      <c r="AK6" s="87" t="n">
        <f aca="false">IF(D6="","",IF(AI6="","",(AI6-D6)/D6))</f>
        <v>0.411434382888252</v>
      </c>
      <c r="AL6" s="87" t="n">
        <v>0.158429109339771</v>
      </c>
      <c r="AM6" s="87" t="n">
        <f aca="false">IF(D6="","",IF(AD6="","",(AD6-D6)/D6))</f>
        <v>0.0128035320088304</v>
      </c>
      <c r="AN6" s="64" t="n">
        <f aca="false">IF(NOT(AM6=""),ABS(AM6),"")</f>
        <v>0.0128035320088304</v>
      </c>
      <c r="AP6" s="65" t="n">
        <v>705.5</v>
      </c>
      <c r="AQ6" s="66" t="n">
        <v>6.25</v>
      </c>
      <c r="AR6" s="63" t="n">
        <v>2.5</v>
      </c>
      <c r="AS6" s="63" t="n">
        <v>22.4612469043907</v>
      </c>
      <c r="AT6" s="63" t="n">
        <v>683.038753095609</v>
      </c>
      <c r="AU6" s="63" t="n">
        <v>727.961246904391</v>
      </c>
      <c r="AV6" s="87" t="n">
        <f aca="false">IF(D6="","",IF(AT6="","",(AT6-D6)/D6))</f>
        <v>-0.0953129098071404</v>
      </c>
      <c r="AW6" s="87" t="n">
        <f aca="false">IF(D6="","",IF(AU6="","",(AU6-D6)/D6))</f>
        <v>-0.0358129180074291</v>
      </c>
      <c r="AX6" s="87" t="n">
        <v>0.00354358610914245</v>
      </c>
      <c r="AY6" s="45" t="n">
        <f aca="false">IF(D6="","",IF(AP6="","",(AP6-D6)/D6))</f>
        <v>-0.0655629139072848</v>
      </c>
      <c r="AZ6" s="64" t="n">
        <f aca="false">IF(NOT(AY6=""),ABS(AY6),"")</f>
        <v>0.0655629139072848</v>
      </c>
    </row>
    <row r="7" customFormat="false" ht="12.8" hidden="false" customHeight="false" outlineLevel="0" collapsed="false">
      <c r="A7" s="56" t="n">
        <v>767</v>
      </c>
      <c r="B7" s="25" t="n">
        <v>579</v>
      </c>
      <c r="C7" s="57" t="n">
        <v>588</v>
      </c>
      <c r="D7" s="65" t="n">
        <v>644.666666666667</v>
      </c>
      <c r="E7" s="66" t="n">
        <v>7496.22222222222</v>
      </c>
      <c r="F7" s="63" t="n">
        <v>86.5807266210109</v>
      </c>
      <c r="G7" s="63" t="n">
        <v>215.095807248942</v>
      </c>
      <c r="H7" s="63" t="n">
        <v>429.570859417725</v>
      </c>
      <c r="I7" s="63" t="n">
        <v>859.762473915609</v>
      </c>
      <c r="J7" s="64" t="n">
        <v>0.134303091966408</v>
      </c>
      <c r="L7" s="58" t="n">
        <v>723</v>
      </c>
      <c r="M7" s="0" t="n">
        <v>509</v>
      </c>
      <c r="N7" s="59" t="n">
        <v>502</v>
      </c>
      <c r="O7" s="59" t="n">
        <f aca="false">IF(A7="","",IF(L7="","",A7-L7))</f>
        <v>44</v>
      </c>
      <c r="P7" s="59" t="n">
        <f aca="false">IF(B7="","",IF(M7="","",B7-M7))</f>
        <v>70</v>
      </c>
      <c r="Q7" s="59" t="n">
        <f aca="false">IF(C7="","",IF(N7="","",C7-N7))</f>
        <v>86</v>
      </c>
      <c r="R7" s="65" t="n">
        <v>578</v>
      </c>
      <c r="S7" s="66" t="n">
        <v>10520.6666666667</v>
      </c>
      <c r="T7" s="63" t="n">
        <v>102.570301094745</v>
      </c>
      <c r="U7" s="63" t="n">
        <v>254.819318048866</v>
      </c>
      <c r="V7" s="63" t="n">
        <v>323</v>
      </c>
      <c r="W7" s="63" t="n">
        <v>833</v>
      </c>
      <c r="X7" s="87" t="n">
        <f aca="false">IF(D7="","",IF(V7="","",(V7-D7)/D7))</f>
        <v>-0.498965873836608</v>
      </c>
      <c r="Y7" s="87" t="n">
        <f aca="false">IF(D7="","",IF(W7="","",(W7-D7)/D7))</f>
        <v>0.292140641158221</v>
      </c>
      <c r="Z7" s="87" t="n">
        <v>0.177457268330009</v>
      </c>
      <c r="AA7" s="87" t="n">
        <f aca="false">IF(D7="","",IF(R7="","",(R7-D7)/D7))</f>
        <v>-0.103412616339194</v>
      </c>
      <c r="AB7" s="64" t="n">
        <f aca="false">IF(NOT(AA7=""),ABS(AA7),"")</f>
        <v>0.103412616339194</v>
      </c>
      <c r="AD7" s="65" t="n">
        <v>535.666666666667</v>
      </c>
      <c r="AE7" s="66" t="n">
        <v>1989.55555555556</v>
      </c>
      <c r="AF7" s="63" t="n">
        <v>44.6044342588891</v>
      </c>
      <c r="AG7" s="63" t="n">
        <v>110.812500289988</v>
      </c>
      <c r="AH7" s="63" t="n">
        <v>424.854166376679</v>
      </c>
      <c r="AI7" s="63" t="n">
        <v>646.479166956654</v>
      </c>
      <c r="AJ7" s="87" t="n">
        <f aca="false">IF(D7="","",IF(AH7="","",(AH7-D7)/D7))</f>
        <v>-0.34097078638571</v>
      </c>
      <c r="AK7" s="87" t="n">
        <f aca="false">IF(D7="","",IF(AI7="","",(AI7-D7)/D7))</f>
        <v>0.0028115309565466</v>
      </c>
      <c r="AL7" s="87" t="n">
        <v>0.0832690123065757</v>
      </c>
      <c r="AM7" s="87" t="n">
        <f aca="false">IF(D7="","",IF(AD7="","",(AD7-D7)/D7))</f>
        <v>-0.169079627714581</v>
      </c>
      <c r="AN7" s="64" t="n">
        <f aca="false">IF(NOT(AM7=""),ABS(AM7),"")</f>
        <v>0.169079627714581</v>
      </c>
      <c r="AP7" s="65" t="n">
        <v>557</v>
      </c>
      <c r="AQ7" s="66" t="n">
        <v>484</v>
      </c>
      <c r="AR7" s="63" t="n">
        <v>22</v>
      </c>
      <c r="AS7" s="63" t="n">
        <v>197.658972758638</v>
      </c>
      <c r="AT7" s="63" t="n">
        <v>359.341027241362</v>
      </c>
      <c r="AU7" s="63" t="n">
        <v>754.658972758638</v>
      </c>
      <c r="AV7" s="87" t="n">
        <f aca="false">IF(D7="","",IF(AT7="","",(AT7-D7)/D7))</f>
        <v>-0.442594063224361</v>
      </c>
      <c r="AW7" s="87" t="n">
        <f aca="false">IF(D7="","",IF(AU7="","",(AU7-D7)/D7))</f>
        <v>0.170618882252282</v>
      </c>
      <c r="AX7" s="87" t="n">
        <v>0.0394973070017953</v>
      </c>
      <c r="AY7" s="45" t="n">
        <f aca="false">IF(D7="","",IF(AP7="","",(AP7-D7)/D7))</f>
        <v>-0.13598759048604</v>
      </c>
      <c r="AZ7" s="64" t="n">
        <f aca="false">IF(NOT(AY7=""),ABS(AY7),"")</f>
        <v>0.13598759048604</v>
      </c>
    </row>
    <row r="8" customFormat="false" ht="12.8" hidden="false" customHeight="false" outlineLevel="0" collapsed="false">
      <c r="A8" s="56" t="n">
        <v>481</v>
      </c>
      <c r="B8" s="25" t="n">
        <v>550</v>
      </c>
      <c r="C8" s="57" t="n">
        <v>469</v>
      </c>
      <c r="D8" s="65" t="n">
        <v>500</v>
      </c>
      <c r="E8" s="66" t="n">
        <v>1274</v>
      </c>
      <c r="F8" s="63" t="n">
        <v>35.6931365951495</v>
      </c>
      <c r="G8" s="63" t="n">
        <v>88.6738230182204</v>
      </c>
      <c r="H8" s="63" t="n">
        <v>411.32617698178</v>
      </c>
      <c r="I8" s="63" t="n">
        <v>588.67382301822</v>
      </c>
      <c r="J8" s="64" t="n">
        <v>0.071386273190299</v>
      </c>
      <c r="L8" s="58" t="n">
        <v>507</v>
      </c>
      <c r="M8" s="0" t="n">
        <v>462</v>
      </c>
      <c r="N8" s="59" t="n">
        <v>399</v>
      </c>
      <c r="O8" s="59" t="n">
        <f aca="false">IF(A8="","",IF(L8="","",A8-L8))</f>
        <v>-26</v>
      </c>
      <c r="P8" s="59" t="n">
        <f aca="false">IF(B8="","",IF(M8="","",B8-M8))</f>
        <v>88</v>
      </c>
      <c r="Q8" s="59" t="n">
        <f aca="false">IF(C8="","",IF(N8="","",C8-N8))</f>
        <v>70</v>
      </c>
      <c r="R8" s="65" t="n">
        <v>456</v>
      </c>
      <c r="S8" s="66" t="n">
        <v>1962</v>
      </c>
      <c r="T8" s="63" t="n">
        <v>44.2944691807002</v>
      </c>
      <c r="U8" s="63" t="n">
        <v>110.042442202997</v>
      </c>
      <c r="V8" s="63" t="n">
        <v>346</v>
      </c>
      <c r="W8" s="63" t="n">
        <v>566</v>
      </c>
      <c r="X8" s="87" t="n">
        <f aca="false">IF(D8="","",IF(V8="","",(V8-D8)/D8))</f>
        <v>-0.308</v>
      </c>
      <c r="Y8" s="87" t="n">
        <f aca="false">IF(D8="","",IF(W8="","",(W8-D8)/D8))</f>
        <v>0.132</v>
      </c>
      <c r="Z8" s="87" t="n">
        <v>0.097136993817325</v>
      </c>
      <c r="AA8" s="87" t="n">
        <f aca="false">IF(D8="","",IF(R8="","",(R8-D8)/D8))</f>
        <v>-0.088</v>
      </c>
      <c r="AB8" s="64" t="n">
        <f aca="false">IF(NOT(AA8=""),ABS(AA8),"")</f>
        <v>0.088</v>
      </c>
      <c r="AD8" s="65" t="n">
        <v>430.666666666667</v>
      </c>
      <c r="AE8" s="66" t="n">
        <v>409.555555555556</v>
      </c>
      <c r="AF8" s="63" t="n">
        <v>20.2374789822141</v>
      </c>
      <c r="AG8" s="63" t="n">
        <v>50.2767422756472</v>
      </c>
      <c r="AH8" s="63" t="n">
        <v>380.389924391019</v>
      </c>
      <c r="AI8" s="63" t="n">
        <v>480.943408942314</v>
      </c>
      <c r="AJ8" s="87" t="n">
        <f aca="false">IF(D8="","",IF(AH8="","",(AH8-D8)/D8))</f>
        <v>-0.239220151217962</v>
      </c>
      <c r="AK8" s="87" t="n">
        <f aca="false">IF(D8="","",IF(AI8="","",(AI8-D8)/D8))</f>
        <v>-0.038113182115372</v>
      </c>
      <c r="AL8" s="87" t="n">
        <v>0.0469910502682989</v>
      </c>
      <c r="AM8" s="87" t="n">
        <f aca="false">IF(D8="","",IF(AD8="","",(AD8-D8)/D8))</f>
        <v>-0.138666666666666</v>
      </c>
      <c r="AN8" s="64" t="n">
        <f aca="false">IF(NOT(AM8=""),ABS(AM8),"")</f>
        <v>0.138666666666666</v>
      </c>
      <c r="AP8" s="65" t="n">
        <v>515</v>
      </c>
      <c r="AQ8" s="66" t="n">
        <v>2116</v>
      </c>
      <c r="AR8" s="63" t="n">
        <v>46</v>
      </c>
      <c r="AS8" s="63" t="n">
        <v>413.286943040789</v>
      </c>
      <c r="AT8" s="63" t="n">
        <v>101.713056959211</v>
      </c>
      <c r="AU8" s="63" t="n">
        <v>928.286943040789</v>
      </c>
      <c r="AV8" s="87" t="n">
        <f aca="false">IF(D8="","",IF(AT8="","",(AT8-D8)/D8))</f>
        <v>-0.796573886081578</v>
      </c>
      <c r="AW8" s="87" t="n">
        <f aca="false">IF(D8="","",IF(AU8="","",(AU8-D8)/D8))</f>
        <v>0.856573886081578</v>
      </c>
      <c r="AX8" s="87" t="n">
        <v>0.0893203883495146</v>
      </c>
      <c r="AY8" s="45" t="n">
        <f aca="false">IF(D8="","",IF(AP8="","",(AP8-D8)/D8))</f>
        <v>0.03</v>
      </c>
      <c r="AZ8" s="64" t="n">
        <f aca="false">IF(NOT(AY8=""),ABS(AY8),"")</f>
        <v>0.03</v>
      </c>
    </row>
    <row r="9" customFormat="false" ht="12.8" hidden="false" customHeight="false" outlineLevel="0" collapsed="false">
      <c r="A9" s="56" t="n">
        <v>423</v>
      </c>
      <c r="B9" s="25" t="n">
        <v>432</v>
      </c>
      <c r="C9" s="57" t="n">
        <v>361</v>
      </c>
      <c r="D9" s="65" t="n">
        <v>405.333333333333</v>
      </c>
      <c r="E9" s="66" t="n">
        <v>996.222222222222</v>
      </c>
      <c r="F9" s="63" t="n">
        <v>31.5629881700422</v>
      </c>
      <c r="G9" s="63" t="n">
        <v>78.4131374796814</v>
      </c>
      <c r="H9" s="63" t="n">
        <v>326.920195853652</v>
      </c>
      <c r="I9" s="63" t="n">
        <v>483.746470813015</v>
      </c>
      <c r="J9" s="64" t="n">
        <v>0.0778692142353014</v>
      </c>
      <c r="L9" s="58" t="n">
        <v>476</v>
      </c>
      <c r="M9" s="0" t="n">
        <v>405</v>
      </c>
      <c r="N9" s="59" t="n">
        <v>386</v>
      </c>
      <c r="O9" s="59" t="n">
        <f aca="false">IF(A9="","",IF(L9="","",A9-L9))</f>
        <v>-53</v>
      </c>
      <c r="P9" s="59" t="n">
        <f aca="false">IF(B9="","",IF(M9="","",B9-M9))</f>
        <v>27</v>
      </c>
      <c r="Q9" s="59" t="n">
        <f aca="false">IF(C9="","",IF(N9="","",C9-N9))</f>
        <v>-25</v>
      </c>
      <c r="R9" s="65" t="n">
        <v>422</v>
      </c>
      <c r="S9" s="66" t="n">
        <v>1500.22222222222</v>
      </c>
      <c r="T9" s="63" t="n">
        <v>38.7327022323801</v>
      </c>
      <c r="U9" s="63" t="n">
        <v>96.2251320674979</v>
      </c>
      <c r="V9" s="63" t="n">
        <v>326</v>
      </c>
      <c r="W9" s="63" t="n">
        <v>519</v>
      </c>
      <c r="X9" s="87" t="n">
        <f aca="false">IF(D9="","",IF(V9="","",(V9-D9)/D9))</f>
        <v>-0.195723684210526</v>
      </c>
      <c r="Y9" s="87" t="n">
        <f aca="false">IF(D9="","",IF(W9="","",(W9-D9)/D9))</f>
        <v>0.280427631578949</v>
      </c>
      <c r="Z9" s="87" t="n">
        <v>0.0917112128627785</v>
      </c>
      <c r="AA9" s="87" t="n">
        <f aca="false">IF(D9="","",IF(R9="","",(R9-D9)/D9))</f>
        <v>0.0411184210526325</v>
      </c>
      <c r="AB9" s="64" t="n">
        <f aca="false">IF(NOT(AA9=""),ABS(AA9),"")</f>
        <v>0.0411184210526325</v>
      </c>
      <c r="AD9" s="65" t="n">
        <v>368</v>
      </c>
      <c r="AE9" s="66" t="n">
        <v>1362.66666666667</v>
      </c>
      <c r="AF9" s="63" t="n">
        <v>36.9143151997523</v>
      </c>
      <c r="AG9" s="63" t="n">
        <v>91.7076436848218</v>
      </c>
      <c r="AH9" s="63" t="n">
        <v>276.292356315178</v>
      </c>
      <c r="AI9" s="63" t="n">
        <v>459.707643684822</v>
      </c>
      <c r="AJ9" s="87" t="n">
        <f aca="false">IF(D9="","",IF(AH9="","",(AH9-D9)/D9))</f>
        <v>-0.318357673564527</v>
      </c>
      <c r="AK9" s="87" t="n">
        <f aca="false">IF(D9="","",IF(AI9="","",(AI9-D9)/D9))</f>
        <v>0.13414714724874</v>
      </c>
      <c r="AL9" s="87" t="n">
        <v>0.100310639129762</v>
      </c>
      <c r="AM9" s="87" t="n">
        <f aca="false">IF(D9="","",IF(AD9="","",(AD9-D9)/D9))</f>
        <v>-0.0921052631578939</v>
      </c>
      <c r="AN9" s="64" t="n">
        <f aca="false">IF(NOT(AM9=""),ABS(AM9),"")</f>
        <v>0.0921052631578939</v>
      </c>
      <c r="AP9" s="65" t="n">
        <v>417</v>
      </c>
      <c r="AQ9" s="66" t="n">
        <v>2209</v>
      </c>
      <c r="AR9" s="63" t="n">
        <v>47</v>
      </c>
      <c r="AS9" s="63" t="n">
        <v>422.271441802545</v>
      </c>
      <c r="AT9" s="63" t="n">
        <v>-5.27144180254481</v>
      </c>
      <c r="AU9" s="63" t="n">
        <v>839.271441802545</v>
      </c>
      <c r="AV9" s="87" t="n">
        <f aca="false">IF(D9="","",IF(AT9="","",(AT9-D9)/D9))</f>
        <v>-1.01300520181549</v>
      </c>
      <c r="AW9" s="87" t="n">
        <f aca="false">IF(D9="","",IF(AU9="","",(AU9-D9)/D9))</f>
        <v>1.07057099128918</v>
      </c>
      <c r="AX9" s="87" t="n">
        <v>0.112709832134293</v>
      </c>
      <c r="AY9" s="45" t="n">
        <f aca="false">IF(D9="","",IF(AP9="","",(AP9-D9)/D9))</f>
        <v>0.028782894736843</v>
      </c>
      <c r="AZ9" s="64" t="n">
        <f aca="false">IF(NOT(AY9=""),ABS(AY9),"")</f>
        <v>0.028782894736843</v>
      </c>
    </row>
    <row r="10" customFormat="false" ht="12.8" hidden="false" customHeight="false" outlineLevel="0" collapsed="false">
      <c r="A10" s="56" t="n">
        <v>393</v>
      </c>
      <c r="B10" s="25" t="n">
        <v>383</v>
      </c>
      <c r="C10" s="57" t="n">
        <v>390</v>
      </c>
      <c r="D10" s="65" t="n">
        <v>388.666666666667</v>
      </c>
      <c r="E10" s="66" t="n">
        <v>17.5555555555556</v>
      </c>
      <c r="F10" s="63" t="n">
        <v>4.18993502999218</v>
      </c>
      <c r="G10" s="63" t="n">
        <v>10.4092156854004</v>
      </c>
      <c r="H10" s="63" t="n">
        <v>378.257450981266</v>
      </c>
      <c r="I10" s="63" t="n">
        <v>399.075882352067</v>
      </c>
      <c r="J10" s="64" t="n">
        <v>0.0107802788078701</v>
      </c>
      <c r="L10" s="58" t="n">
        <v>355</v>
      </c>
      <c r="M10" s="0" t="n">
        <v>331</v>
      </c>
      <c r="N10" s="59" t="n">
        <v>336</v>
      </c>
      <c r="O10" s="59" t="n">
        <f aca="false">IF(A10="","",IF(L10="","",A10-L10))</f>
        <v>38</v>
      </c>
      <c r="P10" s="59" t="n">
        <f aca="false">IF(B10="","",IF(M10="","",B10-M10))</f>
        <v>52</v>
      </c>
      <c r="Q10" s="59" t="n">
        <f aca="false">IF(C10="","",IF(N10="","",C10-N10))</f>
        <v>54</v>
      </c>
      <c r="R10" s="65" t="n">
        <v>341</v>
      </c>
      <c r="S10" s="66" t="n">
        <v>106.888888888889</v>
      </c>
      <c r="T10" s="63" t="n">
        <v>10.3387082795139</v>
      </c>
      <c r="U10" s="63" t="n">
        <v>25.6848480035013</v>
      </c>
      <c r="V10" s="63" t="n">
        <v>315</v>
      </c>
      <c r="W10" s="63" t="n">
        <v>366</v>
      </c>
      <c r="X10" s="87" t="n">
        <f aca="false">IF(D10="","",IF(V10="","",(V10-D10)/D10))</f>
        <v>-0.189536878216124</v>
      </c>
      <c r="Y10" s="87" t="n">
        <f aca="false">IF(D10="","",IF(W10="","",(W10-D10)/D10))</f>
        <v>-0.0583190394511158</v>
      </c>
      <c r="Z10" s="87" t="n">
        <v>0.0303484587461269</v>
      </c>
      <c r="AA10" s="87" t="n">
        <f aca="false">IF(D10="","",IF(R10="","",(R10-D10)/D10))</f>
        <v>-0.122641509433963</v>
      </c>
      <c r="AB10" s="64" t="n">
        <f aca="false">IF(NOT(AA10=""),ABS(AA10),"")</f>
        <v>0.122641509433963</v>
      </c>
      <c r="AD10" s="65" t="n">
        <v>367.666666666667</v>
      </c>
      <c r="AE10" s="66" t="n">
        <v>4539.55555555556</v>
      </c>
      <c r="AF10" s="63" t="n">
        <v>67.3762239633207</v>
      </c>
      <c r="AG10" s="63" t="n">
        <v>167.385327524603</v>
      </c>
      <c r="AH10" s="63" t="n">
        <v>200.281339142064</v>
      </c>
      <c r="AI10" s="63" t="n">
        <v>535.051994191269</v>
      </c>
      <c r="AJ10" s="87" t="n">
        <f aca="false">IF(D10="","",IF(AH10="","",(AH10-D10)/D10))</f>
        <v>-0.484696382996405</v>
      </c>
      <c r="AK10" s="87" t="n">
        <f aca="false">IF(D10="","",IF(AI10="","",(AI10-D10)/D10))</f>
        <v>0.376634633425219</v>
      </c>
      <c r="AL10" s="87" t="n">
        <v>0.183253555657264</v>
      </c>
      <c r="AM10" s="87" t="n">
        <f aca="false">IF(D10="","",IF(AD10="","",(AD10-D10)/D10))</f>
        <v>-0.0540308747855917</v>
      </c>
      <c r="AN10" s="64" t="n">
        <f aca="false">IF(NOT(AM10=""),ABS(AM10),"")</f>
        <v>0.0540308747855917</v>
      </c>
      <c r="AP10" s="65" t="n">
        <v>335.5</v>
      </c>
      <c r="AQ10" s="66" t="n">
        <v>420.25</v>
      </c>
      <c r="AR10" s="63" t="n">
        <v>20.5</v>
      </c>
      <c r="AS10" s="63" t="n">
        <v>184.182224616004</v>
      </c>
      <c r="AT10" s="63" t="n">
        <v>151.317775383996</v>
      </c>
      <c r="AU10" s="63" t="n">
        <v>519.682224616004</v>
      </c>
      <c r="AV10" s="87" t="n">
        <f aca="false">IF(D10="","",IF(AT10="","",(AT10-D10)/D10))</f>
        <v>-0.610674677399668</v>
      </c>
      <c r="AW10" s="87" t="n">
        <f aca="false">IF(D10="","",IF(AU10="","",(AU10-D10)/D10))</f>
        <v>0.337089771739289</v>
      </c>
      <c r="AX10" s="87" t="n">
        <v>0.0611028315946349</v>
      </c>
      <c r="AY10" s="45" t="n">
        <f aca="false">IF(D10="","",IF(AP10="","",(AP10-D10)/D10))</f>
        <v>-0.136792452830189</v>
      </c>
      <c r="AZ10" s="64" t="n">
        <f aca="false">IF(NOT(AY10=""),ABS(AY10),"")</f>
        <v>0.136792452830189</v>
      </c>
    </row>
    <row r="11" customFormat="false" ht="12.8" hidden="false" customHeight="false" outlineLevel="0" collapsed="false">
      <c r="A11" s="56" t="n">
        <v>347</v>
      </c>
      <c r="B11" s="25" t="n">
        <v>392</v>
      </c>
      <c r="C11" s="57" t="n">
        <v>351</v>
      </c>
      <c r="D11" s="65" t="n">
        <v>363.333333333333</v>
      </c>
      <c r="E11" s="66" t="n">
        <v>413.555555555556</v>
      </c>
      <c r="F11" s="63" t="n">
        <v>20.3360653902262</v>
      </c>
      <c r="G11" s="63" t="n">
        <v>50.5216642558931</v>
      </c>
      <c r="H11" s="63" t="n">
        <v>312.81166907744</v>
      </c>
      <c r="I11" s="63" t="n">
        <v>413.854997589226</v>
      </c>
      <c r="J11" s="64" t="n">
        <v>0.0559708221749345</v>
      </c>
      <c r="L11" s="58" t="n">
        <v>345</v>
      </c>
      <c r="M11" s="0" t="n">
        <v>277</v>
      </c>
      <c r="N11" s="59" t="n">
        <v>291</v>
      </c>
      <c r="O11" s="59" t="n">
        <f aca="false">IF(A11="","",IF(L11="","",A11-L11))</f>
        <v>2</v>
      </c>
      <c r="P11" s="59" t="n">
        <f aca="false">IF(B11="","",IF(M11="","",B11-M11))</f>
        <v>115</v>
      </c>
      <c r="Q11" s="59" t="n">
        <f aca="false">IF(C11="","",IF(N11="","",C11-N11))</f>
        <v>60</v>
      </c>
      <c r="R11" s="65" t="n">
        <v>304</v>
      </c>
      <c r="S11" s="66" t="n">
        <v>859.555555555556</v>
      </c>
      <c r="T11" s="63" t="n">
        <v>29.3181779030614</v>
      </c>
      <c r="U11" s="63" t="n">
        <v>72.8362695629853</v>
      </c>
      <c r="V11" s="63" t="n">
        <v>231</v>
      </c>
      <c r="W11" s="63" t="n">
        <v>377</v>
      </c>
      <c r="X11" s="87" t="n">
        <f aca="false">IF(D11="","",IF(V11="","",(V11-D11)/D11))</f>
        <v>-0.364220183486238</v>
      </c>
      <c r="Y11" s="87" t="n">
        <f aca="false">IF(D11="","",IF(W11="","",(W11-D11)/D11))</f>
        <v>0.0376146788990836</v>
      </c>
      <c r="Z11" s="87" t="n">
        <v>0.0963357433835532</v>
      </c>
      <c r="AA11" s="87" t="n">
        <f aca="false">IF(D11="","",IF(R11="","",(R11-D11)/D11))</f>
        <v>-0.163302752293577</v>
      </c>
      <c r="AB11" s="64" t="n">
        <f aca="false">IF(NOT(AA11=""),ABS(AA11),"")</f>
        <v>0.163302752293577</v>
      </c>
      <c r="AD11" s="65" t="n">
        <v>292.333333333333</v>
      </c>
      <c r="AE11" s="66" t="n">
        <v>38.8888888888889</v>
      </c>
      <c r="AF11" s="63" t="n">
        <v>6.23609564462324</v>
      </c>
      <c r="AG11" s="63" t="n">
        <v>15.4925706806939</v>
      </c>
      <c r="AH11" s="63" t="n">
        <v>276.840762652639</v>
      </c>
      <c r="AI11" s="63" t="n">
        <v>307.825904014027</v>
      </c>
      <c r="AJ11" s="87" t="n">
        <f aca="false">IF(D11="","",IF(AH11="","",(AH11-D11)/D11))</f>
        <v>-0.238052946827598</v>
      </c>
      <c r="AK11" s="87" t="n">
        <f aca="false">IF(D11="","",IF(AI11="","",(AI11-D11)/D11))</f>
        <v>-0.152772741245796</v>
      </c>
      <c r="AL11" s="87" t="n">
        <v>0.0213321401754501</v>
      </c>
      <c r="AM11" s="87" t="n">
        <f aca="false">IF(D11="","",IF(AD11="","",(AD11-D11)/D11))</f>
        <v>-0.195412844036697</v>
      </c>
      <c r="AN11" s="64" t="n">
        <f aca="false">IF(NOT(AM11=""),ABS(AM11),"")</f>
        <v>0.195412844036697</v>
      </c>
      <c r="AP11" s="65" t="n">
        <v>339.5</v>
      </c>
      <c r="AQ11" s="66" t="n">
        <v>342.25</v>
      </c>
      <c r="AR11" s="63" t="n">
        <v>18.5</v>
      </c>
      <c r="AS11" s="63" t="n">
        <v>166.213227092491</v>
      </c>
      <c r="AT11" s="63" t="n">
        <v>173.286772907509</v>
      </c>
      <c r="AU11" s="63" t="n">
        <v>505.713227092491</v>
      </c>
      <c r="AV11" s="87" t="n">
        <f aca="false">IF(D11="","",IF(AT11="","",(AT11-D11)/D11))</f>
        <v>-0.523063927777498</v>
      </c>
      <c r="AW11" s="87" t="n">
        <f aca="false">IF(D11="","",IF(AU11="","",(AU11-D11)/D11))</f>
        <v>0.391871267227041</v>
      </c>
      <c r="AX11" s="87" t="n">
        <v>0.0544918998527246</v>
      </c>
      <c r="AY11" s="45" t="n">
        <f aca="false">IF(D11="","",IF(AP11="","",(AP11-D11)/D11))</f>
        <v>-0.0655963302752284</v>
      </c>
      <c r="AZ11" s="64" t="n">
        <f aca="false">IF(NOT(AY11=""),ABS(AY11),"")</f>
        <v>0.0655963302752284</v>
      </c>
    </row>
    <row r="12" customFormat="false" ht="12.8" hidden="false" customHeight="false" outlineLevel="0" collapsed="false">
      <c r="A12" s="56" t="n">
        <v>266</v>
      </c>
      <c r="B12" s="25" t="n">
        <v>280</v>
      </c>
      <c r="C12" s="57" t="n">
        <v>289</v>
      </c>
      <c r="D12" s="65" t="n">
        <v>278.333333333333</v>
      </c>
      <c r="E12" s="66" t="n">
        <v>89.5555555555555</v>
      </c>
      <c r="F12" s="63" t="n">
        <v>9.46337971105226</v>
      </c>
      <c r="G12" s="63" t="n">
        <v>23.5102357960354</v>
      </c>
      <c r="H12" s="63" t="n">
        <v>254.823097537298</v>
      </c>
      <c r="I12" s="63" t="n">
        <v>301.843569129369</v>
      </c>
      <c r="J12" s="64" t="n">
        <v>0.0340001666265351</v>
      </c>
      <c r="L12" s="58" t="n">
        <v>258</v>
      </c>
      <c r="M12" s="0" t="n">
        <v>313</v>
      </c>
      <c r="N12" s="59" t="n">
        <v>231</v>
      </c>
      <c r="O12" s="59" t="n">
        <f aca="false">IF(A12="","",IF(L12="","",A12-L12))</f>
        <v>8</v>
      </c>
      <c r="P12" s="59" t="n">
        <f aca="false">IF(B12="","",IF(M12="","",B12-M12))</f>
        <v>-33</v>
      </c>
      <c r="Q12" s="59" t="n">
        <f aca="false">IF(C12="","",IF(N12="","",C12-N12))</f>
        <v>58</v>
      </c>
      <c r="R12" s="65" t="n">
        <v>267</v>
      </c>
      <c r="S12" s="66" t="n">
        <v>1164.22222222222</v>
      </c>
      <c r="T12" s="63" t="n">
        <v>34.1207007873845</v>
      </c>
      <c r="U12" s="63" t="n">
        <v>84.7673606608547</v>
      </c>
      <c r="V12" s="63" t="n">
        <v>183</v>
      </c>
      <c r="W12" s="63" t="n">
        <v>352</v>
      </c>
      <c r="X12" s="87" t="n">
        <f aca="false">IF(D12="","",IF(V12="","",(V12-D12)/D12))</f>
        <v>-0.342514970059879</v>
      </c>
      <c r="Y12" s="87" t="n">
        <f aca="false">IF(D12="","",IF(W12="","",(W12-D12)/D12))</f>
        <v>0.264670658682636</v>
      </c>
      <c r="Z12" s="87" t="n">
        <v>0.127633544092461</v>
      </c>
      <c r="AA12" s="87" t="n">
        <f aca="false">IF(D12="","",IF(R12="","",(R12-D12)/D12))</f>
        <v>-0.0407185628742503</v>
      </c>
      <c r="AB12" s="64" t="n">
        <f aca="false">IF(NOT(AA12=""),ABS(AA12),"")</f>
        <v>0.0407185628742503</v>
      </c>
      <c r="AD12" s="65" t="n">
        <v>279</v>
      </c>
      <c r="AE12" s="66" t="n">
        <v>0</v>
      </c>
      <c r="AF12" s="63" t="n">
        <v>0</v>
      </c>
      <c r="AG12" s="63" t="n">
        <v>0</v>
      </c>
      <c r="AH12" s="63" t="n">
        <v>279</v>
      </c>
      <c r="AI12" s="63" t="n">
        <v>279</v>
      </c>
      <c r="AJ12" s="87" t="n">
        <f aca="false">IF(D12="","",IF(AH12="","",(AH12-D12)/D12))</f>
        <v>0.00239520958083962</v>
      </c>
      <c r="AK12" s="87" t="n">
        <f aca="false">IF(D12="","",IF(AI12="","",(AI12-D12)/D12))</f>
        <v>0.00239520958083962</v>
      </c>
      <c r="AL12" s="87" t="n">
        <v>0</v>
      </c>
      <c r="AM12" s="87" t="n">
        <f aca="false">IF(D12="","",IF(AD12="","",(AD12-D12)/D12))</f>
        <v>0.00239520958083962</v>
      </c>
      <c r="AN12" s="64" t="n">
        <f aca="false">IF(NOT(AM12=""),ABS(AM12),"")</f>
        <v>0.00239520958083962</v>
      </c>
      <c r="AP12" s="65" t="n">
        <v>274.5</v>
      </c>
      <c r="AQ12" s="66" t="n">
        <v>20.25</v>
      </c>
      <c r="AR12" s="63" t="n">
        <v>4.5</v>
      </c>
      <c r="AS12" s="63" t="n">
        <v>40.4302444279032</v>
      </c>
      <c r="AT12" s="63" t="n">
        <v>234.069755572097</v>
      </c>
      <c r="AU12" s="63" t="n">
        <v>314.930244427903</v>
      </c>
      <c r="AV12" s="87" t="n">
        <f aca="false">IF(D12="","",IF(AT12="","",(AT12-D12)/D12))</f>
        <v>-0.159030818303842</v>
      </c>
      <c r="AW12" s="87" t="n">
        <f aca="false">IF(D12="","",IF(AU12="","",(AU12-D12)/D12))</f>
        <v>0.131485908124204</v>
      </c>
      <c r="AX12" s="87" t="n">
        <v>0.0163934426229508</v>
      </c>
      <c r="AY12" s="45" t="n">
        <f aca="false">IF(D12="","",IF(AP12="","",(AP12-D12)/D12))</f>
        <v>-0.0137724550898191</v>
      </c>
      <c r="AZ12" s="64" t="n">
        <f aca="false">IF(NOT(AY12=""),ABS(AY12),"")</f>
        <v>0.0137724550898191</v>
      </c>
    </row>
    <row r="13" customFormat="false" ht="12.8" hidden="false" customHeight="false" outlineLevel="0" collapsed="false">
      <c r="A13" s="56"/>
      <c r="B13" s="25"/>
      <c r="C13" s="57"/>
      <c r="D13" s="65"/>
      <c r="E13" s="66"/>
      <c r="F13" s="63"/>
      <c r="G13" s="63"/>
      <c r="H13" s="63"/>
      <c r="I13" s="63"/>
      <c r="J13" s="64"/>
      <c r="L13" s="58"/>
      <c r="N13" s="59"/>
      <c r="O13" s="59" t="str">
        <f aca="false">IF(A13="","",IF(L13="","",A13-L13))</f>
        <v/>
      </c>
      <c r="P13" s="59" t="str">
        <f aca="false">IF(B13="","",IF(M13="","",B13-M13))</f>
        <v/>
      </c>
      <c r="Q13" s="59" t="str">
        <f aca="false">IF(C13="","",IF(N13="","",C13-N13))</f>
        <v/>
      </c>
      <c r="R13" s="65" t="str">
        <f aca="false">IF(COUNT(O13:Q13)&gt;0,AVERAGE(O13:Q13),"")</f>
        <v/>
      </c>
      <c r="S13" s="66"/>
      <c r="T13" s="63"/>
      <c r="U13" s="63"/>
      <c r="V13" s="63" t="str">
        <f aca="false">IF(R13="","",R13-U13)</f>
        <v/>
      </c>
      <c r="W13" s="63" t="str">
        <f aca="false">IF(R13="","",R13+U13)</f>
        <v/>
      </c>
      <c r="X13" s="87" t="str">
        <f aca="false">IF(D13="","",IF(V13="","",(V13-D13)/D13))</f>
        <v/>
      </c>
      <c r="Y13" s="87" t="str">
        <f aca="false">IF(D13="","",IF(W13="","",(W13-D13)/D13))</f>
        <v/>
      </c>
      <c r="Z13" s="87"/>
      <c r="AA13" s="87" t="str">
        <f aca="false">IF(D13="","",IF(R13="","",(R13-D13)/D13))</f>
        <v/>
      </c>
      <c r="AB13" s="64" t="str">
        <f aca="false">IF(NOT(AA13=""),ABS(AA13),"")</f>
        <v/>
      </c>
      <c r="AD13" s="65" t="n">
        <v>1791</v>
      </c>
      <c r="AE13" s="66" t="n">
        <v>0</v>
      </c>
      <c r="AF13" s="63" t="n">
        <v>0</v>
      </c>
      <c r="AG13" s="63" t="n">
        <v>0</v>
      </c>
      <c r="AH13" s="63" t="n">
        <v>1791</v>
      </c>
      <c r="AI13" s="63" t="n">
        <v>1791</v>
      </c>
      <c r="AJ13" s="87" t="str">
        <f aca="false">IF(D13="","",IF(AH13="","",(AH13-D13)/D13))</f>
        <v/>
      </c>
      <c r="AK13" s="87" t="str">
        <f aca="false">IF(D13="","",IF(AI13="","",(AI13-D13)/D13))</f>
        <v/>
      </c>
      <c r="AL13" s="87" t="n">
        <v>0</v>
      </c>
      <c r="AM13" s="87" t="str">
        <f aca="false">IF(D13="","",IF(AD13="","",(AD13-D13)/D13))</f>
        <v/>
      </c>
      <c r="AN13" s="64" t="str">
        <f aca="false">IF(NOT(AM13=""),ABS(AM13),"")</f>
        <v/>
      </c>
      <c r="AP13" s="65"/>
      <c r="AQ13" s="66"/>
      <c r="AR13" s="63"/>
      <c r="AS13" s="63"/>
      <c r="AT13" s="63"/>
      <c r="AU13" s="63"/>
      <c r="AV13" s="87" t="str">
        <f aca="false">IF(D13="","",IF(AT13="","",(AT13-D13)/D13))</f>
        <v/>
      </c>
      <c r="AW13" s="87" t="str">
        <f aca="false">IF(D13="","",IF(AU13="","",(AU13-D13)/D13))</f>
        <v/>
      </c>
      <c r="AX13" s="87"/>
      <c r="AY13" s="45" t="str">
        <f aca="false">IF(D13="","",IF(AP13="","",(AP13-D13)/D13))</f>
        <v/>
      </c>
      <c r="AZ13" s="64" t="str">
        <f aca="false">IF(NOT(AY13=""),ABS(AY13),"")</f>
        <v/>
      </c>
    </row>
    <row r="14" customFormat="false" ht="12.8" hidden="false" customHeight="false" outlineLevel="0" collapsed="false">
      <c r="A14" s="56" t="n">
        <v>1647</v>
      </c>
      <c r="B14" s="25" t="n">
        <v>1394</v>
      </c>
      <c r="C14" s="57" t="n">
        <v>1740</v>
      </c>
      <c r="D14" s="65" t="n">
        <v>1593.66666666667</v>
      </c>
      <c r="E14" s="66" t="n">
        <v>21374.8888888889</v>
      </c>
      <c r="F14" s="63" t="n">
        <v>146.201535179658</v>
      </c>
      <c r="G14" s="63" t="n">
        <v>363.214059962299</v>
      </c>
      <c r="H14" s="63" t="n">
        <v>1230.45260670437</v>
      </c>
      <c r="I14" s="63" t="n">
        <v>1956.88072662897</v>
      </c>
      <c r="J14" s="64" t="n">
        <v>0.0917390933986562</v>
      </c>
      <c r="L14" s="58" t="n">
        <v>1291</v>
      </c>
      <c r="N14" s="59" t="n">
        <v>1461</v>
      </c>
      <c r="O14" s="59" t="n">
        <f aca="false">IF(A14="","",IF(L14="","",A14-L14))</f>
        <v>356</v>
      </c>
      <c r="P14" s="59" t="str">
        <f aca="false">IF(B14="","",IF(M14="","",B14-M14))</f>
        <v/>
      </c>
      <c r="Q14" s="59" t="n">
        <f aca="false">IF(C14="","",IF(N14="","",C14-N14))</f>
        <v>279</v>
      </c>
      <c r="R14" s="65" t="n">
        <v>1376</v>
      </c>
      <c r="S14" s="66" t="n">
        <v>7225</v>
      </c>
      <c r="T14" s="63" t="n">
        <v>85</v>
      </c>
      <c r="U14" s="63" t="n">
        <v>763.682394749283</v>
      </c>
      <c r="V14" s="63" t="n">
        <v>612</v>
      </c>
      <c r="W14" s="63" t="n">
        <v>2140</v>
      </c>
      <c r="X14" s="87" t="n">
        <f aca="false">IF(D14="","",IF(V14="","",(V14-D14)/D14))</f>
        <v>-0.615979920518721</v>
      </c>
      <c r="Y14" s="87" t="n">
        <f aca="false">IF(D14="","",IF(W14="","",(W14-D14)/D14))</f>
        <v>0.342815310604473</v>
      </c>
      <c r="Z14" s="87" t="n">
        <v>0.0617732558139535</v>
      </c>
      <c r="AA14" s="87" t="n">
        <f aca="false">IF(D14="","",IF(R14="","",(R14-D14)/D14))</f>
        <v>-0.136582304957124</v>
      </c>
      <c r="AB14" s="64" t="n">
        <f aca="false">IF(NOT(AA14=""),ABS(AA14),"")</f>
        <v>0.136582304957124</v>
      </c>
      <c r="AD14" s="65" t="n">
        <v>1382.33333333333</v>
      </c>
      <c r="AE14" s="66" t="n">
        <v>446.888888888889</v>
      </c>
      <c r="AF14" s="63" t="n">
        <v>21.1397466609439</v>
      </c>
      <c r="AG14" s="63" t="n">
        <v>52.5182803440507</v>
      </c>
      <c r="AH14" s="63" t="n">
        <v>1329.81505298928</v>
      </c>
      <c r="AI14" s="63" t="n">
        <v>1434.85161367738</v>
      </c>
      <c r="AJ14" s="87" t="n">
        <f aca="false">IF(D14="","",IF(AH14="","",(AH14-D14)/D14))</f>
        <v>-0.165562610548456</v>
      </c>
      <c r="AK14" s="87" t="n">
        <f aca="false">IF(D14="","",IF(AI14="","",(AI14-D14)/D14))</f>
        <v>-0.0996538713591024</v>
      </c>
      <c r="AL14" s="87" t="n">
        <v>0.015292799610039</v>
      </c>
      <c r="AM14" s="87" t="n">
        <f aca="false">IF(D14="","",IF(AD14="","",(AD14-D14)/D14))</f>
        <v>-0.132608240953779</v>
      </c>
      <c r="AN14" s="64" t="n">
        <f aca="false">IF(NOT(AM14=""),ABS(AM14),"")</f>
        <v>0.132608240953779</v>
      </c>
      <c r="AP14" s="65" t="n">
        <v>1394</v>
      </c>
      <c r="AQ14" s="66" t="n">
        <v>0</v>
      </c>
      <c r="AR14" s="63" t="n">
        <v>0</v>
      </c>
      <c r="AS14" s="63" t="n">
        <v>0</v>
      </c>
      <c r="AT14" s="63" t="n">
        <v>1394</v>
      </c>
      <c r="AU14" s="63" t="n">
        <v>1394</v>
      </c>
      <c r="AV14" s="87" t="n">
        <f aca="false">IF(D14="","",IF(AT14="","",(AT14-D14)/D14))</f>
        <v>-0.125287596737086</v>
      </c>
      <c r="AW14" s="87" t="n">
        <f aca="false">IF(D14="","",IF(AU14="","",(AU14-D14)/D14))</f>
        <v>-0.125287596737086</v>
      </c>
      <c r="AX14" s="87" t="n">
        <v>0</v>
      </c>
      <c r="AY14" s="45" t="n">
        <f aca="false">IF(D14="","",IF(AP14="","",(AP14-D14)/D14))</f>
        <v>-0.125287596737086</v>
      </c>
      <c r="AZ14" s="64" t="n">
        <f aca="false">IF(NOT(AY14=""),ABS(AY14),"")</f>
        <v>0.125287596737086</v>
      </c>
    </row>
    <row r="15" customFormat="false" ht="12.8" hidden="false" customHeight="false" outlineLevel="0" collapsed="false">
      <c r="A15" s="56" t="n">
        <v>993</v>
      </c>
      <c r="B15" s="25" t="n">
        <v>1133</v>
      </c>
      <c r="C15" s="57" t="n">
        <v>1218</v>
      </c>
      <c r="D15" s="65" t="n">
        <v>1114.66666666667</v>
      </c>
      <c r="E15" s="66" t="n">
        <v>8605.55555555556</v>
      </c>
      <c r="F15" s="63" t="n">
        <v>92.7661336671716</v>
      </c>
      <c r="G15" s="63" t="n">
        <v>230.462450307749</v>
      </c>
      <c r="H15" s="63" t="n">
        <v>884.204216358917</v>
      </c>
      <c r="I15" s="63" t="n">
        <v>1345.12911697442</v>
      </c>
      <c r="J15" s="64" t="n">
        <v>0.0832232060411229</v>
      </c>
      <c r="L15" s="58" t="n">
        <v>1012</v>
      </c>
      <c r="M15" s="0" t="n">
        <v>903</v>
      </c>
      <c r="N15" s="59" t="n">
        <v>979</v>
      </c>
      <c r="O15" s="59" t="n">
        <f aca="false">IF(A15="","",IF(L15="","",A15-L15))</f>
        <v>-19</v>
      </c>
      <c r="P15" s="59" t="n">
        <f aca="false">IF(B15="","",IF(M15="","",B15-M15))</f>
        <v>230</v>
      </c>
      <c r="Q15" s="59" t="n">
        <f aca="false">IF(C15="","",IF(N15="","",C15-N15))</f>
        <v>239</v>
      </c>
      <c r="R15" s="65" t="n">
        <v>965</v>
      </c>
      <c r="S15" s="66" t="n">
        <v>2082.88888888889</v>
      </c>
      <c r="T15" s="63" t="n">
        <v>45.6386775541195</v>
      </c>
      <c r="U15" s="63" t="n">
        <v>113.38191042503</v>
      </c>
      <c r="V15" s="63" t="n">
        <v>851</v>
      </c>
      <c r="W15" s="63" t="n">
        <v>1078</v>
      </c>
      <c r="X15" s="87" t="n">
        <f aca="false">IF(D15="","",IF(V15="","",(V15-D15)/D15))</f>
        <v>-0.236543062200959</v>
      </c>
      <c r="Y15" s="87" t="n">
        <f aca="false">IF(D15="","",IF(W15="","",(W15-D15)/D15))</f>
        <v>-0.0328947368421081</v>
      </c>
      <c r="Z15" s="87" t="n">
        <v>0.0473103084527845</v>
      </c>
      <c r="AA15" s="87" t="n">
        <f aca="false">IF(D15="","",IF(R15="","",(R15-D15)/D15))</f>
        <v>-0.134270334928232</v>
      </c>
      <c r="AB15" s="64" t="n">
        <f aca="false">IF(NOT(AA15=""),ABS(AA15),"")</f>
        <v>0.134270334928232</v>
      </c>
      <c r="AD15" s="65" t="n">
        <v>1050.33333333333</v>
      </c>
      <c r="AE15" s="66" t="n">
        <v>8322.88888888889</v>
      </c>
      <c r="AF15" s="63" t="n">
        <v>91.2298684033299</v>
      </c>
      <c r="AG15" s="63" t="n">
        <v>226.645847814668</v>
      </c>
      <c r="AH15" s="63" t="n">
        <v>823.687485518665</v>
      </c>
      <c r="AI15" s="63" t="n">
        <v>1276.979181148</v>
      </c>
      <c r="AJ15" s="87" t="n">
        <f aca="false">IF(D15="","",IF(AH15="","",(AH15-D15)/D15))</f>
        <v>-0.261045916101678</v>
      </c>
      <c r="AK15" s="87" t="n">
        <f aca="false">IF(D15="","",IF(AI15="","",(AI15-D15)/D15))</f>
        <v>0.145615294092102</v>
      </c>
      <c r="AL15" s="87" t="n">
        <v>0.086858014982542</v>
      </c>
      <c r="AM15" s="87" t="n">
        <f aca="false">IF(D15="","",IF(AD15="","",(AD15-D15)/D15))</f>
        <v>-0.0577153110047904</v>
      </c>
      <c r="AN15" s="64" t="n">
        <f aca="false">IF(NOT(AM15=""),ABS(AM15),"")</f>
        <v>0.0577153110047904</v>
      </c>
      <c r="AP15" s="65" t="n">
        <v>1128</v>
      </c>
      <c r="AQ15" s="66" t="n">
        <v>19881</v>
      </c>
      <c r="AR15" s="63" t="n">
        <v>141</v>
      </c>
      <c r="AS15" s="63" t="n">
        <v>1266.81432540763</v>
      </c>
      <c r="AT15" s="63" t="n">
        <v>-138.814325407634</v>
      </c>
      <c r="AU15" s="63" t="n">
        <v>2394.81432540763</v>
      </c>
      <c r="AV15" s="87" t="n">
        <f aca="false">IF(D15="","",IF(AT15="","",(AT15-D15)/D15))</f>
        <v>-1.12453438284178</v>
      </c>
      <c r="AW15" s="87" t="n">
        <f aca="false">IF(D15="","",IF(AU15="","",(AU15-D15)/D15))</f>
        <v>1.14845782781784</v>
      </c>
      <c r="AX15" s="87" t="n">
        <v>0.125</v>
      </c>
      <c r="AY15" s="45" t="n">
        <f aca="false">IF(D15="","",IF(AP15="","",(AP15-D15)/D15))</f>
        <v>0.0119617224880353</v>
      </c>
      <c r="AZ15" s="64" t="n">
        <f aca="false">IF(NOT(AY15=""),ABS(AY15),"")</f>
        <v>0.0119617224880353</v>
      </c>
    </row>
    <row r="16" customFormat="false" ht="12.8" hidden="false" customHeight="false" outlineLevel="0" collapsed="false">
      <c r="A16" s="56" t="n">
        <v>762</v>
      </c>
      <c r="B16" s="25" t="n">
        <v>854</v>
      </c>
      <c r="C16" s="57" t="n">
        <v>776</v>
      </c>
      <c r="D16" s="65" t="n">
        <v>797.333333333333</v>
      </c>
      <c r="E16" s="66" t="n">
        <v>1638.22222222222</v>
      </c>
      <c r="F16" s="63" t="n">
        <v>40.4749579644281</v>
      </c>
      <c r="G16" s="63" t="n">
        <v>100.553484551294</v>
      </c>
      <c r="H16" s="63" t="n">
        <v>696.779848782039</v>
      </c>
      <c r="I16" s="63" t="n">
        <v>897.886817884628</v>
      </c>
      <c r="J16" s="64" t="n">
        <v>0.0507629071460219</v>
      </c>
      <c r="L16" s="58" t="n">
        <v>985</v>
      </c>
      <c r="M16" s="0" t="n">
        <v>802</v>
      </c>
      <c r="N16" s="59" t="n">
        <v>849</v>
      </c>
      <c r="O16" s="59" t="n">
        <f aca="false">IF(A16="","",IF(L16="","",A16-L16))</f>
        <v>-223</v>
      </c>
      <c r="P16" s="59" t="n">
        <f aca="false">IF(B16="","",IF(M16="","",B16-M16))</f>
        <v>52</v>
      </c>
      <c r="Q16" s="59" t="n">
        <f aca="false">IF(C16="","",IF(N16="","",C16-N16))</f>
        <v>-73</v>
      </c>
      <c r="R16" s="65" t="n">
        <v>879</v>
      </c>
      <c r="S16" s="66" t="n">
        <v>6021.55555555556</v>
      </c>
      <c r="T16" s="63" t="n">
        <v>77.5986826921408</v>
      </c>
      <c r="U16" s="63" t="n">
        <v>192.781372327615</v>
      </c>
      <c r="V16" s="63" t="n">
        <v>686</v>
      </c>
      <c r="W16" s="63" t="n">
        <v>1071</v>
      </c>
      <c r="X16" s="87" t="n">
        <f aca="false">IF(D16="","",IF(V16="","",(V16-D16)/D16))</f>
        <v>-0.139632107023411</v>
      </c>
      <c r="Y16" s="87" t="n">
        <f aca="false">IF(D16="","",IF(W16="","",(W16-D16)/D16))</f>
        <v>0.343227424749164</v>
      </c>
      <c r="Z16" s="87" t="n">
        <v>0.0883141305297506</v>
      </c>
      <c r="AA16" s="87" t="n">
        <f aca="false">IF(D16="","",IF(R16="","",(R16-D16)/D16))</f>
        <v>0.10242474916388</v>
      </c>
      <c r="AB16" s="64" t="n">
        <f aca="false">IF(NOT(AA16=""),ABS(AA16),"")</f>
        <v>0.10242474916388</v>
      </c>
      <c r="AD16" s="65" t="n">
        <v>760.333333333333</v>
      </c>
      <c r="AE16" s="66" t="n">
        <v>22577.5555555556</v>
      </c>
      <c r="AF16" s="63" t="n">
        <v>150.258296128885</v>
      </c>
      <c r="AG16" s="63" t="n">
        <v>373.292426190494</v>
      </c>
      <c r="AH16" s="63" t="n">
        <v>387.04090714284</v>
      </c>
      <c r="AI16" s="63" t="n">
        <v>1133.62575952383</v>
      </c>
      <c r="AJ16" s="87" t="n">
        <f aca="false">IF(D16="","",IF(AH16="","",(AH16-D16)/D16))</f>
        <v>-0.514580802078378</v>
      </c>
      <c r="AK16" s="87" t="n">
        <f aca="false">IF(D16="","",IF(AI16="","",(AI16-D16)/D16))</f>
        <v>0.421771437529888</v>
      </c>
      <c r="AL16" s="87" t="n">
        <v>0.197621608236148</v>
      </c>
      <c r="AM16" s="87" t="n">
        <f aca="false">IF(D16="","",IF(AD16="","",(AD16-D16)/D16))</f>
        <v>-0.0464046822742475</v>
      </c>
      <c r="AN16" s="64" t="n">
        <f aca="false">IF(NOT(AM16=""),ABS(AM16),"")</f>
        <v>0.0464046822742475</v>
      </c>
      <c r="AP16" s="65" t="n">
        <v>811.5</v>
      </c>
      <c r="AQ16" s="66" t="n">
        <v>1806.25</v>
      </c>
      <c r="AR16" s="63" t="n">
        <v>42.5</v>
      </c>
      <c r="AS16" s="63" t="n">
        <v>381.841197374642</v>
      </c>
      <c r="AT16" s="63" t="n">
        <v>429.658802625359</v>
      </c>
      <c r="AU16" s="63" t="n">
        <v>1193.34119737464</v>
      </c>
      <c r="AV16" s="87" t="n">
        <f aca="false">IF(D16="","",IF(AT16="","",(AT16-D16)/D16))</f>
        <v>-0.461130264265854</v>
      </c>
      <c r="AW16" s="87" t="n">
        <f aca="false">IF(D16="","",IF(AU16="","",(AU16-D16)/D16))</f>
        <v>0.49666538132271</v>
      </c>
      <c r="AX16" s="87" t="n">
        <v>0.0523721503388786</v>
      </c>
      <c r="AY16" s="45" t="n">
        <f aca="false">IF(D16="","",IF(AP16="","",(AP16-D16)/D16))</f>
        <v>0.0177675585284285</v>
      </c>
      <c r="AZ16" s="64" t="n">
        <f aca="false">IF(NOT(AY16=""),ABS(AY16),"")</f>
        <v>0.0177675585284285</v>
      </c>
    </row>
    <row r="17" customFormat="false" ht="12.8" hidden="false" customHeight="false" outlineLevel="0" collapsed="false">
      <c r="A17" s="56" t="n">
        <v>647</v>
      </c>
      <c r="B17" s="25" t="n">
        <v>555</v>
      </c>
      <c r="C17" s="57" t="n">
        <v>629</v>
      </c>
      <c r="D17" s="65" t="n">
        <v>610.333333333333</v>
      </c>
      <c r="E17" s="66" t="n">
        <v>1584.88888888889</v>
      </c>
      <c r="F17" s="63" t="n">
        <v>39.8106630048896</v>
      </c>
      <c r="G17" s="63" t="n">
        <v>98.9031512017167</v>
      </c>
      <c r="H17" s="63" t="n">
        <v>511.430182131617</v>
      </c>
      <c r="I17" s="63" t="n">
        <v>709.23648453505</v>
      </c>
      <c r="J17" s="64" t="n">
        <v>0.0652277384023315</v>
      </c>
      <c r="L17" s="58" t="n">
        <v>533</v>
      </c>
      <c r="M17" s="0" t="n">
        <v>582</v>
      </c>
      <c r="N17" s="59" t="n">
        <v>536</v>
      </c>
      <c r="O17" s="59" t="n">
        <f aca="false">IF(A17="","",IF(L17="","",A17-L17))</f>
        <v>114</v>
      </c>
      <c r="P17" s="59" t="n">
        <f aca="false">IF(B17="","",IF(M17="","",B17-M17))</f>
        <v>-27</v>
      </c>
      <c r="Q17" s="59" t="n">
        <f aca="false">IF(C17="","",IF(N17="","",C17-N17))</f>
        <v>93</v>
      </c>
      <c r="R17" s="65" t="n">
        <v>550</v>
      </c>
      <c r="S17" s="66" t="n">
        <v>502.888888888889</v>
      </c>
      <c r="T17" s="63" t="n">
        <v>22.4251842554055</v>
      </c>
      <c r="U17" s="63" t="n">
        <v>55.7117420743865</v>
      </c>
      <c r="V17" s="63" t="n">
        <v>495</v>
      </c>
      <c r="W17" s="63" t="n">
        <v>606</v>
      </c>
      <c r="X17" s="87" t="n">
        <f aca="false">IF(D17="","",IF(V17="","",(V17-D17)/D17))</f>
        <v>-0.188967777170944</v>
      </c>
      <c r="Y17" s="87" t="n">
        <f aca="false">IF(D17="","",IF(W17="","",(W17-D17)/D17))</f>
        <v>-0.00709994538503501</v>
      </c>
      <c r="Z17" s="87" t="n">
        <v>0.040748366302978</v>
      </c>
      <c r="AA17" s="87" t="n">
        <f aca="false">IF(D17="","",IF(R17="","",(R17-D17)/D17))</f>
        <v>-0.0988530857454938</v>
      </c>
      <c r="AB17" s="64" t="n">
        <f aca="false">IF(NOT(AA17=""),ABS(AA17),"")</f>
        <v>0.0988530857454938</v>
      </c>
      <c r="AD17" s="65" t="n">
        <v>597.333333333333</v>
      </c>
      <c r="AE17" s="66" t="n">
        <v>2922.88888888889</v>
      </c>
      <c r="AF17" s="63" t="n">
        <v>54.0637483799347</v>
      </c>
      <c r="AG17" s="63" t="n">
        <v>134.31263578543</v>
      </c>
      <c r="AH17" s="63" t="n">
        <v>463.020697547903</v>
      </c>
      <c r="AI17" s="63" t="n">
        <v>731.645969118764</v>
      </c>
      <c r="AJ17" s="87" t="n">
        <f aca="false">IF(D17="","",IF(AH17="","",(AH17-D17)/D17))</f>
        <v>-0.241364231215888</v>
      </c>
      <c r="AK17" s="87" t="n">
        <f aca="false">IF(D17="","",IF(AI17="","",(AI17-D17)/D17))</f>
        <v>0.198764558905676</v>
      </c>
      <c r="AL17" s="87" t="n">
        <v>0.0905085073324799</v>
      </c>
      <c r="AM17" s="87" t="n">
        <f aca="false">IF(D17="","",IF(AD17="","",(AD17-D17)/D17))</f>
        <v>-0.0212998361551065</v>
      </c>
      <c r="AN17" s="64" t="n">
        <f aca="false">IF(NOT(AM17=""),ABS(AM17),"")</f>
        <v>0.0212998361551065</v>
      </c>
      <c r="AP17" s="65" t="n">
        <v>592</v>
      </c>
      <c r="AQ17" s="66" t="n">
        <v>1369</v>
      </c>
      <c r="AR17" s="63" t="n">
        <v>37</v>
      </c>
      <c r="AS17" s="63" t="n">
        <v>332.426454184982</v>
      </c>
      <c r="AT17" s="63" t="n">
        <v>259.573545815018</v>
      </c>
      <c r="AU17" s="63" t="n">
        <v>924.426454184982</v>
      </c>
      <c r="AV17" s="87" t="n">
        <f aca="false">IF(D17="","",IF(AT17="","",(AT17-D17)/D17))</f>
        <v>-0.574702000303083</v>
      </c>
      <c r="AW17" s="87" t="n">
        <f aca="false">IF(D17="","",IF(AU17="","",(AU17-D17)/D17))</f>
        <v>0.514625539352784</v>
      </c>
      <c r="AX17" s="87" t="n">
        <v>0.0625</v>
      </c>
      <c r="AY17" s="45" t="n">
        <f aca="false">IF(D17="","",IF(AP17="","",(AP17-D17)/D17))</f>
        <v>-0.0300382304751497</v>
      </c>
      <c r="AZ17" s="64" t="n">
        <f aca="false">IF(NOT(AY17=""),ABS(AY17),"")</f>
        <v>0.0300382304751497</v>
      </c>
    </row>
    <row r="18" customFormat="false" ht="12.8" hidden="false" customHeight="false" outlineLevel="0" collapsed="false">
      <c r="A18" s="56" t="n">
        <v>419</v>
      </c>
      <c r="B18" s="25" t="n">
        <v>558</v>
      </c>
      <c r="C18" s="57" t="n">
        <v>483</v>
      </c>
      <c r="D18" s="65" t="n">
        <v>486.666666666667</v>
      </c>
      <c r="E18" s="66" t="n">
        <v>3226.88888888889</v>
      </c>
      <c r="F18" s="63" t="n">
        <v>56.8057117628931</v>
      </c>
      <c r="G18" s="63" t="n">
        <v>141.124600183536</v>
      </c>
      <c r="H18" s="63" t="n">
        <v>345.54206648313</v>
      </c>
      <c r="I18" s="63" t="n">
        <v>627.791266850203</v>
      </c>
      <c r="J18" s="64" t="n">
        <v>0.116724065266219</v>
      </c>
      <c r="L18" s="58"/>
      <c r="M18" s="0" t="n">
        <v>428</v>
      </c>
      <c r="N18" s="59" t="n">
        <v>461</v>
      </c>
      <c r="O18" s="59" t="str">
        <f aca="false">IF(A18="","",IF(L18="","",A18-L18))</f>
        <v/>
      </c>
      <c r="P18" s="59" t="n">
        <f aca="false">IF(B18="","",IF(M18="","",B18-M18))</f>
        <v>130</v>
      </c>
      <c r="Q18" s="59" t="n">
        <f aca="false">IF(C18="","",IF(N18="","",C18-N18))</f>
        <v>22</v>
      </c>
      <c r="R18" s="65" t="n">
        <v>445</v>
      </c>
      <c r="S18" s="66" t="n">
        <v>272.25</v>
      </c>
      <c r="T18" s="63" t="n">
        <v>16.5</v>
      </c>
      <c r="U18" s="63" t="n">
        <v>148.244229568979</v>
      </c>
      <c r="V18" s="63" t="n">
        <v>296</v>
      </c>
      <c r="W18" s="63" t="n">
        <v>593</v>
      </c>
      <c r="X18" s="87" t="n">
        <f aca="false">IF(D18="","",IF(V18="","",(V18-D18)/D18))</f>
        <v>-0.391780821917809</v>
      </c>
      <c r="Y18" s="87" t="n">
        <f aca="false">IF(D18="","",IF(W18="","",(W18-D18)/D18))</f>
        <v>0.218493150684931</v>
      </c>
      <c r="Z18" s="87" t="n">
        <v>0.0371203599550056</v>
      </c>
      <c r="AA18" s="87" t="n">
        <f aca="false">IF(D18="","",IF(R18="","",(R18-D18)/D18))</f>
        <v>-0.0856164383561651</v>
      </c>
      <c r="AB18" s="64" t="n">
        <f aca="false">IF(NOT(AA18=""),ABS(AA18),"")</f>
        <v>0.0856164383561651</v>
      </c>
      <c r="AD18" s="65" t="n">
        <v>464</v>
      </c>
      <c r="AE18" s="66" t="n">
        <v>268.666666666667</v>
      </c>
      <c r="AF18" s="63" t="n">
        <v>16.391054470859</v>
      </c>
      <c r="AG18" s="63" t="n">
        <v>40.7209228966579</v>
      </c>
      <c r="AH18" s="63" t="n">
        <v>423.279077103342</v>
      </c>
      <c r="AI18" s="63" t="n">
        <v>504.720922896658</v>
      </c>
      <c r="AJ18" s="87" t="n">
        <f aca="false">IF(D18="","",IF(AH18="","",(AH18-D18)/D18))</f>
        <v>-0.130248471705462</v>
      </c>
      <c r="AK18" s="87" t="n">
        <f aca="false">IF(D18="","",IF(AI18="","",(AI18-D18)/D18))</f>
        <v>0.0370977867739541</v>
      </c>
      <c r="AL18" s="87" t="n">
        <v>0.0353255484285754</v>
      </c>
      <c r="AM18" s="87" t="n">
        <f aca="false">IF(D18="","",IF(AD18="","",(AD18-D18)/D18))</f>
        <v>-0.0465753424657541</v>
      </c>
      <c r="AN18" s="64" t="n">
        <f aca="false">IF(NOT(AM18=""),ABS(AM18),"")</f>
        <v>0.0465753424657541</v>
      </c>
      <c r="AP18" s="65" t="n">
        <v>470.5</v>
      </c>
      <c r="AQ18" s="66" t="n">
        <v>342.25</v>
      </c>
      <c r="AR18" s="63" t="n">
        <v>18.5</v>
      </c>
      <c r="AS18" s="63" t="n">
        <v>166.213227092491</v>
      </c>
      <c r="AT18" s="63" t="n">
        <v>304.286772907509</v>
      </c>
      <c r="AU18" s="63" t="n">
        <v>636.713227092491</v>
      </c>
      <c r="AV18" s="87" t="n">
        <f aca="false">IF(D18="","",IF(AT18="","",(AT18-D18)/D18))</f>
        <v>-0.374753206354434</v>
      </c>
      <c r="AW18" s="87" t="n">
        <f aca="false">IF(D18="","",IF(AU18="","",(AU18-D18)/D18))</f>
        <v>0.308314850190049</v>
      </c>
      <c r="AX18" s="87" t="n">
        <v>0.0393198724760893</v>
      </c>
      <c r="AY18" s="45" t="n">
        <f aca="false">IF(D18="","",IF(AP18="","",(AP18-D18)/D18))</f>
        <v>-0.0332191780821925</v>
      </c>
      <c r="AZ18" s="64" t="n">
        <f aca="false">IF(NOT(AY18=""),ABS(AY18),"")</f>
        <v>0.0332191780821925</v>
      </c>
    </row>
    <row r="19" customFormat="false" ht="12.8" hidden="false" customHeight="false" outlineLevel="0" collapsed="false">
      <c r="A19" s="56" t="n">
        <v>383</v>
      </c>
      <c r="B19" s="25" t="n">
        <v>482</v>
      </c>
      <c r="C19" s="57" t="n">
        <v>406</v>
      </c>
      <c r="D19" s="65" t="n">
        <v>423.666666666667</v>
      </c>
      <c r="E19" s="66" t="n">
        <v>1789.55555555556</v>
      </c>
      <c r="F19" s="63" t="n">
        <v>42.3031388380999</v>
      </c>
      <c r="G19" s="63" t="n">
        <v>105.095304147483</v>
      </c>
      <c r="H19" s="63" t="n">
        <v>318.571362519184</v>
      </c>
      <c r="I19" s="63" t="n">
        <v>528.761970814149</v>
      </c>
      <c r="J19" s="64" t="n">
        <v>0.0998500523322578</v>
      </c>
      <c r="L19" s="58" t="n">
        <v>407</v>
      </c>
      <c r="M19" s="0" t="n">
        <v>449</v>
      </c>
      <c r="N19" s="59" t="n">
        <v>448</v>
      </c>
      <c r="O19" s="59" t="n">
        <f aca="false">IF(A19="","",IF(L19="","",A19-L19))</f>
        <v>-24</v>
      </c>
      <c r="P19" s="59" t="n">
        <f aca="false">IF(B19="","",IF(M19="","",B19-M19))</f>
        <v>33</v>
      </c>
      <c r="Q19" s="59" t="n">
        <f aca="false">IF(C19="","",IF(N19="","",C19-N19))</f>
        <v>-42</v>
      </c>
      <c r="R19" s="65" t="n">
        <v>435</v>
      </c>
      <c r="S19" s="66" t="n">
        <v>382.888888888889</v>
      </c>
      <c r="T19" s="63" t="n">
        <v>19.5675468285856</v>
      </c>
      <c r="U19" s="63" t="n">
        <v>48.6124042294039</v>
      </c>
      <c r="V19" s="63" t="n">
        <v>386</v>
      </c>
      <c r="W19" s="63" t="n">
        <v>483</v>
      </c>
      <c r="X19" s="87" t="n">
        <f aca="false">IF(D19="","",IF(V19="","",(V19-D19)/D19))</f>
        <v>-0.0889063729346979</v>
      </c>
      <c r="Y19" s="87" t="n">
        <f aca="false">IF(D19="","",IF(W19="","",(W19-D19)/D19))</f>
        <v>0.140047206923681</v>
      </c>
      <c r="Z19" s="87" t="n">
        <v>0.045017362335703</v>
      </c>
      <c r="AA19" s="87" t="n">
        <f aca="false">IF(D19="","",IF(R19="","",(R19-D19)/D19))</f>
        <v>0.0267505900865452</v>
      </c>
      <c r="AB19" s="64" t="n">
        <f aca="false">IF(NOT(AA19=""),ABS(AA19),"")</f>
        <v>0.0267505900865452</v>
      </c>
      <c r="AD19" s="65" t="n">
        <v>401.333333333333</v>
      </c>
      <c r="AE19" s="66" t="n">
        <v>1408.22222222222</v>
      </c>
      <c r="AF19" s="63" t="n">
        <v>37.52628708282</v>
      </c>
      <c r="AG19" s="63" t="n">
        <v>93.227988816346</v>
      </c>
      <c r="AH19" s="63" t="n">
        <v>308.105344516987</v>
      </c>
      <c r="AI19" s="63" t="n">
        <v>494.561322149679</v>
      </c>
      <c r="AJ19" s="87" t="n">
        <f aca="false">IF(D19="","",IF(AH19="","",(AH19-D19)/D19))</f>
        <v>-0.272764725766357</v>
      </c>
      <c r="AK19" s="87" t="n">
        <f aca="false">IF(D19="","",IF(AI19="","",(AI19-D19)/D19))</f>
        <v>0.167335929542908</v>
      </c>
      <c r="AL19" s="87" t="n">
        <v>0.0935040375817774</v>
      </c>
      <c r="AM19" s="87" t="n">
        <f aca="false">IF(D19="","",IF(AD19="","",(AD19-D19)/D19))</f>
        <v>-0.0527143981117247</v>
      </c>
      <c r="AN19" s="64" t="n">
        <f aca="false">IF(NOT(AM19=""),ABS(AM19),"")</f>
        <v>0.0527143981117247</v>
      </c>
      <c r="AP19" s="65" t="n">
        <v>414</v>
      </c>
      <c r="AQ19" s="66" t="n">
        <v>1369</v>
      </c>
      <c r="AR19" s="63" t="n">
        <v>37</v>
      </c>
      <c r="AS19" s="63" t="n">
        <v>332.426454184982</v>
      </c>
      <c r="AT19" s="63" t="n">
        <v>81.573545815018</v>
      </c>
      <c r="AU19" s="63" t="n">
        <v>746.426454184982</v>
      </c>
      <c r="AV19" s="87" t="n">
        <f aca="false">IF(D19="","",IF(AT19="","",(AT19-D19)/D19))</f>
        <v>-0.807458192411445</v>
      </c>
      <c r="AW19" s="87" t="n">
        <f aca="false">IF(D19="","",IF(AU19="","",(AU19-D19)/D19))</f>
        <v>0.761824832852041</v>
      </c>
      <c r="AX19" s="87" t="n">
        <v>0.0893719806763285</v>
      </c>
      <c r="AY19" s="45" t="n">
        <f aca="false">IF(D19="","",IF(AP19="","",(AP19-D19)/D19))</f>
        <v>-0.0228166797797019</v>
      </c>
      <c r="AZ19" s="64" t="n">
        <f aca="false">IF(NOT(AY19=""),ABS(AY19),"")</f>
        <v>0.0228166797797019</v>
      </c>
    </row>
    <row r="20" customFormat="false" ht="12.8" hidden="false" customHeight="false" outlineLevel="0" collapsed="false">
      <c r="A20" s="56" t="n">
        <v>342</v>
      </c>
      <c r="B20" s="25" t="n">
        <v>323</v>
      </c>
      <c r="C20" s="57" t="n">
        <v>458</v>
      </c>
      <c r="D20" s="65" t="n">
        <v>374.333333333333</v>
      </c>
      <c r="E20" s="66" t="n">
        <v>3560.22222222222</v>
      </c>
      <c r="F20" s="63" t="n">
        <v>59.6675977580983</v>
      </c>
      <c r="G20" s="63" t="n">
        <v>148.234492909289</v>
      </c>
      <c r="H20" s="63" t="n">
        <v>226.098840424044</v>
      </c>
      <c r="I20" s="63" t="n">
        <v>522.567826242623</v>
      </c>
      <c r="J20" s="64" t="n">
        <v>0.159396966406318</v>
      </c>
      <c r="L20" s="58" t="n">
        <v>375</v>
      </c>
      <c r="M20" s="0" t="n">
        <v>342</v>
      </c>
      <c r="N20" s="59" t="n">
        <v>316</v>
      </c>
      <c r="O20" s="59" t="n">
        <f aca="false">IF(A20="","",IF(L20="","",A20-L20))</f>
        <v>-33</v>
      </c>
      <c r="P20" s="59" t="n">
        <f aca="false">IF(B20="","",IF(M20="","",B20-M20))</f>
        <v>-19</v>
      </c>
      <c r="Q20" s="59" t="n">
        <f aca="false">IF(C20="","",IF(N20="","",C20-N20))</f>
        <v>142</v>
      </c>
      <c r="R20" s="65" t="n">
        <v>344</v>
      </c>
      <c r="S20" s="66" t="n">
        <v>582.888888888889</v>
      </c>
      <c r="T20" s="63" t="n">
        <v>24.1430919496424</v>
      </c>
      <c r="U20" s="63" t="n">
        <v>59.9796057975511</v>
      </c>
      <c r="V20" s="63" t="n">
        <v>284</v>
      </c>
      <c r="W20" s="63" t="n">
        <v>404</v>
      </c>
      <c r="X20" s="87" t="n">
        <f aca="false">IF(D20="","",IF(V20="","",(V20-D20)/D20))</f>
        <v>-0.241317898486197</v>
      </c>
      <c r="Y20" s="87" t="n">
        <f aca="false">IF(D20="","",IF(W20="","",(W20-D20)/D20))</f>
        <v>0.0792520035618888</v>
      </c>
      <c r="Z20" s="87" t="n">
        <v>0.0701154654878289</v>
      </c>
      <c r="AA20" s="87" t="n">
        <f aca="false">IF(D20="","",IF(R20="","",(R20-D20)/D20))</f>
        <v>-0.0810329474621541</v>
      </c>
      <c r="AB20" s="64" t="n">
        <f aca="false">IF(NOT(AA20=""),ABS(AA20),"")</f>
        <v>0.0810329474621541</v>
      </c>
      <c r="AD20" s="65" t="n">
        <v>342</v>
      </c>
      <c r="AE20" s="66" t="n">
        <v>684.666666666667</v>
      </c>
      <c r="AF20" s="63" t="n">
        <v>26.1661358757205</v>
      </c>
      <c r="AG20" s="63" t="n">
        <v>65.0055311202225</v>
      </c>
      <c r="AH20" s="63" t="n">
        <v>276.994468879777</v>
      </c>
      <c r="AI20" s="63" t="n">
        <v>407.005531120223</v>
      </c>
      <c r="AJ20" s="87" t="n">
        <f aca="false">IF(D20="","",IF(AH20="","",(AH20-D20)/D20))</f>
        <v>-0.260032585361236</v>
      </c>
      <c r="AK20" s="87" t="n">
        <f aca="false">IF(D20="","",IF(AI20="","",(AI20-D20)/D20))</f>
        <v>0.0872810270353252</v>
      </c>
      <c r="AL20" s="87" t="n">
        <v>0.0765091692272529</v>
      </c>
      <c r="AM20" s="87" t="n">
        <f aca="false">IF(D20="","",IF(AD20="","",(AD20-D20)/D20))</f>
        <v>-0.0863757791629555</v>
      </c>
      <c r="AN20" s="64" t="n">
        <f aca="false">IF(NOT(AM20=""),ABS(AM20),"")</f>
        <v>0.0863757791629555</v>
      </c>
      <c r="AP20" s="65" t="n">
        <v>324.5</v>
      </c>
      <c r="AQ20" s="66" t="n">
        <v>2.25</v>
      </c>
      <c r="AR20" s="63" t="n">
        <v>1.5</v>
      </c>
      <c r="AS20" s="63" t="n">
        <v>13.4767481426344</v>
      </c>
      <c r="AT20" s="63" t="n">
        <v>311.023251857366</v>
      </c>
      <c r="AU20" s="63" t="n">
        <v>337.976748142634</v>
      </c>
      <c r="AV20" s="87" t="n">
        <f aca="false">IF(D20="","",IF(AT20="","",(AT20-D20)/D20))</f>
        <v>-0.169127555145059</v>
      </c>
      <c r="AW20" s="87" t="n">
        <f aca="false">IF(D20="","",IF(AU20="","",(AU20-D20)/D20))</f>
        <v>-0.0971235579448772</v>
      </c>
      <c r="AX20" s="87" t="n">
        <v>0.00462249614791988</v>
      </c>
      <c r="AY20" s="45" t="n">
        <f aca="false">IF(D20="","",IF(AP20="","",(AP20-D20)/D20))</f>
        <v>-0.133125556544968</v>
      </c>
      <c r="AZ20" s="64" t="n">
        <f aca="false">IF(NOT(AY20=""),ABS(AY20),"")</f>
        <v>0.133125556544968</v>
      </c>
    </row>
    <row r="21" customFormat="false" ht="12.8" hidden="false" customHeight="false" outlineLevel="0" collapsed="false">
      <c r="A21" s="56" t="n">
        <v>326</v>
      </c>
      <c r="B21" s="25" t="n">
        <v>298</v>
      </c>
      <c r="C21" s="57" t="n">
        <v>360</v>
      </c>
      <c r="D21" s="65" t="n">
        <v>328</v>
      </c>
      <c r="E21" s="66" t="n">
        <v>642.666666666667</v>
      </c>
      <c r="F21" s="63" t="n">
        <v>25.3508711224421</v>
      </c>
      <c r="G21" s="63" t="n">
        <v>62.980137743754</v>
      </c>
      <c r="H21" s="63" t="n">
        <v>265.019862256246</v>
      </c>
      <c r="I21" s="63" t="n">
        <v>390.980137743754</v>
      </c>
      <c r="J21" s="64" t="n">
        <v>0.0772892412269575</v>
      </c>
      <c r="L21" s="58" t="n">
        <v>282</v>
      </c>
      <c r="M21" s="0" t="n">
        <v>286</v>
      </c>
      <c r="N21" s="59" t="n">
        <v>340</v>
      </c>
      <c r="O21" s="59" t="n">
        <f aca="false">IF(A21="","",IF(L21="","",A21-L21))</f>
        <v>44</v>
      </c>
      <c r="P21" s="59" t="n">
        <f aca="false">IF(B21="","",IF(M21="","",B21-M21))</f>
        <v>12</v>
      </c>
      <c r="Q21" s="59" t="n">
        <f aca="false">IF(C21="","",IF(N21="","",C21-N21))</f>
        <v>20</v>
      </c>
      <c r="R21" s="65" t="n">
        <v>303</v>
      </c>
      <c r="S21" s="66" t="n">
        <v>699.555555555556</v>
      </c>
      <c r="T21" s="63" t="n">
        <v>26.4491125665032</v>
      </c>
      <c r="U21" s="63" t="n">
        <v>65.7085409251988</v>
      </c>
      <c r="V21" s="63" t="n">
        <v>237</v>
      </c>
      <c r="W21" s="63" t="n">
        <v>368</v>
      </c>
      <c r="X21" s="87" t="n">
        <f aca="false">IF(D21="","",IF(V21="","",(V21-D21)/D21))</f>
        <v>-0.277439024390244</v>
      </c>
      <c r="Y21" s="87" t="n">
        <f aca="false">IF(D21="","",IF(W21="","",(W21-D21)/D21))</f>
        <v>0.121951219512195</v>
      </c>
      <c r="Z21" s="87" t="n">
        <v>0.0873869357924113</v>
      </c>
      <c r="AA21" s="87" t="n">
        <f aca="false">IF(D21="","",IF(R21="","",(R21-D21)/D21))</f>
        <v>-0.076219512195122</v>
      </c>
      <c r="AB21" s="64" t="n">
        <f aca="false">IF(NOT(AA21=""),ABS(AA21),"")</f>
        <v>0.076219512195122</v>
      </c>
      <c r="AD21" s="65" t="n">
        <v>283</v>
      </c>
      <c r="AE21" s="66" t="n">
        <v>360.666666666667</v>
      </c>
      <c r="AF21" s="63" t="n">
        <v>18.9912260443255</v>
      </c>
      <c r="AG21" s="63" t="n">
        <v>47.1806284848159</v>
      </c>
      <c r="AH21" s="63" t="n">
        <v>235.819371515184</v>
      </c>
      <c r="AI21" s="63" t="n">
        <v>330.180628484816</v>
      </c>
      <c r="AJ21" s="87" t="n">
        <f aca="false">IF(D21="","",IF(AH21="","",(AH21-D21)/D21))</f>
        <v>-0.281038501478098</v>
      </c>
      <c r="AK21" s="87" t="n">
        <f aca="false">IF(D21="","",IF(AI21="","",(AI21-D21)/D21))</f>
        <v>0.00664825757565853</v>
      </c>
      <c r="AL21" s="87" t="n">
        <v>0.0671068058103374</v>
      </c>
      <c r="AM21" s="87" t="n">
        <f aca="false">IF(D21="","",IF(AD21="","",(AD21-D21)/D21))</f>
        <v>-0.13719512195122</v>
      </c>
      <c r="AN21" s="64" t="n">
        <f aca="false">IF(NOT(AM21=""),ABS(AM21),"")</f>
        <v>0.13719512195122</v>
      </c>
      <c r="AP21" s="65" t="n">
        <v>292.5</v>
      </c>
      <c r="AQ21" s="66" t="n">
        <v>110.25</v>
      </c>
      <c r="AR21" s="63" t="n">
        <v>10.5</v>
      </c>
      <c r="AS21" s="63" t="n">
        <v>94.3372369984409</v>
      </c>
      <c r="AT21" s="63" t="n">
        <v>198.162763001559</v>
      </c>
      <c r="AU21" s="63" t="n">
        <v>386.837236998441</v>
      </c>
      <c r="AV21" s="87" t="n">
        <f aca="false">IF(D21="","",IF(AT21="","",(AT21-D21)/D21))</f>
        <v>-0.395845234751345</v>
      </c>
      <c r="AW21" s="87" t="n">
        <f aca="false">IF(D21="","",IF(AU21="","",(AU21-D21)/D21))</f>
        <v>0.179381820117198</v>
      </c>
      <c r="AX21" s="87" t="n">
        <v>0.0358974358974359</v>
      </c>
      <c r="AY21" s="45" t="n">
        <f aca="false">IF(D21="","",IF(AP21="","",(AP21-D21)/D21))</f>
        <v>-0.108231707317073</v>
      </c>
      <c r="AZ21" s="64" t="n">
        <f aca="false">IF(NOT(AY21=""),ABS(AY21),"")</f>
        <v>0.108231707317073</v>
      </c>
    </row>
    <row r="22" customFormat="false" ht="12.8" hidden="false" customHeight="false" outlineLevel="0" collapsed="false">
      <c r="A22" s="56" t="n">
        <v>236</v>
      </c>
      <c r="B22" s="25" t="n">
        <v>267</v>
      </c>
      <c r="C22" s="57" t="n">
        <v>296</v>
      </c>
      <c r="D22" s="65" t="n">
        <v>266.333333333333</v>
      </c>
      <c r="E22" s="66" t="n">
        <v>600.222222222222</v>
      </c>
      <c r="F22" s="63" t="n">
        <v>24.4994331000173</v>
      </c>
      <c r="G22" s="63" t="n">
        <v>60.8648777326251</v>
      </c>
      <c r="H22" s="63" t="n">
        <v>205.468455600708</v>
      </c>
      <c r="I22" s="63" t="n">
        <v>327.198211065958</v>
      </c>
      <c r="J22" s="64" t="n">
        <v>0.0919878589487507</v>
      </c>
      <c r="L22" s="58" t="n">
        <v>266</v>
      </c>
      <c r="M22" s="0" t="n">
        <v>312</v>
      </c>
      <c r="N22" s="59" t="n">
        <v>254</v>
      </c>
      <c r="O22" s="59" t="n">
        <f aca="false">IF(A22="","",IF(L22="","",A22-L22))</f>
        <v>-30</v>
      </c>
      <c r="P22" s="59" t="n">
        <f aca="false">IF(B22="","",IF(M22="","",B22-M22))</f>
        <v>-45</v>
      </c>
      <c r="Q22" s="59" t="n">
        <f aca="false">IF(C22="","",IF(N22="","",C22-N22))</f>
        <v>42</v>
      </c>
      <c r="R22" s="65" t="n">
        <v>277</v>
      </c>
      <c r="S22" s="66" t="n">
        <v>624.888888888889</v>
      </c>
      <c r="T22" s="63" t="n">
        <v>24.9977776790036</v>
      </c>
      <c r="U22" s="63" t="n">
        <v>62.1029342111114</v>
      </c>
      <c r="V22" s="63" t="n">
        <v>215</v>
      </c>
      <c r="W22" s="63" t="n">
        <v>339</v>
      </c>
      <c r="X22" s="87" t="n">
        <f aca="false">IF(D22="","",IF(V22="","",(V22-D22)/D22))</f>
        <v>-0.192740926157696</v>
      </c>
      <c r="Y22" s="87" t="n">
        <f aca="false">IF(D22="","",IF(W22="","",(W22-D22)/D22))</f>
        <v>0.272841051314144</v>
      </c>
      <c r="Z22" s="87" t="n">
        <v>0.0901362175925609</v>
      </c>
      <c r="AA22" s="87" t="n">
        <f aca="false">IF(D22="","",IF(R22="","",(R22-D22)/D22))</f>
        <v>0.0400500625782242</v>
      </c>
      <c r="AB22" s="64" t="n">
        <f aca="false">IF(NOT(AA22=""),ABS(AA22),"")</f>
        <v>0.0400500625782242</v>
      </c>
      <c r="AD22" s="65" t="n">
        <v>274.5</v>
      </c>
      <c r="AE22" s="66" t="n">
        <v>756.25</v>
      </c>
      <c r="AF22" s="63" t="n">
        <v>27.5</v>
      </c>
      <c r="AG22" s="63" t="n">
        <v>247.073715948297</v>
      </c>
      <c r="AH22" s="63" t="n">
        <v>27.4262840517025</v>
      </c>
      <c r="AI22" s="63" t="n">
        <v>521.573715948298</v>
      </c>
      <c r="AJ22" s="87" t="n">
        <f aca="false">IF(D22="","",IF(AH22="","",(AH22-D22)/D22))</f>
        <v>-0.897022713197613</v>
      </c>
      <c r="AK22" s="87" t="n">
        <f aca="false">IF(D22="","",IF(AI22="","",(AI22-D22)/D22))</f>
        <v>0.958349371520521</v>
      </c>
      <c r="AL22" s="87" t="n">
        <v>0.100182149362477</v>
      </c>
      <c r="AM22" s="87" t="n">
        <f aca="false">IF(D22="","",IF(AD22="","",(AD22-D22)/D22))</f>
        <v>0.0306633291614532</v>
      </c>
      <c r="AN22" s="64" t="n">
        <f aca="false">IF(NOT(AM22=""),ABS(AM22),"")</f>
        <v>0.0306633291614532</v>
      </c>
      <c r="AP22" s="65" t="n">
        <v>258.5</v>
      </c>
      <c r="AQ22" s="66" t="n">
        <v>756.25</v>
      </c>
      <c r="AR22" s="63" t="n">
        <v>27.5</v>
      </c>
      <c r="AS22" s="63" t="n">
        <v>247.073715948297</v>
      </c>
      <c r="AT22" s="63" t="n">
        <v>11.4262840517025</v>
      </c>
      <c r="AU22" s="63" t="n">
        <v>505.573715948298</v>
      </c>
      <c r="AV22" s="87" t="n">
        <f aca="false">IF(D22="","",IF(AT22="","",(AT22-D22)/D22))</f>
        <v>-0.957097807064947</v>
      </c>
      <c r="AW22" s="87" t="n">
        <f aca="false">IF(D22="","",IF(AU22="","",(AU22-D22)/D22))</f>
        <v>0.898274277653187</v>
      </c>
      <c r="AX22" s="87" t="n">
        <v>0.106382978723404</v>
      </c>
      <c r="AY22" s="45" t="n">
        <f aca="false">IF(D22="","",IF(AP22="","",(AP22-D22)/D22))</f>
        <v>-0.029411764705881</v>
      </c>
      <c r="AZ22" s="64" t="n">
        <f aca="false">IF(NOT(AY22=""),ABS(AY22),"")</f>
        <v>0.029411764705881</v>
      </c>
    </row>
    <row r="23" customFormat="false" ht="12.8" hidden="false" customHeight="false" outlineLevel="0" collapsed="false">
      <c r="A23" s="56"/>
      <c r="B23" s="25"/>
      <c r="C23" s="57"/>
      <c r="D23" s="65"/>
      <c r="E23" s="66"/>
      <c r="F23" s="63"/>
      <c r="G23" s="63"/>
      <c r="H23" s="63"/>
      <c r="I23" s="63"/>
      <c r="J23" s="64"/>
      <c r="L23" s="58"/>
      <c r="N23" s="59"/>
      <c r="O23" s="59" t="str">
        <f aca="false">IF(A23="","",IF(L23="","",A23-L23))</f>
        <v/>
      </c>
      <c r="P23" s="59" t="str">
        <f aca="false">IF(B23="","",IF(M23="","",B23-M23))</f>
        <v/>
      </c>
      <c r="Q23" s="59" t="str">
        <f aca="false">IF(C23="","",IF(N23="","",C23-N23))</f>
        <v/>
      </c>
      <c r="R23" s="65" t="str">
        <f aca="false">IF(COUNT(O23:Q23)&gt;0,AVERAGE(O23:Q23),"")</f>
        <v/>
      </c>
      <c r="S23" s="66"/>
      <c r="T23" s="63"/>
      <c r="U23" s="63"/>
      <c r="V23" s="63" t="str">
        <f aca="false">IF(R23="","",R23-U23)</f>
        <v/>
      </c>
      <c r="W23" s="63" t="str">
        <f aca="false">IF(R23="","",R23+U23)</f>
        <v/>
      </c>
      <c r="X23" s="87" t="str">
        <f aca="false">IF(D23="","",IF(V23="","",(V23-D23)/D23))</f>
        <v/>
      </c>
      <c r="Y23" s="87" t="str">
        <f aca="false">IF(D23="","",IF(W23="","",(W23-D23)/D23))</f>
        <v/>
      </c>
      <c r="Z23" s="87"/>
      <c r="AA23" s="87" t="str">
        <f aca="false">IF(D23="","",IF(R23="","",(R23-D23)/D23))</f>
        <v/>
      </c>
      <c r="AB23" s="64" t="str">
        <f aca="false">IF(NOT(AA23=""),ABS(AA23),"")</f>
        <v/>
      </c>
      <c r="AD23" s="65"/>
      <c r="AE23" s="66"/>
      <c r="AF23" s="63"/>
      <c r="AG23" s="63"/>
      <c r="AH23" s="63"/>
      <c r="AI23" s="63"/>
      <c r="AJ23" s="87" t="str">
        <f aca="false">IF(D23="","",IF(AH23="","",(AH23-D23)/D23))</f>
        <v/>
      </c>
      <c r="AK23" s="87" t="str">
        <f aca="false">IF(D23="","",IF(AI23="","",(AI23-D23)/D23))</f>
        <v/>
      </c>
      <c r="AL23" s="87"/>
      <c r="AM23" s="87" t="str">
        <f aca="false">IF(D23="","",IF(AD23="","",(AD23-D23)/D23))</f>
        <v/>
      </c>
      <c r="AN23" s="64" t="str">
        <f aca="false">IF(NOT(AM23=""),ABS(AM23),"")</f>
        <v/>
      </c>
      <c r="AP23" s="65"/>
      <c r="AQ23" s="66"/>
      <c r="AR23" s="63"/>
      <c r="AS23" s="63"/>
      <c r="AT23" s="63"/>
      <c r="AU23" s="63"/>
      <c r="AV23" s="87" t="str">
        <f aca="false">IF(D23="","",IF(AT23="","",(AT23-D23)/D23))</f>
        <v/>
      </c>
      <c r="AW23" s="87" t="str">
        <f aca="false">IF(D23="","",IF(AU23="","",(AU23-D23)/D23))</f>
        <v/>
      </c>
      <c r="AX23" s="87"/>
      <c r="AY23" s="45" t="str">
        <f aca="false">IF(D23="","",IF(AP23="","",(AP23-D23)/D23))</f>
        <v/>
      </c>
      <c r="AZ23" s="64" t="str">
        <f aca="false">IF(NOT(AY23=""),ABS(AY23),"")</f>
        <v/>
      </c>
    </row>
    <row r="24" customFormat="false" ht="12.8" hidden="false" customHeight="false" outlineLevel="0" collapsed="false">
      <c r="A24" s="56"/>
      <c r="B24" s="25"/>
      <c r="C24" s="57"/>
      <c r="D24" s="65"/>
      <c r="E24" s="66"/>
      <c r="F24" s="63"/>
      <c r="G24" s="63"/>
      <c r="H24" s="63"/>
      <c r="I24" s="63"/>
      <c r="J24" s="64"/>
      <c r="L24" s="58" t="n">
        <v>2580</v>
      </c>
      <c r="N24" s="59"/>
      <c r="O24" s="59" t="str">
        <f aca="false">IF(A24="","",IF(L24="","",A24-L24))</f>
        <v/>
      </c>
      <c r="P24" s="59" t="str">
        <f aca="false">IF(B24="","",IF(M24="","",B24-M24))</f>
        <v/>
      </c>
      <c r="Q24" s="59" t="str">
        <f aca="false">IF(C24="","",IF(N24="","",C24-N24))</f>
        <v/>
      </c>
      <c r="R24" s="65" t="n">
        <v>2580</v>
      </c>
      <c r="S24" s="66" t="n">
        <v>0</v>
      </c>
      <c r="T24" s="63" t="n">
        <v>0</v>
      </c>
      <c r="U24" s="63" t="n">
        <v>0</v>
      </c>
      <c r="V24" s="63" t="n">
        <v>2580</v>
      </c>
      <c r="W24" s="63" t="n">
        <v>2580</v>
      </c>
      <c r="X24" s="87" t="str">
        <f aca="false">IF(D24="","",IF(V24="","",(V24-D24)/D24))</f>
        <v/>
      </c>
      <c r="Y24" s="87" t="str">
        <f aca="false">IF(D24="","",IF(W24="","",(W24-D24)/D24))</f>
        <v/>
      </c>
      <c r="Z24" s="87" t="n">
        <v>0</v>
      </c>
      <c r="AA24" s="87" t="str">
        <f aca="false">IF(D24="","",IF(R24="","",(R24-D24)/D24))</f>
        <v/>
      </c>
      <c r="AB24" s="64" t="str">
        <f aca="false">IF(NOT(AA24=""),ABS(AA24),"")</f>
        <v/>
      </c>
      <c r="AD24" s="65" t="n">
        <v>2420</v>
      </c>
      <c r="AE24" s="66" t="n">
        <v>63504</v>
      </c>
      <c r="AF24" s="63" t="n">
        <v>252</v>
      </c>
      <c r="AG24" s="63" t="n">
        <v>2264.09368796258</v>
      </c>
      <c r="AH24" s="63" t="n">
        <v>155.906312037419</v>
      </c>
      <c r="AI24" s="63" t="n">
        <v>4684.09368796258</v>
      </c>
      <c r="AJ24" s="87" t="str">
        <f aca="false">IF(D24="","",IF(AH24="","",(AH24-D24)/D24))</f>
        <v/>
      </c>
      <c r="AK24" s="87" t="str">
        <f aca="false">IF(D24="","",IF(AI24="","",(AI24-D24)/D24))</f>
        <v/>
      </c>
      <c r="AL24" s="87" t="n">
        <v>0.104132231404959</v>
      </c>
      <c r="AM24" s="87" t="str">
        <f aca="false">IF(D24="","",IF(AD24="","",(AD24-D24)/D24))</f>
        <v/>
      </c>
      <c r="AN24" s="64" t="str">
        <f aca="false">IF(NOT(AM24=""),ABS(AM24),"")</f>
        <v/>
      </c>
      <c r="AP24" s="65"/>
      <c r="AQ24" s="66"/>
      <c r="AR24" s="63"/>
      <c r="AS24" s="63"/>
      <c r="AT24" s="63"/>
      <c r="AU24" s="63"/>
      <c r="AV24" s="87" t="str">
        <f aca="false">IF(D24="","",IF(AT24="","",(AT24-D24)/D24))</f>
        <v/>
      </c>
      <c r="AW24" s="87" t="str">
        <f aca="false">IF(D24="","",IF(AU24="","",(AU24-D24)/D24))</f>
        <v/>
      </c>
      <c r="AX24" s="87"/>
      <c r="AY24" s="45" t="str">
        <f aca="false">IF(D24="","",IF(AP24="","",(AP24-D24)/D24))</f>
        <v/>
      </c>
      <c r="AZ24" s="64" t="str">
        <f aca="false">IF(NOT(AY24=""),ABS(AY24),"")</f>
        <v/>
      </c>
    </row>
    <row r="25" customFormat="false" ht="12.8" hidden="false" customHeight="false" outlineLevel="0" collapsed="false">
      <c r="A25" s="56" t="n">
        <v>1602</v>
      </c>
      <c r="B25" s="25" t="n">
        <v>1890</v>
      </c>
      <c r="C25" s="57"/>
      <c r="D25" s="65" t="n">
        <v>1746</v>
      </c>
      <c r="E25" s="66" t="n">
        <v>20736</v>
      </c>
      <c r="F25" s="63" t="n">
        <v>144</v>
      </c>
      <c r="G25" s="63" t="n">
        <v>1293.7678216929</v>
      </c>
      <c r="H25" s="63" t="n">
        <v>452.232178307097</v>
      </c>
      <c r="I25" s="63" t="n">
        <v>3039.7678216929</v>
      </c>
      <c r="J25" s="64" t="n">
        <v>0.0824742268041237</v>
      </c>
      <c r="L25" s="58" t="n">
        <v>1983</v>
      </c>
      <c r="N25" s="59" t="n">
        <v>2439</v>
      </c>
      <c r="O25" s="59" t="n">
        <f aca="false">IF(A25="","",IF(L25="","",A25-L25))</f>
        <v>-381</v>
      </c>
      <c r="P25" s="59" t="str">
        <f aca="false">IF(B25="","",IF(M25="","",B25-M25))</f>
        <v/>
      </c>
      <c r="Q25" s="59" t="str">
        <f aca="false">IF(C25="","",IF(N25="","",C25-N25))</f>
        <v/>
      </c>
      <c r="R25" s="65" t="n">
        <v>2211</v>
      </c>
      <c r="S25" s="66" t="n">
        <v>51984</v>
      </c>
      <c r="T25" s="63" t="n">
        <v>228</v>
      </c>
      <c r="U25" s="63" t="n">
        <v>2048.46571768043</v>
      </c>
      <c r="V25" s="63" t="n">
        <v>163</v>
      </c>
      <c r="W25" s="63" t="n">
        <v>4259</v>
      </c>
      <c r="X25" s="87" t="n">
        <f aca="false">IF(D25="","",IF(V25="","",(V25-D25)/D25))</f>
        <v>-0.906643757159221</v>
      </c>
      <c r="Y25" s="87" t="n">
        <f aca="false">IF(D25="","",IF(W25="","",(W25-D25)/D25))</f>
        <v>1.43928980526919</v>
      </c>
      <c r="Z25" s="87" t="n">
        <v>0.103120759837178</v>
      </c>
      <c r="AA25" s="87" t="n">
        <f aca="false">IF(D25="","",IF(R25="","",(R25-D25)/D25))</f>
        <v>0.266323024054983</v>
      </c>
      <c r="AB25" s="64" t="n">
        <f aca="false">IF(NOT(AA25=""),ABS(AA25),"")</f>
        <v>0.266323024054983</v>
      </c>
      <c r="AD25" s="65" t="n">
        <v>1565.33333333333</v>
      </c>
      <c r="AE25" s="66" t="n">
        <v>14603.5555555556</v>
      </c>
      <c r="AF25" s="63" t="n">
        <v>120.845171833862</v>
      </c>
      <c r="AG25" s="63" t="n">
        <v>300.220277678216</v>
      </c>
      <c r="AH25" s="63" t="n">
        <v>1265.11305565512</v>
      </c>
      <c r="AI25" s="63" t="n">
        <v>1865.55361101155</v>
      </c>
      <c r="AJ25" s="87" t="n">
        <f aca="false">IF(D25="","",IF(AH25="","",(AH25-D25)/D25))</f>
        <v>-0.2754220757989</v>
      </c>
      <c r="AK25" s="87" t="n">
        <f aca="false">IF(D25="","",IF(AI25="","",(AI25-D25)/D25))</f>
        <v>0.0684728585404066</v>
      </c>
      <c r="AL25" s="87" t="n">
        <v>0.0772009189739321</v>
      </c>
      <c r="AM25" s="87" t="n">
        <f aca="false">IF(D25="","",IF(AD25="","",(AD25-D25)/D25))</f>
        <v>-0.10347460862925</v>
      </c>
      <c r="AN25" s="64" t="n">
        <f aca="false">IF(NOT(AM25=""),ABS(AM25),"")</f>
        <v>0.10347460862925</v>
      </c>
      <c r="AP25" s="65" t="n">
        <v>1890</v>
      </c>
      <c r="AQ25" s="66" t="n">
        <v>0</v>
      </c>
      <c r="AR25" s="63" t="n">
        <v>0</v>
      </c>
      <c r="AS25" s="63" t="n">
        <v>0</v>
      </c>
      <c r="AT25" s="63" t="n">
        <v>1890</v>
      </c>
      <c r="AU25" s="63" t="n">
        <v>1890</v>
      </c>
      <c r="AV25" s="87" t="n">
        <f aca="false">IF(D25="","",IF(AT25="","",(AT25-D25)/D25))</f>
        <v>0.0824742268041237</v>
      </c>
      <c r="AW25" s="87" t="n">
        <f aca="false">IF(D25="","",IF(AU25="","",(AU25-D25)/D25))</f>
        <v>0.0824742268041237</v>
      </c>
      <c r="AX25" s="87" t="n">
        <v>0</v>
      </c>
      <c r="AY25" s="45" t="n">
        <f aca="false">IF(D25="","",IF(AP25="","",(AP25-D25)/D25))</f>
        <v>0.0824742268041237</v>
      </c>
      <c r="AZ25" s="64" t="n">
        <f aca="false">IF(NOT(AY25=""),ABS(AY25),"")</f>
        <v>0.0824742268041237</v>
      </c>
    </row>
    <row r="26" customFormat="false" ht="12.8" hidden="false" customHeight="false" outlineLevel="0" collapsed="false">
      <c r="A26" s="56" t="n">
        <v>1308</v>
      </c>
      <c r="B26" s="25" t="n">
        <v>1289</v>
      </c>
      <c r="C26" s="57" t="n">
        <v>2140</v>
      </c>
      <c r="D26" s="65" t="n">
        <v>1579</v>
      </c>
      <c r="E26" s="66" t="n">
        <v>157420.666666667</v>
      </c>
      <c r="F26" s="63" t="n">
        <v>396.762733465061</v>
      </c>
      <c r="G26" s="63" t="n">
        <v>985.692818385909</v>
      </c>
      <c r="H26" s="63" t="n">
        <v>593.307181614091</v>
      </c>
      <c r="I26" s="63" t="n">
        <v>2564.69281838591</v>
      </c>
      <c r="J26" s="64" t="n">
        <v>0.251274688704915</v>
      </c>
      <c r="L26" s="58" t="n">
        <v>1768</v>
      </c>
      <c r="M26" s="0" t="n">
        <v>1506</v>
      </c>
      <c r="N26" s="59" t="n">
        <v>1939</v>
      </c>
      <c r="O26" s="59" t="n">
        <f aca="false">IF(A26="","",IF(L26="","",A26-L26))</f>
        <v>-460</v>
      </c>
      <c r="P26" s="59" t="n">
        <f aca="false">IF(B26="","",IF(M26="","",B26-M26))</f>
        <v>-217</v>
      </c>
      <c r="Q26" s="59" t="n">
        <f aca="false">IF(C26="","",IF(N26="","",C26-N26))</f>
        <v>201</v>
      </c>
      <c r="R26" s="65" t="n">
        <v>1738</v>
      </c>
      <c r="S26" s="66" t="n">
        <v>31708.2222222222</v>
      </c>
      <c r="T26" s="63" t="n">
        <v>178.068026951</v>
      </c>
      <c r="U26" s="63" t="n">
        <v>442.381203035053</v>
      </c>
      <c r="V26" s="63" t="n">
        <v>1295</v>
      </c>
      <c r="W26" s="63" t="n">
        <v>2180</v>
      </c>
      <c r="X26" s="87" t="n">
        <f aca="false">IF(D26="","",IF(V26="","",(V26-D26)/D26))</f>
        <v>-0.179860671310956</v>
      </c>
      <c r="Y26" s="87" t="n">
        <f aca="false">IF(D26="","",IF(W26="","",(W26-D26)/D26))</f>
        <v>0.380620645978467</v>
      </c>
      <c r="Z26" s="87" t="n">
        <v>0.102475365596202</v>
      </c>
      <c r="AA26" s="87" t="n">
        <f aca="false">IF(D26="","",IF(R26="","",(R26-D26)/D26))</f>
        <v>0.100696643445218</v>
      </c>
      <c r="AB26" s="64" t="n">
        <f aca="false">IF(NOT(AA26=""),ABS(AA26),"")</f>
        <v>0.100696643445218</v>
      </c>
      <c r="AD26" s="65" t="n">
        <v>1311.66666666667</v>
      </c>
      <c r="AE26" s="66" t="n">
        <v>16680.2222222222</v>
      </c>
      <c r="AF26" s="63" t="n">
        <v>129.151934643745</v>
      </c>
      <c r="AG26" s="63" t="n">
        <v>320.857085914286</v>
      </c>
      <c r="AH26" s="63" t="n">
        <v>990.809580752381</v>
      </c>
      <c r="AI26" s="63" t="n">
        <v>1632.52375258095</v>
      </c>
      <c r="AJ26" s="87" t="n">
        <f aca="false">IF(D26="","",IF(AH26="","",(AH26-D26)/D26))</f>
        <v>-0.372508181917428</v>
      </c>
      <c r="AK26" s="87" t="n">
        <f aca="false">IF(D26="","",IF(AI26="","",(AI26-D26)/D26))</f>
        <v>0.0338972467263775</v>
      </c>
      <c r="AL26" s="87" t="n">
        <v>0.0984639908338591</v>
      </c>
      <c r="AM26" s="87" t="n">
        <f aca="false">IF(D26="","",IF(AD26="","",(AD26-D26)/D26))</f>
        <v>-0.169305467595523</v>
      </c>
      <c r="AN26" s="64" t="n">
        <f aca="false">IF(NOT(AM26=""),ABS(AM26),"")</f>
        <v>0.169305467595523</v>
      </c>
      <c r="AP26" s="65" t="n">
        <v>1289</v>
      </c>
      <c r="AQ26" s="66" t="n">
        <v>0</v>
      </c>
      <c r="AR26" s="63" t="n">
        <v>0</v>
      </c>
      <c r="AS26" s="63" t="n">
        <v>0</v>
      </c>
      <c r="AT26" s="63" t="n">
        <v>1289</v>
      </c>
      <c r="AU26" s="63" t="n">
        <v>1289</v>
      </c>
      <c r="AV26" s="87" t="n">
        <f aca="false">IF(D26="","",IF(AT26="","",(AT26-D26)/D26))</f>
        <v>-0.183660544648512</v>
      </c>
      <c r="AW26" s="87" t="n">
        <f aca="false">IF(D26="","",IF(AU26="","",(AU26-D26)/D26))</f>
        <v>-0.183660544648512</v>
      </c>
      <c r="AX26" s="87" t="n">
        <v>0</v>
      </c>
      <c r="AY26" s="45" t="n">
        <f aca="false">IF(D26="","",IF(AP26="","",(AP26-D26)/D26))</f>
        <v>-0.183660544648512</v>
      </c>
      <c r="AZ26" s="64" t="n">
        <f aca="false">IF(NOT(AY26=""),ABS(AY26),"")</f>
        <v>0.183660544648512</v>
      </c>
    </row>
    <row r="27" customFormat="false" ht="12.8" hidden="false" customHeight="false" outlineLevel="0" collapsed="false">
      <c r="A27" s="56" t="n">
        <v>1215</v>
      </c>
      <c r="B27" s="25" t="n">
        <v>1283</v>
      </c>
      <c r="C27" s="57" t="n">
        <v>1332</v>
      </c>
      <c r="D27" s="65" t="n">
        <v>1276.66666666667</v>
      </c>
      <c r="E27" s="66" t="n">
        <v>2301.55555555556</v>
      </c>
      <c r="F27" s="63" t="n">
        <v>47.9745302796761</v>
      </c>
      <c r="G27" s="63" t="n">
        <v>119.184958600146</v>
      </c>
      <c r="H27" s="63" t="n">
        <v>1157.48170806652</v>
      </c>
      <c r="I27" s="63" t="n">
        <v>1395.85162526681</v>
      </c>
      <c r="J27" s="64" t="n">
        <v>0.0375779610545765</v>
      </c>
      <c r="L27" s="58" t="n">
        <v>1067</v>
      </c>
      <c r="M27" s="0" t="n">
        <v>1004</v>
      </c>
      <c r="N27" s="59" t="n">
        <v>1339</v>
      </c>
      <c r="O27" s="59" t="n">
        <f aca="false">IF(A27="","",IF(L27="","",A27-L27))</f>
        <v>148</v>
      </c>
      <c r="P27" s="59" t="n">
        <f aca="false">IF(B27="","",IF(M27="","",B27-M27))</f>
        <v>279</v>
      </c>
      <c r="Q27" s="59" t="n">
        <f aca="false">IF(C27="","",IF(N27="","",C27-N27))</f>
        <v>-7</v>
      </c>
      <c r="R27" s="65" t="n">
        <v>1137</v>
      </c>
      <c r="S27" s="66" t="n">
        <v>21130.8888888889</v>
      </c>
      <c r="T27" s="63" t="n">
        <v>145.364675519498</v>
      </c>
      <c r="U27" s="63" t="n">
        <v>361.135017533558</v>
      </c>
      <c r="V27" s="63" t="n">
        <v>776</v>
      </c>
      <c r="W27" s="63" t="n">
        <v>1498</v>
      </c>
      <c r="X27" s="87" t="n">
        <f aca="false">IF(D27="","",IF(V27="","",(V27-D27)/D27))</f>
        <v>-0.392167101827678</v>
      </c>
      <c r="Y27" s="87" t="n">
        <f aca="false">IF(D27="","",IF(W27="","",(W27-D27)/D27))</f>
        <v>0.173368146214096</v>
      </c>
      <c r="Z27" s="87" t="n">
        <v>0.127886811307476</v>
      </c>
      <c r="AA27" s="87" t="n">
        <f aca="false">IF(D27="","",IF(R27="","",(R27-D27)/D27))</f>
        <v>-0.109399477806791</v>
      </c>
      <c r="AB27" s="64" t="n">
        <f aca="false">IF(NOT(AA27=""),ABS(AA27),"")</f>
        <v>0.109399477806791</v>
      </c>
      <c r="AD27" s="65" t="n">
        <v>899.333333333333</v>
      </c>
      <c r="AE27" s="66" t="n">
        <v>4124.22222222222</v>
      </c>
      <c r="AF27" s="63" t="n">
        <v>64.2201076160903</v>
      </c>
      <c r="AG27" s="63" t="n">
        <v>159.544467093266</v>
      </c>
      <c r="AH27" s="63" t="n">
        <v>739.788866240068</v>
      </c>
      <c r="AI27" s="63" t="n">
        <v>1058.8778004266</v>
      </c>
      <c r="AJ27" s="87" t="n">
        <f aca="false">IF(D27="","",IF(AH27="","",(AH27-D27)/D27))</f>
        <v>-0.420530914172272</v>
      </c>
      <c r="AK27" s="87" t="n">
        <f aca="false">IF(D27="","",IF(AI27="","",(AI27-D27)/D27))</f>
        <v>-0.17059180123243</v>
      </c>
      <c r="AL27" s="87" t="n">
        <v>0.0714085703662976</v>
      </c>
      <c r="AM27" s="87" t="n">
        <f aca="false">IF(D27="","",IF(AD27="","",(AD27-D27)/D27))</f>
        <v>-0.295561357702352</v>
      </c>
      <c r="AN27" s="64" t="n">
        <f aca="false">IF(NOT(AM27=""),ABS(AM27),"")</f>
        <v>0.295561357702352</v>
      </c>
      <c r="AP27" s="65" t="n">
        <v>1053</v>
      </c>
      <c r="AQ27" s="66" t="n">
        <v>15376</v>
      </c>
      <c r="AR27" s="63" t="n">
        <v>124</v>
      </c>
      <c r="AS27" s="63" t="n">
        <v>1114.07784645778</v>
      </c>
      <c r="AT27" s="63" t="n">
        <v>-61.0778464577777</v>
      </c>
      <c r="AU27" s="63" t="n">
        <v>2167.07784645778</v>
      </c>
      <c r="AV27" s="87" t="n">
        <f aca="false">IF(D27="","",IF(AT27="","",(AT27-D27)/D27))</f>
        <v>-1.04784165518886</v>
      </c>
      <c r="AW27" s="87" t="n">
        <f aca="false">IF(D27="","",IF(AU27="","",(AU27-D27)/D27))</f>
        <v>0.697450010280241</v>
      </c>
      <c r="AX27" s="87" t="n">
        <v>0.117758784425451</v>
      </c>
      <c r="AY27" s="45" t="n">
        <f aca="false">IF(D27="","",IF(AP27="","",(AP27-D27)/D27))</f>
        <v>-0.17519582245431</v>
      </c>
      <c r="AZ27" s="64" t="n">
        <f aca="false">IF(NOT(AY27=""),ABS(AY27),"")</f>
        <v>0.17519582245431</v>
      </c>
    </row>
    <row r="28" customFormat="false" ht="12.8" hidden="false" customHeight="false" outlineLevel="0" collapsed="false">
      <c r="A28" s="56" t="n">
        <v>1063</v>
      </c>
      <c r="B28" s="25" t="n">
        <v>833</v>
      </c>
      <c r="C28" s="57" t="n">
        <v>1042</v>
      </c>
      <c r="D28" s="65" t="n">
        <v>979.333333333333</v>
      </c>
      <c r="E28" s="66" t="n">
        <v>10780.2222222222</v>
      </c>
      <c r="F28" s="63" t="n">
        <v>103.827848972336</v>
      </c>
      <c r="G28" s="63" t="n">
        <v>257.94349228996</v>
      </c>
      <c r="H28" s="63" t="n">
        <v>721.389841043373</v>
      </c>
      <c r="I28" s="63" t="n">
        <v>1237.27682562329</v>
      </c>
      <c r="J28" s="64" t="n">
        <v>0.106018906370663</v>
      </c>
      <c r="L28" s="58" t="n">
        <v>842</v>
      </c>
      <c r="M28" s="0" t="n">
        <v>809</v>
      </c>
      <c r="N28" s="59" t="n">
        <v>1159</v>
      </c>
      <c r="O28" s="59" t="n">
        <f aca="false">IF(A28="","",IF(L28="","",A28-L28))</f>
        <v>221</v>
      </c>
      <c r="P28" s="59" t="n">
        <f aca="false">IF(B28="","",IF(M28="","",B28-M28))</f>
        <v>24</v>
      </c>
      <c r="Q28" s="59" t="n">
        <f aca="false">IF(C28="","",IF(N28="","",C28-N28))</f>
        <v>-117</v>
      </c>
      <c r="R28" s="65" t="n">
        <v>937</v>
      </c>
      <c r="S28" s="66" t="n">
        <v>24897.5555555556</v>
      </c>
      <c r="T28" s="63" t="n">
        <v>157.789592671873</v>
      </c>
      <c r="U28" s="63" t="n">
        <v>392.00271395045</v>
      </c>
      <c r="V28" s="63" t="n">
        <v>545</v>
      </c>
      <c r="W28" s="63" t="n">
        <v>1329</v>
      </c>
      <c r="X28" s="87" t="n">
        <f aca="false">IF(D28="","",IF(V28="","",(V28-D28)/D28))</f>
        <v>-0.443498978897209</v>
      </c>
      <c r="Y28" s="87" t="n">
        <f aca="false">IF(D28="","",IF(W28="","",(W28-D28)/D28))</f>
        <v>0.357045609257999</v>
      </c>
      <c r="Z28" s="87" t="n">
        <v>0.168458639863209</v>
      </c>
      <c r="AA28" s="87" t="n">
        <f aca="false">IF(D28="","",IF(R28="","",(R28-D28)/D28))</f>
        <v>-0.0432266848196049</v>
      </c>
      <c r="AB28" s="64" t="n">
        <f aca="false">IF(NOT(AA28=""),ABS(AA28),"")</f>
        <v>0.0432266848196049</v>
      </c>
      <c r="AD28" s="65" t="n">
        <v>638</v>
      </c>
      <c r="AE28" s="66" t="n">
        <v>1156</v>
      </c>
      <c r="AF28" s="63" t="n">
        <v>34</v>
      </c>
      <c r="AG28" s="63" t="n">
        <v>305.472957899713</v>
      </c>
      <c r="AH28" s="63" t="n">
        <v>332.527042100287</v>
      </c>
      <c r="AI28" s="63" t="n">
        <v>943.472957899713</v>
      </c>
      <c r="AJ28" s="87" t="n">
        <f aca="false">IF(D28="","",IF(AH28="","",(AH28-D28)/D28))</f>
        <v>-0.660455709223669</v>
      </c>
      <c r="AK28" s="87" t="n">
        <f aca="false">IF(D28="","",IF(AI28="","",(AI28-D28)/D28))</f>
        <v>-0.0366171294420899</v>
      </c>
      <c r="AL28" s="87" t="n">
        <v>0.0532915360501567</v>
      </c>
      <c r="AM28" s="87" t="n">
        <f aca="false">IF(D28="","",IF(AD28="","",(AD28-D28)/D28))</f>
        <v>-0.348536419332879</v>
      </c>
      <c r="AN28" s="64" t="n">
        <f aca="false">IF(NOT(AM28=""),ABS(AM28),"")</f>
        <v>0.348536419332879</v>
      </c>
      <c r="AP28" s="65" t="n">
        <v>1027.5</v>
      </c>
      <c r="AQ28" s="66" t="n">
        <v>18360.25</v>
      </c>
      <c r="AR28" s="63" t="n">
        <v>135.5</v>
      </c>
      <c r="AS28" s="63" t="n">
        <v>1217.39958221797</v>
      </c>
      <c r="AT28" s="63" t="n">
        <v>-189.899582217975</v>
      </c>
      <c r="AU28" s="63" t="n">
        <v>2244.89958221798</v>
      </c>
      <c r="AV28" s="87" t="n">
        <f aca="false">IF(D28="","",IF(AT28="","",(AT28-D28)/D28))</f>
        <v>-1.19390699341522</v>
      </c>
      <c r="AW28" s="87" t="n">
        <f aca="false">IF(D28="","",IF(AU28="","",(AU28-D28)/D28))</f>
        <v>1.29227322894961</v>
      </c>
      <c r="AX28" s="87" t="n">
        <v>0.131873479318735</v>
      </c>
      <c r="AY28" s="45" t="n">
        <f aca="false">IF(D28="","",IF(AP28="","",(AP28-D28)/D28))</f>
        <v>0.0491831177671889</v>
      </c>
      <c r="AZ28" s="64" t="n">
        <f aca="false">IF(NOT(AY28=""),ABS(AY28),"")</f>
        <v>0.0491831177671889</v>
      </c>
    </row>
    <row r="29" customFormat="false" ht="12.8" hidden="false" customHeight="false" outlineLevel="0" collapsed="false">
      <c r="A29" s="56" t="n">
        <v>644</v>
      </c>
      <c r="B29" s="25" t="n">
        <v>638</v>
      </c>
      <c r="C29" s="57" t="n">
        <v>838</v>
      </c>
      <c r="D29" s="65" t="n">
        <v>706.666666666667</v>
      </c>
      <c r="E29" s="66" t="n">
        <v>8630.22222222222</v>
      </c>
      <c r="F29" s="63" t="n">
        <v>92.8989893498429</v>
      </c>
      <c r="G29" s="63" t="n">
        <v>230.792508756402</v>
      </c>
      <c r="H29" s="63" t="n">
        <v>475.874157910264</v>
      </c>
      <c r="I29" s="63" t="n">
        <v>937.459175423069</v>
      </c>
      <c r="J29" s="64" t="n">
        <v>0.131460833985627</v>
      </c>
      <c r="L29" s="58" t="n">
        <v>701</v>
      </c>
      <c r="M29" s="0" t="n">
        <v>658</v>
      </c>
      <c r="N29" s="59" t="n">
        <v>824</v>
      </c>
      <c r="O29" s="59" t="n">
        <f aca="false">IF(A29="","",IF(L29="","",A29-L29))</f>
        <v>-57</v>
      </c>
      <c r="P29" s="59" t="n">
        <f aca="false">IF(B29="","",IF(M29="","",B29-M29))</f>
        <v>-20</v>
      </c>
      <c r="Q29" s="59" t="n">
        <f aca="false">IF(C29="","",IF(N29="","",C29-N29))</f>
        <v>14</v>
      </c>
      <c r="R29" s="65" t="n">
        <v>728</v>
      </c>
      <c r="S29" s="66" t="n">
        <v>4948.22222222222</v>
      </c>
      <c r="T29" s="63" t="n">
        <v>70.3436011462466</v>
      </c>
      <c r="U29" s="63" t="n">
        <v>174.757296038651</v>
      </c>
      <c r="V29" s="63" t="n">
        <v>553</v>
      </c>
      <c r="W29" s="63" t="n">
        <v>902</v>
      </c>
      <c r="X29" s="87" t="n">
        <f aca="false">IF(D29="","",IF(V29="","",(V29-D29)/D29))</f>
        <v>-0.21745283018868</v>
      </c>
      <c r="Y29" s="87" t="n">
        <f aca="false">IF(D29="","",IF(W29="","",(W29-D29)/D29))</f>
        <v>0.276415094339622</v>
      </c>
      <c r="Z29" s="87" t="n">
        <v>0.0966700886114245</v>
      </c>
      <c r="AA29" s="87" t="n">
        <f aca="false">IF(D29="","",IF(R29="","",(R29-D29)/D29))</f>
        <v>0.0301886792452826</v>
      </c>
      <c r="AB29" s="64" t="n">
        <f aca="false">IF(NOT(AA29=""),ABS(AA29),"")</f>
        <v>0.0301886792452826</v>
      </c>
      <c r="AD29" s="65" t="n">
        <v>588.333333333333</v>
      </c>
      <c r="AE29" s="66" t="n">
        <v>1518.22222222222</v>
      </c>
      <c r="AF29" s="63" t="n">
        <v>38.9643711898732</v>
      </c>
      <c r="AG29" s="63" t="n">
        <v>96.8006761102804</v>
      </c>
      <c r="AH29" s="63" t="n">
        <v>491.532657223053</v>
      </c>
      <c r="AI29" s="63" t="n">
        <v>685.134009443614</v>
      </c>
      <c r="AJ29" s="87" t="n">
        <f aca="false">IF(D29="","",IF(AH29="","",(AH29-D29)/D29))</f>
        <v>-0.304434919023982</v>
      </c>
      <c r="AK29" s="87" t="n">
        <f aca="false">IF(D29="","",IF(AI29="","",(AI29-D29)/D29))</f>
        <v>-0.0304707413533768</v>
      </c>
      <c r="AL29" s="87" t="n">
        <v>0.0662283929572916</v>
      </c>
      <c r="AM29" s="87" t="n">
        <f aca="false">IF(D29="","",IF(AD29="","",(AD29-D29)/D29))</f>
        <v>-0.16745283018868</v>
      </c>
      <c r="AN29" s="64" t="n">
        <f aca="false">IF(NOT(AM29=""),ABS(AM29),"")</f>
        <v>0.16745283018868</v>
      </c>
      <c r="AP29" s="65" t="n">
        <v>630.5</v>
      </c>
      <c r="AQ29" s="66" t="n">
        <v>4422.25</v>
      </c>
      <c r="AR29" s="63" t="n">
        <v>66.5</v>
      </c>
      <c r="AS29" s="63" t="n">
        <v>597.469167656792</v>
      </c>
      <c r="AT29" s="63" t="n">
        <v>33.030832343208</v>
      </c>
      <c r="AU29" s="63" t="n">
        <v>1227.96916765679</v>
      </c>
      <c r="AV29" s="87" t="n">
        <f aca="false">IF(D29="","",IF(AT29="","",(AT29-D29)/D29))</f>
        <v>-0.953258256118102</v>
      </c>
      <c r="AW29" s="87" t="n">
        <f aca="false">IF(D29="","",IF(AU29="","",(AU29-D29)/D29))</f>
        <v>0.737692218382249</v>
      </c>
      <c r="AX29" s="87" t="n">
        <v>0.105471847739889</v>
      </c>
      <c r="AY29" s="45" t="n">
        <f aca="false">IF(D29="","",IF(AP29="","",(AP29-D29)/D29))</f>
        <v>-0.107783018867925</v>
      </c>
      <c r="AZ29" s="64" t="n">
        <f aca="false">IF(NOT(AY29=""),ABS(AY29),"")</f>
        <v>0.107783018867925</v>
      </c>
    </row>
    <row r="30" customFormat="false" ht="12.8" hidden="false" customHeight="false" outlineLevel="0" collapsed="false">
      <c r="A30" s="56" t="n">
        <v>483</v>
      </c>
      <c r="B30" s="25" t="n">
        <v>517</v>
      </c>
      <c r="C30" s="57" t="n">
        <v>588</v>
      </c>
      <c r="D30" s="65" t="n">
        <v>529.333333333333</v>
      </c>
      <c r="E30" s="66" t="n">
        <v>1913.55555555556</v>
      </c>
      <c r="F30" s="63" t="n">
        <v>43.7442059655397</v>
      </c>
      <c r="G30" s="63" t="n">
        <v>108.675402272939</v>
      </c>
      <c r="H30" s="63" t="n">
        <v>420.657931060394</v>
      </c>
      <c r="I30" s="63" t="n">
        <v>638.008735606273</v>
      </c>
      <c r="J30" s="64" t="n">
        <v>0.0826401875923293</v>
      </c>
      <c r="L30" s="58" t="n">
        <v>554</v>
      </c>
      <c r="M30" s="0" t="n">
        <v>550</v>
      </c>
      <c r="N30" s="59" t="n">
        <v>1011</v>
      </c>
      <c r="O30" s="59" t="n">
        <f aca="false">IF(A30="","",IF(L30="","",A30-L30))</f>
        <v>-71</v>
      </c>
      <c r="P30" s="59" t="n">
        <f aca="false">IF(B30="","",IF(M30="","",B30-M30))</f>
        <v>-33</v>
      </c>
      <c r="Q30" s="59" t="n">
        <f aca="false">IF(C30="","",IF(N30="","",C30-N30))</f>
        <v>-423</v>
      </c>
      <c r="R30" s="65" t="n">
        <v>705</v>
      </c>
      <c r="S30" s="66" t="n">
        <v>46820.6666666667</v>
      </c>
      <c r="T30" s="63" t="n">
        <v>216.380837105938</v>
      </c>
      <c r="U30" s="63" t="n">
        <v>537.563181171189</v>
      </c>
      <c r="V30" s="63" t="n">
        <v>167</v>
      </c>
      <c r="W30" s="63" t="n">
        <v>1243</v>
      </c>
      <c r="X30" s="87" t="n">
        <f aca="false">IF(D30="","",IF(V30="","",(V30-D30)/D30))</f>
        <v>-0.684508816120907</v>
      </c>
      <c r="Y30" s="87" t="n">
        <f aca="false">IF(D30="","",IF(W30="","",(W30-D30)/D30))</f>
        <v>1.34823677581864</v>
      </c>
      <c r="Z30" s="87" t="n">
        <v>0.306923173199913</v>
      </c>
      <c r="AA30" s="87" t="n">
        <f aca="false">IF(D30="","",IF(R30="","",(R30-D30)/D30))</f>
        <v>0.331863979848867</v>
      </c>
      <c r="AB30" s="64" t="n">
        <f aca="false">IF(NOT(AA30=""),ABS(AA30),"")</f>
        <v>0.331863979848867</v>
      </c>
      <c r="AD30" s="65" t="n">
        <v>511.333333333333</v>
      </c>
      <c r="AE30" s="66" t="n">
        <v>228.222222222222</v>
      </c>
      <c r="AF30" s="63" t="n">
        <v>15.1070255914995</v>
      </c>
      <c r="AG30" s="63" t="n">
        <v>37.5309608910751</v>
      </c>
      <c r="AH30" s="63" t="n">
        <v>473.802372442258</v>
      </c>
      <c r="AI30" s="63" t="n">
        <v>548.864294224408</v>
      </c>
      <c r="AJ30" s="87" t="n">
        <f aca="false">IF(D30="","",IF(AH30="","",(AH30-D30)/D30))</f>
        <v>-0.104907356847119</v>
      </c>
      <c r="AK30" s="87" t="n">
        <f aca="false">IF(D30="","",IF(AI30="","",(AI30-D30)/D30))</f>
        <v>0.0368972812803684</v>
      </c>
      <c r="AL30" s="87" t="n">
        <v>0.0295443786013681</v>
      </c>
      <c r="AM30" s="87" t="n">
        <f aca="false">IF(D30="","",IF(AD30="","",(AD30-D30)/D30))</f>
        <v>-0.0340050377833754</v>
      </c>
      <c r="AN30" s="64" t="n">
        <f aca="false">IF(NOT(AM30=""),ABS(AM30),"")</f>
        <v>0.0340050377833754</v>
      </c>
      <c r="AP30" s="65" t="n">
        <v>610.5</v>
      </c>
      <c r="AQ30" s="66" t="n">
        <v>7656.25</v>
      </c>
      <c r="AR30" s="63" t="n">
        <v>87.5</v>
      </c>
      <c r="AS30" s="63" t="n">
        <v>786.143641653674</v>
      </c>
      <c r="AT30" s="63" t="n">
        <v>-175.643641653674</v>
      </c>
      <c r="AU30" s="63" t="n">
        <v>1396.64364165367</v>
      </c>
      <c r="AV30" s="87" t="n">
        <f aca="false">IF(D30="","",IF(AT30="","",(AT30-D30)/D30))</f>
        <v>-1.33182048171349</v>
      </c>
      <c r="AW30" s="87" t="n">
        <f aca="false">IF(D30="","",IF(AU30="","",(AU30-D30)/D30))</f>
        <v>1.63849554468578</v>
      </c>
      <c r="AX30" s="87" t="n">
        <v>0.143325143325143</v>
      </c>
      <c r="AY30" s="45" t="n">
        <f aca="false">IF(D30="","",IF(AP30="","",(AP30-D30)/D30))</f>
        <v>0.153337531486147</v>
      </c>
      <c r="AZ30" s="64" t="n">
        <f aca="false">IF(NOT(AY30=""),ABS(AY30),"")</f>
        <v>0.153337531486147</v>
      </c>
    </row>
    <row r="31" customFormat="false" ht="12.8" hidden="false" customHeight="false" outlineLevel="0" collapsed="false">
      <c r="A31" s="56" t="n">
        <v>468</v>
      </c>
      <c r="B31" s="25" t="n">
        <v>423</v>
      </c>
      <c r="C31" s="57" t="n">
        <v>588</v>
      </c>
      <c r="D31" s="65" t="n">
        <v>493</v>
      </c>
      <c r="E31" s="66" t="n">
        <v>4850</v>
      </c>
      <c r="F31" s="63" t="n">
        <v>69.6419413859206</v>
      </c>
      <c r="G31" s="63" t="n">
        <v>173.014135886831</v>
      </c>
      <c r="H31" s="63" t="n">
        <v>319.985864113169</v>
      </c>
      <c r="I31" s="63" t="n">
        <v>666.014135886831</v>
      </c>
      <c r="J31" s="64" t="n">
        <v>0.141261544393348</v>
      </c>
      <c r="L31" s="58" t="n">
        <v>392</v>
      </c>
      <c r="M31" s="0" t="n">
        <v>415</v>
      </c>
      <c r="N31" s="59" t="n">
        <v>963</v>
      </c>
      <c r="O31" s="59" t="n">
        <f aca="false">IF(A31="","",IF(L31="","",A31-L31))</f>
        <v>76</v>
      </c>
      <c r="P31" s="59" t="n">
        <f aca="false">IF(B31="","",IF(M31="","",B31-M31))</f>
        <v>8</v>
      </c>
      <c r="Q31" s="59" t="n">
        <f aca="false">IF(C31="","",IF(N31="","",C31-N31))</f>
        <v>-375</v>
      </c>
      <c r="R31" s="65" t="n">
        <v>590</v>
      </c>
      <c r="S31" s="66" t="n">
        <v>69652.6666666667</v>
      </c>
      <c r="T31" s="63" t="n">
        <v>263.917916532142</v>
      </c>
      <c r="U31" s="63" t="n">
        <v>655.66136390179</v>
      </c>
      <c r="V31" s="63" t="n">
        <v>-66</v>
      </c>
      <c r="W31" s="63" t="n">
        <v>1246</v>
      </c>
      <c r="X31" s="87" t="n">
        <f aca="false">IF(D31="","",IF(V31="","",(V31-D31)/D31))</f>
        <v>-1.13387423935091</v>
      </c>
      <c r="Y31" s="87" t="n">
        <f aca="false">IF(D31="","",IF(W31="","",(W31-D31)/D31))</f>
        <v>1.52738336713996</v>
      </c>
      <c r="Z31" s="87" t="n">
        <v>0.447318502596851</v>
      </c>
      <c r="AA31" s="87" t="n">
        <f aca="false">IF(D31="","",IF(R31="","",(R31-D31)/D31))</f>
        <v>0.196754563894523</v>
      </c>
      <c r="AB31" s="64" t="n">
        <f aca="false">IF(NOT(AA31=""),ABS(AA31),"")</f>
        <v>0.196754563894523</v>
      </c>
      <c r="AD31" s="65" t="n">
        <v>473.333333333333</v>
      </c>
      <c r="AE31" s="66" t="n">
        <v>6816.88888888889</v>
      </c>
      <c r="AF31" s="63" t="n">
        <v>82.5644529376226</v>
      </c>
      <c r="AG31" s="63" t="n">
        <v>205.118025082219</v>
      </c>
      <c r="AH31" s="63" t="n">
        <v>268.215308251115</v>
      </c>
      <c r="AI31" s="63" t="n">
        <v>678.451358415552</v>
      </c>
      <c r="AJ31" s="87" t="n">
        <f aca="false">IF(D31="","",IF(AH31="","",(AH31-D31)/D31))</f>
        <v>-0.455952721600172</v>
      </c>
      <c r="AK31" s="87" t="n">
        <f aca="false">IF(D31="","",IF(AI31="","",(AI31-D31)/D31))</f>
        <v>0.376169084007205</v>
      </c>
      <c r="AL31" s="87" t="n">
        <v>0.174431942825963</v>
      </c>
      <c r="AM31" s="87" t="n">
        <f aca="false">IF(D31="","",IF(AD31="","",(AD31-D31)/D31))</f>
        <v>-0.0398918187964848</v>
      </c>
      <c r="AN31" s="64" t="n">
        <f aca="false">IF(NOT(AM31=""),ABS(AM31),"")</f>
        <v>0.0398918187964848</v>
      </c>
      <c r="AP31" s="65" t="n">
        <v>533.5</v>
      </c>
      <c r="AQ31" s="66" t="n">
        <v>3906.25</v>
      </c>
      <c r="AR31" s="63" t="n">
        <v>62.5</v>
      </c>
      <c r="AS31" s="63" t="n">
        <v>561.531172609767</v>
      </c>
      <c r="AT31" s="63" t="n">
        <v>-28.0311726097669</v>
      </c>
      <c r="AU31" s="63" t="n">
        <v>1095.03117260977</v>
      </c>
      <c r="AV31" s="87" t="n">
        <f aca="false">IF(D31="","",IF(AT31="","",(AT31-D31)/D31))</f>
        <v>-1.05685836229162</v>
      </c>
      <c r="AW31" s="87" t="n">
        <f aca="false">IF(D31="","",IF(AU31="","",(AU31-D31)/D31))</f>
        <v>1.22115856513138</v>
      </c>
      <c r="AX31" s="87" t="n">
        <v>0.117150890346767</v>
      </c>
      <c r="AY31" s="45" t="n">
        <f aca="false">IF(D31="","",IF(AP31="","",(AP31-D31)/D31))</f>
        <v>0.0821501014198783</v>
      </c>
      <c r="AZ31" s="64" t="n">
        <f aca="false">IF(NOT(AY31=""),ABS(AY31),"")</f>
        <v>0.0821501014198783</v>
      </c>
    </row>
    <row r="32" customFormat="false" ht="12.8" hidden="false" customHeight="false" outlineLevel="0" collapsed="false">
      <c r="A32" s="56" t="n">
        <v>336</v>
      </c>
      <c r="B32" s="25" t="n">
        <v>415</v>
      </c>
      <c r="C32" s="57" t="n">
        <v>568</v>
      </c>
      <c r="D32" s="65" t="n">
        <v>439.666666666667</v>
      </c>
      <c r="E32" s="66" t="n">
        <v>9274.88888888889</v>
      </c>
      <c r="F32" s="63" t="n">
        <v>96.3062245594172</v>
      </c>
      <c r="G32" s="63" t="n">
        <v>239.257233372291</v>
      </c>
      <c r="H32" s="63" t="n">
        <v>200.409433294376</v>
      </c>
      <c r="I32" s="63" t="n">
        <v>678.923900038958</v>
      </c>
      <c r="J32" s="64" t="n">
        <v>0.219043725305725</v>
      </c>
      <c r="L32" s="58" t="n">
        <v>550</v>
      </c>
      <c r="M32" s="0" t="n">
        <v>421</v>
      </c>
      <c r="N32" s="59" t="n">
        <v>527</v>
      </c>
      <c r="O32" s="59" t="n">
        <f aca="false">IF(A32="","",IF(L32="","",A32-L32))</f>
        <v>-214</v>
      </c>
      <c r="P32" s="59" t="n">
        <f aca="false">IF(B32="","",IF(M32="","",B32-M32))</f>
        <v>-6</v>
      </c>
      <c r="Q32" s="59" t="n">
        <f aca="false">IF(C32="","",IF(N32="","",C32-N32))</f>
        <v>41</v>
      </c>
      <c r="R32" s="65" t="n">
        <v>499</v>
      </c>
      <c r="S32" s="66" t="n">
        <v>3156.22222222222</v>
      </c>
      <c r="T32" s="63" t="n">
        <v>56.1802654160892</v>
      </c>
      <c r="U32" s="63" t="n">
        <v>139.570779926915</v>
      </c>
      <c r="V32" s="63" t="n">
        <v>360</v>
      </c>
      <c r="W32" s="63" t="n">
        <v>639</v>
      </c>
      <c r="X32" s="87" t="n">
        <f aca="false">IF(D32="","",IF(V32="","",(V32-D32)/D32))</f>
        <v>-0.181197877179682</v>
      </c>
      <c r="Y32" s="87" t="n">
        <f aca="false">IF(D32="","",IF(W32="","",(W32-D32)/D32))</f>
        <v>0.453373768006064</v>
      </c>
      <c r="Z32" s="87" t="n">
        <v>0.112510544892034</v>
      </c>
      <c r="AA32" s="87" t="n">
        <f aca="false">IF(D32="","",IF(R32="","",(R32-D32)/D32))</f>
        <v>0.134950720242607</v>
      </c>
      <c r="AB32" s="64" t="n">
        <f aca="false">IF(NOT(AA32=""),ABS(AA32),"")</f>
        <v>0.134950720242607</v>
      </c>
      <c r="AD32" s="65" t="n">
        <v>367.5</v>
      </c>
      <c r="AE32" s="66" t="n">
        <v>210.25</v>
      </c>
      <c r="AF32" s="63" t="n">
        <v>14.5</v>
      </c>
      <c r="AG32" s="63" t="n">
        <v>130.275232045466</v>
      </c>
      <c r="AH32" s="63" t="n">
        <v>237.224767954534</v>
      </c>
      <c r="AI32" s="63" t="n">
        <v>497.775232045466</v>
      </c>
      <c r="AJ32" s="87" t="n">
        <f aca="false">IF(D32="","",IF(AH32="","",(AH32-D32)/D32))</f>
        <v>-0.460444045592417</v>
      </c>
      <c r="AK32" s="87" t="n">
        <f aca="false">IF(D32="","",IF(AI32="","",(AI32-D32)/D32))</f>
        <v>0.132165046350566</v>
      </c>
      <c r="AL32" s="87" t="n">
        <v>0.0394557823129252</v>
      </c>
      <c r="AM32" s="87" t="n">
        <f aca="false">IF(D32="","",IF(AD32="","",(AD32-D32)/D32))</f>
        <v>-0.164139499620926</v>
      </c>
      <c r="AN32" s="64" t="n">
        <f aca="false">IF(NOT(AM32=""),ABS(AM32),"")</f>
        <v>0.164139499620926</v>
      </c>
      <c r="AP32" s="65" t="n">
        <v>412.5</v>
      </c>
      <c r="AQ32" s="66" t="n">
        <v>600.25</v>
      </c>
      <c r="AR32" s="63" t="n">
        <v>24.5</v>
      </c>
      <c r="AS32" s="63" t="n">
        <v>220.120219663029</v>
      </c>
      <c r="AT32" s="63" t="n">
        <v>192.379780336971</v>
      </c>
      <c r="AU32" s="63" t="n">
        <v>632.620219663029</v>
      </c>
      <c r="AV32" s="87" t="n">
        <f aca="false">IF(D32="","",IF(AT32="","",(AT32-D32)/D32))</f>
        <v>-0.562441742978838</v>
      </c>
      <c r="AW32" s="87" t="n">
        <f aca="false">IF(D32="","",IF(AU32="","",(AU32-D32)/D32))</f>
        <v>0.438863274442066</v>
      </c>
      <c r="AX32" s="87" t="n">
        <v>0.0593939393939394</v>
      </c>
      <c r="AY32" s="45" t="n">
        <f aca="false">IF(D32="","",IF(AP32="","",(AP32-D32)/D32))</f>
        <v>-0.0617892342683859</v>
      </c>
      <c r="AZ32" s="64" t="n">
        <f aca="false">IF(NOT(AY32=""),ABS(AY32),"")</f>
        <v>0.0617892342683859</v>
      </c>
    </row>
    <row r="33" customFormat="false" ht="12.8" hidden="false" customHeight="false" outlineLevel="0" collapsed="false">
      <c r="A33" s="56"/>
      <c r="B33" s="25"/>
      <c r="C33" s="57"/>
      <c r="D33" s="65"/>
      <c r="E33" s="66"/>
      <c r="F33" s="63"/>
      <c r="G33" s="63"/>
      <c r="H33" s="63"/>
      <c r="I33" s="63"/>
      <c r="J33" s="64"/>
      <c r="L33" s="58"/>
      <c r="N33" s="59"/>
      <c r="O33" s="59" t="str">
        <f aca="false">IF(A33="","",IF(L33="","",A33-L33))</f>
        <v/>
      </c>
      <c r="P33" s="59" t="str">
        <f aca="false">IF(B33="","",IF(M33="","",B33-M33))</f>
        <v/>
      </c>
      <c r="Q33" s="59" t="str">
        <f aca="false">IF(C33="","",IF(N33="","",C33-N33))</f>
        <v/>
      </c>
      <c r="R33" s="65" t="str">
        <f aca="false">IF(COUNT(O33:Q33)&gt;0,AVERAGE(O33:Q33),"")</f>
        <v/>
      </c>
      <c r="S33" s="66"/>
      <c r="T33" s="63"/>
      <c r="U33" s="63"/>
      <c r="V33" s="63" t="str">
        <f aca="false">IF(R33="","",R33-U33)</f>
        <v/>
      </c>
      <c r="W33" s="63" t="str">
        <f aca="false">IF(R33="","",R33+U33)</f>
        <v/>
      </c>
      <c r="X33" s="87" t="str">
        <f aca="false">IF(D33="","",IF(V33="","",(V33-D33)/D33))</f>
        <v/>
      </c>
      <c r="Y33" s="87" t="str">
        <f aca="false">IF(D33="","",IF(W33="","",(W33-D33)/D33))</f>
        <v/>
      </c>
      <c r="Z33" s="87"/>
      <c r="AA33" s="87" t="str">
        <f aca="false">IF(D33="","",IF(R33="","",(R33-D33)/D33))</f>
        <v/>
      </c>
      <c r="AB33" s="64" t="str">
        <f aca="false">IF(NOT(AA33=""),ABS(AA33),"")</f>
        <v/>
      </c>
      <c r="AD33" s="65" t="n">
        <v>958</v>
      </c>
      <c r="AE33" s="66" t="n">
        <v>0</v>
      </c>
      <c r="AF33" s="63" t="n">
        <v>0</v>
      </c>
      <c r="AG33" s="63" t="n">
        <v>0</v>
      </c>
      <c r="AH33" s="63" t="n">
        <v>958</v>
      </c>
      <c r="AI33" s="63" t="n">
        <v>958</v>
      </c>
      <c r="AJ33" s="87" t="str">
        <f aca="false">IF(D33="","",IF(AH33="","",(AH33-D33)/D33))</f>
        <v/>
      </c>
      <c r="AK33" s="87" t="str">
        <f aca="false">IF(D33="","",IF(AI33="","",(AI33-D33)/D33))</f>
        <v/>
      </c>
      <c r="AL33" s="87" t="n">
        <v>0</v>
      </c>
      <c r="AM33" s="87" t="str">
        <f aca="false">IF(D33="","",IF(AD33="","",(AD33-D33)/D33))</f>
        <v/>
      </c>
      <c r="AN33" s="64" t="str">
        <f aca="false">IF(NOT(AM33=""),ABS(AM33),"")</f>
        <v/>
      </c>
      <c r="AP33" s="65"/>
      <c r="AQ33" s="66"/>
      <c r="AR33" s="63"/>
      <c r="AS33" s="63"/>
      <c r="AT33" s="63"/>
      <c r="AU33" s="63"/>
      <c r="AV33" s="87" t="str">
        <f aca="false">IF(D33="","",IF(AT33="","",(AT33-D33)/D33))</f>
        <v/>
      </c>
      <c r="AW33" s="87" t="str">
        <f aca="false">IF(D33="","",IF(AU33="","",(AU33-D33)/D33))</f>
        <v/>
      </c>
      <c r="AX33" s="87"/>
      <c r="AY33" s="45" t="str">
        <f aca="false">IF(D33="","",IF(AP33="","",(AP33-D33)/D33))</f>
        <v/>
      </c>
      <c r="AZ33" s="64" t="str">
        <f aca="false">IF(NOT(AY33=""),ABS(AY33),"")</f>
        <v/>
      </c>
    </row>
    <row r="34" customFormat="false" ht="12.8" hidden="false" customHeight="false" outlineLevel="0" collapsed="false">
      <c r="A34" s="56" t="n">
        <v>1150</v>
      </c>
      <c r="B34" s="25"/>
      <c r="C34" s="57" t="n">
        <v>1163</v>
      </c>
      <c r="D34" s="65" t="n">
        <v>1156.5</v>
      </c>
      <c r="E34" s="66" t="n">
        <v>42.25</v>
      </c>
      <c r="F34" s="63" t="n">
        <v>6.5</v>
      </c>
      <c r="G34" s="63" t="n">
        <v>58.3992419514158</v>
      </c>
      <c r="H34" s="63" t="n">
        <v>1098.10075804858</v>
      </c>
      <c r="I34" s="63" t="n">
        <v>1214.89924195142</v>
      </c>
      <c r="J34" s="64" t="n">
        <v>0.00562040639861652</v>
      </c>
      <c r="L34" s="58" t="n">
        <v>1003</v>
      </c>
      <c r="N34" s="59" t="n">
        <v>1387</v>
      </c>
      <c r="O34" s="59" t="n">
        <f aca="false">IF(A34="","",IF(L34="","",A34-L34))</f>
        <v>147</v>
      </c>
      <c r="P34" s="59" t="str">
        <f aca="false">IF(B34="","",IF(M34="","",B34-M34))</f>
        <v/>
      </c>
      <c r="Q34" s="59" t="n">
        <f aca="false">IF(C34="","",IF(N34="","",C34-N34))</f>
        <v>-224</v>
      </c>
      <c r="R34" s="65" t="n">
        <v>1195</v>
      </c>
      <c r="S34" s="66" t="n">
        <v>36864</v>
      </c>
      <c r="T34" s="63" t="n">
        <v>192</v>
      </c>
      <c r="U34" s="63" t="n">
        <v>1725.0237622572</v>
      </c>
      <c r="V34" s="63" t="n">
        <v>-530</v>
      </c>
      <c r="W34" s="63" t="n">
        <v>2920</v>
      </c>
      <c r="X34" s="87" t="n">
        <f aca="false">IF(D34="","",IF(V34="","",(V34-D34)/D34))</f>
        <v>-1.45827929096412</v>
      </c>
      <c r="Y34" s="87" t="n">
        <f aca="false">IF(D34="","",IF(W34="","",(W34-D34)/D34))</f>
        <v>1.52485948984003</v>
      </c>
      <c r="Z34" s="87" t="n">
        <v>0.160669456066946</v>
      </c>
      <c r="AA34" s="87" t="n">
        <f aca="false">IF(D34="","",IF(R34="","",(R34-D34)/D34))</f>
        <v>0.0332900994379594</v>
      </c>
      <c r="AB34" s="64" t="n">
        <f aca="false">IF(NOT(AA34=""),ABS(AA34),"")</f>
        <v>0.0332900994379594</v>
      </c>
      <c r="AD34" s="65" t="n">
        <v>989.5</v>
      </c>
      <c r="AE34" s="66" t="n">
        <v>52212.25</v>
      </c>
      <c r="AF34" s="63" t="n">
        <v>228.5</v>
      </c>
      <c r="AG34" s="63" t="n">
        <v>2052.95796706131</v>
      </c>
      <c r="AH34" s="63" t="n">
        <v>-1063.45796706131</v>
      </c>
      <c r="AI34" s="63" t="n">
        <v>3042.45796706131</v>
      </c>
      <c r="AJ34" s="87" t="n">
        <f aca="false">IF(D34="","",IF(AH34="","",(AH34-D34)/D34))</f>
        <v>-1.91954860965094</v>
      </c>
      <c r="AK34" s="87" t="n">
        <f aca="false">IF(D34="","",IF(AI34="","",(AI34-D34)/D34))</f>
        <v>1.6307461885528</v>
      </c>
      <c r="AL34" s="87" t="n">
        <v>0.230924709449217</v>
      </c>
      <c r="AM34" s="87" t="n">
        <f aca="false">IF(D34="","",IF(AD34="","",(AD34-D34)/D34))</f>
        <v>-0.14440121054907</v>
      </c>
      <c r="AN34" s="64" t="n">
        <f aca="false">IF(NOT(AM34=""),ABS(AM34),"")</f>
        <v>0.14440121054907</v>
      </c>
      <c r="AP34" s="65" t="n">
        <v>1052</v>
      </c>
      <c r="AQ34" s="66" t="n">
        <v>16</v>
      </c>
      <c r="AR34" s="63" t="n">
        <v>4</v>
      </c>
      <c r="AS34" s="63" t="n">
        <v>35.9379950470251</v>
      </c>
      <c r="AT34" s="63" t="n">
        <v>1016.06200495297</v>
      </c>
      <c r="AU34" s="63" t="n">
        <v>1087.93799504703</v>
      </c>
      <c r="AV34" s="87" t="n">
        <f aca="false">IF(D34="","",IF(AT34="","",(AT34-D34)/D34))</f>
        <v>-0.121433631687877</v>
      </c>
      <c r="AW34" s="87" t="n">
        <f aca="false">IF(D34="","",IF(AU34="","",(AU34-D34)/D34))</f>
        <v>-0.0592840509753308</v>
      </c>
      <c r="AX34" s="87" t="n">
        <v>0.00380228136882129</v>
      </c>
      <c r="AY34" s="45" t="n">
        <f aca="false">IF(D34="","",IF(AP34="","",(AP34-D34)/D34))</f>
        <v>-0.090358841331604</v>
      </c>
      <c r="AZ34" s="64" t="n">
        <f aca="false">IF(NOT(AY34=""),ABS(AY34),"")</f>
        <v>0.090358841331604</v>
      </c>
    </row>
    <row r="35" customFormat="false" ht="12.8" hidden="false" customHeight="false" outlineLevel="0" collapsed="false">
      <c r="A35" s="56"/>
      <c r="B35" s="25" t="n">
        <v>842</v>
      </c>
      <c r="C35" s="57" t="n">
        <v>823</v>
      </c>
      <c r="D35" s="65" t="n">
        <v>832.5</v>
      </c>
      <c r="E35" s="66" t="n">
        <v>90.25</v>
      </c>
      <c r="F35" s="63" t="n">
        <v>9.5</v>
      </c>
      <c r="G35" s="63" t="n">
        <v>85.3527382366846</v>
      </c>
      <c r="H35" s="63" t="n">
        <v>747.147261763315</v>
      </c>
      <c r="I35" s="63" t="n">
        <v>917.852738236685</v>
      </c>
      <c r="J35" s="64" t="n">
        <v>0.0114114114114114</v>
      </c>
      <c r="L35" s="58" t="n">
        <v>930</v>
      </c>
      <c r="M35" s="0" t="n">
        <v>845</v>
      </c>
      <c r="N35" s="59" t="n">
        <v>1007</v>
      </c>
      <c r="O35" s="59" t="str">
        <f aca="false">IF(A35="","",IF(L35="","",A35-L35))</f>
        <v/>
      </c>
      <c r="P35" s="59" t="n">
        <f aca="false">IF(B35="","",IF(M35="","",B35-M35))</f>
        <v>-3</v>
      </c>
      <c r="Q35" s="59" t="n">
        <f aca="false">IF(C35="","",IF(N35="","",C35-N35))</f>
        <v>-184</v>
      </c>
      <c r="R35" s="65" t="n">
        <v>927</v>
      </c>
      <c r="S35" s="66" t="n">
        <v>4377.55555555556</v>
      </c>
      <c r="T35" s="63" t="n">
        <v>66.1630981405463</v>
      </c>
      <c r="U35" s="63" t="n">
        <v>164.371512691581</v>
      </c>
      <c r="V35" s="63" t="n">
        <v>763</v>
      </c>
      <c r="W35" s="63" t="n">
        <v>1092</v>
      </c>
      <c r="X35" s="87" t="n">
        <f aca="false">IF(D35="","",IF(V35="","",(V35-D35)/D35))</f>
        <v>-0.0834834834834835</v>
      </c>
      <c r="Y35" s="87" t="n">
        <f aca="false">IF(D35="","",IF(W35="","",(W35-D35)/D35))</f>
        <v>0.311711711711712</v>
      </c>
      <c r="Z35" s="87" t="n">
        <v>0.0713476974916027</v>
      </c>
      <c r="AA35" s="87" t="n">
        <f aca="false">IF(D35="","",IF(R35="","",(R35-D35)/D35))</f>
        <v>0.113513513513514</v>
      </c>
      <c r="AB35" s="64" t="n">
        <f aca="false">IF(NOT(AA35=""),ABS(AA35),"")</f>
        <v>0.113513513513514</v>
      </c>
      <c r="AD35" s="65" t="n">
        <v>791.666666666667</v>
      </c>
      <c r="AE35" s="66" t="n">
        <v>22541.5555555556</v>
      </c>
      <c r="AF35" s="63" t="n">
        <v>150.13845461958</v>
      </c>
      <c r="AG35" s="63" t="n">
        <v>372.994699349984</v>
      </c>
      <c r="AH35" s="63" t="n">
        <v>418.671967316682</v>
      </c>
      <c r="AI35" s="63" t="n">
        <v>1164.66136601665</v>
      </c>
      <c r="AJ35" s="87" t="n">
        <f aca="false">IF(D35="","",IF(AH35="","",(AH35-D35)/D35))</f>
        <v>-0.497090729949932</v>
      </c>
      <c r="AK35" s="87" t="n">
        <f aca="false">IF(D35="","",IF(AI35="","",(AI35-D35)/D35))</f>
        <v>0.398992631851832</v>
      </c>
      <c r="AL35" s="87" t="n">
        <v>0.189648574256311</v>
      </c>
      <c r="AM35" s="87" t="n">
        <f aca="false">IF(D35="","",IF(AD35="","",(AD35-D35)/D35))</f>
        <v>-0.0490490490490487</v>
      </c>
      <c r="AN35" s="64" t="n">
        <f aca="false">IF(NOT(AM35=""),ABS(AM35),"")</f>
        <v>0.0490490490490487</v>
      </c>
      <c r="AP35" s="65" t="n">
        <v>847.5</v>
      </c>
      <c r="AQ35" s="66" t="n">
        <v>1722.25</v>
      </c>
      <c r="AR35" s="63" t="n">
        <v>41.5</v>
      </c>
      <c r="AS35" s="63" t="n">
        <v>372.856698612885</v>
      </c>
      <c r="AT35" s="63" t="n">
        <v>474.643301387115</v>
      </c>
      <c r="AU35" s="63" t="n">
        <v>1220.35669861289</v>
      </c>
      <c r="AV35" s="87" t="n">
        <f aca="false">IF(D35="","",IF(AT35="","",(AT35-D35)/D35))</f>
        <v>-0.429857896231694</v>
      </c>
      <c r="AW35" s="87" t="n">
        <f aca="false">IF(D35="","",IF(AU35="","",(AU35-D35)/D35))</f>
        <v>0.465893932267736</v>
      </c>
      <c r="AX35" s="87" t="n">
        <v>0.0489675516224189</v>
      </c>
      <c r="AY35" s="45" t="n">
        <f aca="false">IF(D35="","",IF(AP35="","",(AP35-D35)/D35))</f>
        <v>0.018018018018018</v>
      </c>
      <c r="AZ35" s="64" t="n">
        <f aca="false">IF(NOT(AY35=""),ABS(AY35),"")</f>
        <v>0.018018018018018</v>
      </c>
    </row>
    <row r="36" customFormat="false" ht="12.8" hidden="false" customHeight="false" outlineLevel="0" collapsed="false">
      <c r="A36" s="56" t="n">
        <v>686</v>
      </c>
      <c r="B36" s="25" t="n">
        <v>681</v>
      </c>
      <c r="C36" s="57" t="n">
        <v>643</v>
      </c>
      <c r="D36" s="65" t="n">
        <v>670</v>
      </c>
      <c r="E36" s="66" t="n">
        <v>368.666666666667</v>
      </c>
      <c r="F36" s="63" t="n">
        <v>19.2006944318862</v>
      </c>
      <c r="G36" s="63" t="n">
        <v>47.7010188034689</v>
      </c>
      <c r="H36" s="63" t="n">
        <v>622.298981196531</v>
      </c>
      <c r="I36" s="63" t="n">
        <v>717.701018803469</v>
      </c>
      <c r="J36" s="64" t="n">
        <v>0.0286577528834123</v>
      </c>
      <c r="L36" s="58" t="n">
        <v>680</v>
      </c>
      <c r="M36" s="0" t="n">
        <v>742</v>
      </c>
      <c r="N36" s="59" t="n">
        <v>757</v>
      </c>
      <c r="O36" s="59" t="n">
        <f aca="false">IF(A36="","",IF(L36="","",A36-L36))</f>
        <v>6</v>
      </c>
      <c r="P36" s="59" t="n">
        <f aca="false">IF(B36="","",IF(M36="","",B36-M36))</f>
        <v>-61</v>
      </c>
      <c r="Q36" s="59" t="n">
        <f aca="false">IF(C36="","",IF(N36="","",C36-N36))</f>
        <v>-114</v>
      </c>
      <c r="R36" s="65" t="n">
        <v>726</v>
      </c>
      <c r="S36" s="66" t="n">
        <v>1110.88888888889</v>
      </c>
      <c r="T36" s="63" t="n">
        <v>33.3299998333167</v>
      </c>
      <c r="U36" s="63" t="n">
        <v>82.8029920693065</v>
      </c>
      <c r="V36" s="63" t="n">
        <v>644</v>
      </c>
      <c r="W36" s="63" t="n">
        <v>809</v>
      </c>
      <c r="X36" s="87" t="n">
        <f aca="false">IF(D36="","",IF(V36="","",(V36-D36)/D36))</f>
        <v>-0.0388059701492537</v>
      </c>
      <c r="Y36" s="87" t="n">
        <f aca="false">IF(D36="","",IF(W36="","",(W36-D36)/D36))</f>
        <v>0.207462686567164</v>
      </c>
      <c r="Z36" s="87" t="n">
        <v>0.0458880217989674</v>
      </c>
      <c r="AA36" s="87" t="n">
        <f aca="false">IF(D36="","",IF(R36="","",(R36-D36)/D36))</f>
        <v>0.0835820895522388</v>
      </c>
      <c r="AB36" s="64" t="n">
        <f aca="false">IF(NOT(AA36=""),ABS(AA36),"")</f>
        <v>0.0835820895522388</v>
      </c>
      <c r="AD36" s="65" t="n">
        <v>574.666666666667</v>
      </c>
      <c r="AE36" s="66" t="n">
        <v>10770.8888888889</v>
      </c>
      <c r="AF36" s="63" t="n">
        <v>103.782893045477</v>
      </c>
      <c r="AG36" s="63" t="n">
        <v>257.831806563173</v>
      </c>
      <c r="AH36" s="63" t="n">
        <v>316.834860103493</v>
      </c>
      <c r="AI36" s="63" t="n">
        <v>832.49847322984</v>
      </c>
      <c r="AJ36" s="87" t="n">
        <f aca="false">IF(D36="","",IF(AH36="","",(AH36-D36)/D36))</f>
        <v>-0.527112149099264</v>
      </c>
      <c r="AK36" s="87" t="n">
        <f aca="false">IF(D36="","",IF(AI36="","",(AI36-D36)/D36))</f>
        <v>0.242535034671403</v>
      </c>
      <c r="AL36" s="87" t="n">
        <v>0.18059668163366</v>
      </c>
      <c r="AM36" s="87" t="n">
        <f aca="false">IF(D36="","",IF(AD36="","",(AD36-D36)/D36))</f>
        <v>-0.14228855721393</v>
      </c>
      <c r="AN36" s="64" t="n">
        <f aca="false">IF(NOT(AM36=""),ABS(AM36),"")</f>
        <v>0.14228855721393</v>
      </c>
      <c r="AP36" s="65" t="n">
        <v>643.5</v>
      </c>
      <c r="AQ36" s="66" t="n">
        <v>506.25</v>
      </c>
      <c r="AR36" s="63" t="n">
        <v>22.5</v>
      </c>
      <c r="AS36" s="63" t="n">
        <v>202.151222139516</v>
      </c>
      <c r="AT36" s="63" t="n">
        <v>441.348777860484</v>
      </c>
      <c r="AU36" s="63" t="n">
        <v>845.651222139516</v>
      </c>
      <c r="AV36" s="87" t="n">
        <f aca="false">IF(D36="","",IF(AT36="","",(AT36-D36)/D36))</f>
        <v>-0.341270480805248</v>
      </c>
      <c r="AW36" s="87" t="n">
        <f aca="false">IF(D36="","",IF(AU36="","",(AU36-D36)/D36))</f>
        <v>0.262166003193307</v>
      </c>
      <c r="AX36" s="87" t="n">
        <v>0.034965034965035</v>
      </c>
      <c r="AY36" s="45" t="n">
        <f aca="false">IF(D36="","",IF(AP36="","",(AP36-D36)/D36))</f>
        <v>-0.0395522388059702</v>
      </c>
      <c r="AZ36" s="64" t="n">
        <f aca="false">IF(NOT(AY36=""),ABS(AY36),"")</f>
        <v>0.0395522388059702</v>
      </c>
    </row>
    <row r="37" customFormat="false" ht="12.8" hidden="false" customHeight="false" outlineLevel="0" collapsed="false">
      <c r="A37" s="56" t="n">
        <v>553</v>
      </c>
      <c r="B37" s="25" t="n">
        <v>518</v>
      </c>
      <c r="C37" s="57" t="n">
        <v>447</v>
      </c>
      <c r="D37" s="65" t="n">
        <v>506</v>
      </c>
      <c r="E37" s="66" t="n">
        <v>1944.66666666667</v>
      </c>
      <c r="F37" s="63" t="n">
        <v>44.0983748755741</v>
      </c>
      <c r="G37" s="63" t="n">
        <v>109.555277628338</v>
      </c>
      <c r="H37" s="63" t="n">
        <v>396.444722371662</v>
      </c>
      <c r="I37" s="63" t="n">
        <v>615.555277628338</v>
      </c>
      <c r="J37" s="64" t="n">
        <v>0.0871509384892769</v>
      </c>
      <c r="L37" s="58" t="n">
        <v>513</v>
      </c>
      <c r="M37" s="0" t="n">
        <v>451</v>
      </c>
      <c r="N37" s="59" t="n">
        <v>734</v>
      </c>
      <c r="O37" s="59" t="n">
        <f aca="false">IF(A37="","",IF(L37="","",A37-L37))</f>
        <v>40</v>
      </c>
      <c r="P37" s="59" t="n">
        <f aca="false">IF(B37="","",IF(M37="","",B37-M37))</f>
        <v>67</v>
      </c>
      <c r="Q37" s="59" t="n">
        <f aca="false">IF(C37="","",IF(N37="","",C37-N37))</f>
        <v>-287</v>
      </c>
      <c r="R37" s="65" t="n">
        <v>566</v>
      </c>
      <c r="S37" s="66" t="n">
        <v>14752.6666666667</v>
      </c>
      <c r="T37" s="63" t="n">
        <v>121.460556011681</v>
      </c>
      <c r="U37" s="63" t="n">
        <v>301.74910010397</v>
      </c>
      <c r="V37" s="63" t="n">
        <v>264</v>
      </c>
      <c r="W37" s="63" t="n">
        <v>868</v>
      </c>
      <c r="X37" s="87" t="n">
        <f aca="false">IF(D37="","",IF(V37="","",(V37-D37)/D37))</f>
        <v>-0.478260869565217</v>
      </c>
      <c r="Y37" s="87" t="n">
        <f aca="false">IF(D37="","",IF(W37="","",(W37-D37)/D37))</f>
        <v>0.715415019762846</v>
      </c>
      <c r="Z37" s="87" t="n">
        <v>0.214594621928765</v>
      </c>
      <c r="AA37" s="87" t="n">
        <f aca="false">IF(D37="","",IF(R37="","",(R37-D37)/D37))</f>
        <v>0.118577075098814</v>
      </c>
      <c r="AB37" s="64" t="n">
        <f aca="false">IF(NOT(AA37=""),ABS(AA37),"")</f>
        <v>0.118577075098814</v>
      </c>
      <c r="AD37" s="65" t="n">
        <v>452.333333333333</v>
      </c>
      <c r="AE37" s="66" t="n">
        <v>8070.88888888889</v>
      </c>
      <c r="AF37" s="63" t="n">
        <v>89.8381260317071</v>
      </c>
      <c r="AG37" s="63" t="n">
        <v>223.188289064703</v>
      </c>
      <c r="AH37" s="63" t="n">
        <v>229.14504426863</v>
      </c>
      <c r="AI37" s="63" t="n">
        <v>675.521622398037</v>
      </c>
      <c r="AJ37" s="87" t="n">
        <f aca="false">IF(D37="","",IF(AH37="","",(AH37-D37)/D37))</f>
        <v>-0.547144181287293</v>
      </c>
      <c r="AK37" s="87" t="n">
        <f aca="false">IF(D37="","",IF(AI37="","",(AI37-D37)/D37))</f>
        <v>0.335022969166081</v>
      </c>
      <c r="AL37" s="87" t="n">
        <v>0.19861044811726</v>
      </c>
      <c r="AM37" s="87" t="n">
        <f aca="false">IF(D37="","",IF(AD37="","",(AD37-D37)/D37))</f>
        <v>-0.106060606060607</v>
      </c>
      <c r="AN37" s="64" t="n">
        <f aca="false">IF(NOT(AM37=""),ABS(AM37),"")</f>
        <v>0.106060606060607</v>
      </c>
      <c r="AP37" s="65" t="n">
        <v>495</v>
      </c>
      <c r="AQ37" s="66" t="n">
        <v>841</v>
      </c>
      <c r="AR37" s="63" t="n">
        <v>29</v>
      </c>
      <c r="AS37" s="63" t="n">
        <v>260.550464090932</v>
      </c>
      <c r="AT37" s="63" t="n">
        <v>234.449535909068</v>
      </c>
      <c r="AU37" s="63" t="n">
        <v>755.550464090932</v>
      </c>
      <c r="AV37" s="87" t="n">
        <f aca="false">IF(D37="","",IF(AT37="","",(AT37-D37)/D37))</f>
        <v>-0.536660996227138</v>
      </c>
      <c r="AW37" s="87" t="n">
        <f aca="false">IF(D37="","",IF(AU37="","",(AU37-D37)/D37))</f>
        <v>0.493182735357573</v>
      </c>
      <c r="AX37" s="87" t="n">
        <v>0.0585858585858586</v>
      </c>
      <c r="AY37" s="45" t="n">
        <f aca="false">IF(D37="","",IF(AP37="","",(AP37-D37)/D37))</f>
        <v>-0.0217391304347826</v>
      </c>
      <c r="AZ37" s="64" t="n">
        <f aca="false">IF(NOT(AY37=""),ABS(AY37),"")</f>
        <v>0.0217391304347826</v>
      </c>
    </row>
    <row r="38" customFormat="false" ht="12.8" hidden="false" customHeight="false" outlineLevel="0" collapsed="false">
      <c r="A38" s="56" t="n">
        <v>437</v>
      </c>
      <c r="B38" s="25" t="n">
        <v>366</v>
      </c>
      <c r="C38" s="57" t="n">
        <v>412</v>
      </c>
      <c r="D38" s="65" t="n">
        <v>405</v>
      </c>
      <c r="E38" s="66" t="n">
        <v>864.666666666667</v>
      </c>
      <c r="F38" s="63" t="n">
        <v>29.4052149569879</v>
      </c>
      <c r="G38" s="63" t="n">
        <v>73.0524990415949</v>
      </c>
      <c r="H38" s="63" t="n">
        <v>331.947500958405</v>
      </c>
      <c r="I38" s="63" t="n">
        <v>478.052499041595</v>
      </c>
      <c r="J38" s="64" t="n">
        <v>0.0726054690295998</v>
      </c>
      <c r="L38" s="58" t="n">
        <v>396</v>
      </c>
      <c r="M38" s="0" t="n">
        <v>401</v>
      </c>
      <c r="N38" s="59" t="n">
        <v>423</v>
      </c>
      <c r="O38" s="59" t="n">
        <f aca="false">IF(A38="","",IF(L38="","",A38-L38))</f>
        <v>41</v>
      </c>
      <c r="P38" s="59" t="n">
        <f aca="false">IF(B38="","",IF(M38="","",B38-M38))</f>
        <v>-35</v>
      </c>
      <c r="Q38" s="59" t="n">
        <f aca="false">IF(C38="","",IF(N38="","",C38-N38))</f>
        <v>-11</v>
      </c>
      <c r="R38" s="65" t="n">
        <v>407</v>
      </c>
      <c r="S38" s="66" t="n">
        <v>137.555555555556</v>
      </c>
      <c r="T38" s="63" t="n">
        <v>11.7284080571728</v>
      </c>
      <c r="U38" s="63" t="n">
        <v>29.1373322592372</v>
      </c>
      <c r="V38" s="63" t="n">
        <v>378</v>
      </c>
      <c r="W38" s="63" t="n">
        <v>436</v>
      </c>
      <c r="X38" s="87" t="n">
        <f aca="false">IF(D38="","",IF(V38="","",(V38-D38)/D38))</f>
        <v>-0.0666666666666667</v>
      </c>
      <c r="Y38" s="87" t="n">
        <f aca="false">IF(D38="","",IF(W38="","",(W38-D38)/D38))</f>
        <v>0.0765432098765432</v>
      </c>
      <c r="Z38" s="87" t="n">
        <v>0.0288403476815724</v>
      </c>
      <c r="AA38" s="87" t="n">
        <f aca="false">IF(D38="","",IF(R38="","",(R38-D38)/D38))</f>
        <v>0.00493827160493827</v>
      </c>
      <c r="AB38" s="64" t="n">
        <f aca="false">IF(NOT(AA38=""),ABS(AA38),"")</f>
        <v>0.00493827160493827</v>
      </c>
      <c r="AD38" s="65" t="n">
        <v>346</v>
      </c>
      <c r="AE38" s="66" t="n">
        <v>704.666666666667</v>
      </c>
      <c r="AF38" s="63" t="n">
        <v>26.5455583227527</v>
      </c>
      <c r="AG38" s="63" t="n">
        <v>65.9481448024801</v>
      </c>
      <c r="AH38" s="63" t="n">
        <v>280.05185519752</v>
      </c>
      <c r="AI38" s="63" t="n">
        <v>411.94814480248</v>
      </c>
      <c r="AJ38" s="87" t="n">
        <f aca="false">IF(D38="","",IF(AH38="","",(AH38-D38)/D38))</f>
        <v>-0.308513937783901</v>
      </c>
      <c r="AK38" s="87" t="n">
        <f aca="false">IF(D38="","",IF(AI38="","",(AI38-D38)/D38))</f>
        <v>0.0171559130925432</v>
      </c>
      <c r="AL38" s="87" t="n">
        <v>0.0767212668287651</v>
      </c>
      <c r="AM38" s="87" t="n">
        <f aca="false">IF(D38="","",IF(AD38="","",(AD38-D38)/D38))</f>
        <v>-0.145679012345679</v>
      </c>
      <c r="AN38" s="64" t="n">
        <f aca="false">IF(NOT(AM38=""),ABS(AM38),"")</f>
        <v>0.145679012345679</v>
      </c>
      <c r="AP38" s="65" t="n">
        <v>366.5</v>
      </c>
      <c r="AQ38" s="66" t="n">
        <v>110.25</v>
      </c>
      <c r="AR38" s="63" t="n">
        <v>10.5</v>
      </c>
      <c r="AS38" s="63" t="n">
        <v>94.3372369984409</v>
      </c>
      <c r="AT38" s="63" t="n">
        <v>272.162763001559</v>
      </c>
      <c r="AU38" s="63" t="n">
        <v>460.837236998441</v>
      </c>
      <c r="AV38" s="87" t="n">
        <f aca="false">IF(D38="","",IF(AT38="","",(AT38-D38)/D38))</f>
        <v>-0.327993177773928</v>
      </c>
      <c r="AW38" s="87" t="n">
        <f aca="false">IF(D38="","",IF(AU38="","",(AU38-D38)/D38))</f>
        <v>0.137869720983805</v>
      </c>
      <c r="AX38" s="87" t="n">
        <v>0.0286493860845839</v>
      </c>
      <c r="AY38" s="45" t="n">
        <f aca="false">IF(D38="","",IF(AP38="","",(AP38-D38)/D38))</f>
        <v>-0.0950617283950617</v>
      </c>
      <c r="AZ38" s="64" t="n">
        <f aca="false">IF(NOT(AY38=""),ABS(AY38),"")</f>
        <v>0.0950617283950617</v>
      </c>
    </row>
    <row r="39" customFormat="false" ht="12.8" hidden="false" customHeight="false" outlineLevel="0" collapsed="false">
      <c r="A39" s="56" t="n">
        <v>327</v>
      </c>
      <c r="B39" s="25" t="n">
        <v>353</v>
      </c>
      <c r="C39" s="57" t="n">
        <v>328</v>
      </c>
      <c r="D39" s="65" t="n">
        <v>336</v>
      </c>
      <c r="E39" s="66" t="n">
        <v>144.666666666667</v>
      </c>
      <c r="F39" s="63" t="n">
        <v>12.0277457017791</v>
      </c>
      <c r="G39" s="63" t="n">
        <v>29.8809882069222</v>
      </c>
      <c r="H39" s="63" t="n">
        <v>306.119011793078</v>
      </c>
      <c r="I39" s="63" t="n">
        <v>365.880988206922</v>
      </c>
      <c r="J39" s="64" t="n">
        <v>0.035796862207676</v>
      </c>
      <c r="L39" s="58" t="n">
        <v>326</v>
      </c>
      <c r="M39" s="0" t="n">
        <v>368</v>
      </c>
      <c r="N39" s="59" t="n">
        <v>310</v>
      </c>
      <c r="O39" s="59" t="n">
        <f aca="false">IF(A39="","",IF(L39="","",A39-L39))</f>
        <v>1</v>
      </c>
      <c r="P39" s="59" t="n">
        <f aca="false">IF(B39="","",IF(M39="","",B39-M39))</f>
        <v>-15</v>
      </c>
      <c r="Q39" s="59" t="n">
        <f aca="false">IF(C39="","",IF(N39="","",C39-N39))</f>
        <v>18</v>
      </c>
      <c r="R39" s="65" t="n">
        <v>335</v>
      </c>
      <c r="S39" s="66" t="n">
        <v>598.222222222222</v>
      </c>
      <c r="T39" s="63" t="n">
        <v>24.4585817704589</v>
      </c>
      <c r="U39" s="63" t="n">
        <v>60.7633892137424</v>
      </c>
      <c r="V39" s="63" t="n">
        <v>274</v>
      </c>
      <c r="W39" s="63" t="n">
        <v>395</v>
      </c>
      <c r="X39" s="87" t="n">
        <f aca="false">IF(D39="","",IF(V39="","",(V39-D39)/D39))</f>
        <v>-0.18452380952381</v>
      </c>
      <c r="Y39" s="87" t="n">
        <f aca="false">IF(D39="","",IF(W39="","",(W39-D39)/D39))</f>
        <v>0.175595238095238</v>
      </c>
      <c r="Z39" s="87" t="n">
        <v>0.0730834116647177</v>
      </c>
      <c r="AA39" s="87" t="n">
        <f aca="false">IF(D39="","",IF(R39="","",(R39-D39)/D39))</f>
        <v>-0.00297619047619048</v>
      </c>
      <c r="AB39" s="64" t="n">
        <f aca="false">IF(NOT(AA39=""),ABS(AA39),"")</f>
        <v>0.00297619047619048</v>
      </c>
      <c r="AD39" s="65" t="n">
        <v>327.333333333333</v>
      </c>
      <c r="AE39" s="66" t="n">
        <v>4267.55555555556</v>
      </c>
      <c r="AF39" s="63" t="n">
        <v>65.3265302580472</v>
      </c>
      <c r="AG39" s="63" t="n">
        <v>162.293195137233</v>
      </c>
      <c r="AH39" s="63" t="n">
        <v>165.040138196101</v>
      </c>
      <c r="AI39" s="63" t="n">
        <v>489.626528470566</v>
      </c>
      <c r="AJ39" s="87" t="n">
        <f aca="false">IF(D39="","",IF(AH39="","",(AH39-D39)/D39))</f>
        <v>-0.508809112511604</v>
      </c>
      <c r="AK39" s="87" t="n">
        <f aca="false">IF(D39="","",IF(AI39="","",(AI39-D39)/D39))</f>
        <v>0.457221810924304</v>
      </c>
      <c r="AL39" s="87" t="n">
        <v>0.199571884698719</v>
      </c>
      <c r="AM39" s="87" t="n">
        <f aca="false">IF(D39="","",IF(AD39="","",(AD39-D39)/D39))</f>
        <v>-0.0257936507936519</v>
      </c>
      <c r="AN39" s="64" t="n">
        <f aca="false">IF(NOT(AM39=""),ABS(AM39),"")</f>
        <v>0.0257936507936519</v>
      </c>
      <c r="AP39" s="65" t="n">
        <v>331</v>
      </c>
      <c r="AQ39" s="66" t="n">
        <v>169</v>
      </c>
      <c r="AR39" s="63" t="n">
        <v>13</v>
      </c>
      <c r="AS39" s="63" t="n">
        <v>116.798483902832</v>
      </c>
      <c r="AT39" s="63" t="n">
        <v>214.201516097168</v>
      </c>
      <c r="AU39" s="63" t="n">
        <v>447.798483902832</v>
      </c>
      <c r="AV39" s="87" t="n">
        <f aca="false">IF(D39="","",IF(AT39="","",(AT39-D39)/D39))</f>
        <v>-0.362495487806048</v>
      </c>
      <c r="AW39" s="87" t="n">
        <f aca="false">IF(D39="","",IF(AU39="","",(AU39-D39)/D39))</f>
        <v>0.332733583044143</v>
      </c>
      <c r="AX39" s="87" t="n">
        <v>0.0392749244712991</v>
      </c>
      <c r="AY39" s="45" t="n">
        <f aca="false">IF(D39="","",IF(AP39="","",(AP39-D39)/D39))</f>
        <v>-0.0148809523809524</v>
      </c>
      <c r="AZ39" s="64" t="n">
        <f aca="false">IF(NOT(AY39=""),ABS(AY39),"")</f>
        <v>0.0148809523809524</v>
      </c>
    </row>
    <row r="40" customFormat="false" ht="12.8" hidden="false" customHeight="false" outlineLevel="0" collapsed="false">
      <c r="A40" s="56" t="n">
        <v>276</v>
      </c>
      <c r="B40" s="25" t="n">
        <v>270</v>
      </c>
      <c r="C40" s="57" t="n">
        <v>267</v>
      </c>
      <c r="D40" s="65" t="n">
        <v>271</v>
      </c>
      <c r="E40" s="66" t="n">
        <v>14</v>
      </c>
      <c r="F40" s="63" t="n">
        <v>3.74165738677394</v>
      </c>
      <c r="G40" s="63" t="n">
        <v>9.29554240841634</v>
      </c>
      <c r="H40" s="63" t="n">
        <v>261.704457591584</v>
      </c>
      <c r="I40" s="63" t="n">
        <v>280.295542408416</v>
      </c>
      <c r="J40" s="64" t="n">
        <v>0.0138068538257341</v>
      </c>
      <c r="L40" s="58" t="n">
        <v>286</v>
      </c>
      <c r="M40" s="0" t="n">
        <v>294</v>
      </c>
      <c r="N40" s="59" t="n">
        <v>266</v>
      </c>
      <c r="O40" s="59" t="n">
        <f aca="false">IF(A40="","",IF(L40="","",A40-L40))</f>
        <v>-10</v>
      </c>
      <c r="P40" s="59" t="n">
        <f aca="false">IF(B40="","",IF(M40="","",B40-M40))</f>
        <v>-24</v>
      </c>
      <c r="Q40" s="59" t="n">
        <f aca="false">IF(C40="","",IF(N40="","",C40-N40))</f>
        <v>1</v>
      </c>
      <c r="R40" s="65" t="n">
        <v>282</v>
      </c>
      <c r="S40" s="66" t="n">
        <v>138.666666666667</v>
      </c>
      <c r="T40" s="63" t="n">
        <v>11.7756811551038</v>
      </c>
      <c r="U40" s="63" t="n">
        <v>29.254774622653</v>
      </c>
      <c r="V40" s="63" t="n">
        <v>253</v>
      </c>
      <c r="W40" s="63" t="n">
        <v>311</v>
      </c>
      <c r="X40" s="87" t="n">
        <f aca="false">IF(D40="","",IF(V40="","",(V40-D40)/D40))</f>
        <v>-0.0664206642066421</v>
      </c>
      <c r="Y40" s="87" t="n">
        <f aca="false">IF(D40="","",IF(W40="","",(W40-D40)/D40))</f>
        <v>0.14760147601476</v>
      </c>
      <c r="Z40" s="87" t="n">
        <v>0.0417577345925666</v>
      </c>
      <c r="AA40" s="87" t="n">
        <f aca="false">IF(D40="","",IF(R40="","",(R40-D40)/D40))</f>
        <v>0.040590405904059</v>
      </c>
      <c r="AB40" s="64" t="n">
        <f aca="false">IF(NOT(AA40=""),ABS(AA40),"")</f>
        <v>0.040590405904059</v>
      </c>
      <c r="AD40" s="65" t="n">
        <v>269.666666666667</v>
      </c>
      <c r="AE40" s="66" t="n">
        <v>210.888888888889</v>
      </c>
      <c r="AF40" s="63" t="n">
        <v>14.522013940528</v>
      </c>
      <c r="AG40" s="63" t="n">
        <v>36.0775940942523</v>
      </c>
      <c r="AH40" s="63" t="n">
        <v>233.589072572414</v>
      </c>
      <c r="AI40" s="63" t="n">
        <v>305.744260760919</v>
      </c>
      <c r="AJ40" s="87" t="n">
        <f aca="false">IF(D40="","",IF(AH40="","",(AH40-D40)/D40))</f>
        <v>-0.138047702684819</v>
      </c>
      <c r="AK40" s="87" t="n">
        <f aca="false">IF(D40="","",IF(AI40="","",(AI40-D40)/D40))</f>
        <v>0.128207604283834</v>
      </c>
      <c r="AL40" s="87" t="n">
        <v>0.0538517204222298</v>
      </c>
      <c r="AM40" s="87" t="n">
        <f aca="false">IF(D40="","",IF(AD40="","",(AD40-D40)/D40))</f>
        <v>-0.00492004920049068</v>
      </c>
      <c r="AN40" s="64" t="n">
        <f aca="false">IF(NOT(AM40=""),ABS(AM40),"")</f>
        <v>0.00492004920049068</v>
      </c>
      <c r="AP40" s="65" t="n">
        <v>271.5</v>
      </c>
      <c r="AQ40" s="66" t="n">
        <v>0.25</v>
      </c>
      <c r="AR40" s="63" t="n">
        <v>0.5</v>
      </c>
      <c r="AS40" s="63" t="n">
        <v>4.49224938087814</v>
      </c>
      <c r="AT40" s="63" t="n">
        <v>267.007750619122</v>
      </c>
      <c r="AU40" s="63" t="n">
        <v>275.992249380878</v>
      </c>
      <c r="AV40" s="87" t="n">
        <f aca="false">IF(D40="","",IF(AT40="","",(AT40-D40)/D40))</f>
        <v>-0.0147315475309151</v>
      </c>
      <c r="AW40" s="87" t="n">
        <f aca="false">IF(D40="","",IF(AU40="","",(AU40-D40)/D40))</f>
        <v>0.0184215844312841</v>
      </c>
      <c r="AX40" s="87" t="n">
        <v>0.00184162062615101</v>
      </c>
      <c r="AY40" s="45" t="n">
        <f aca="false">IF(D40="","",IF(AP40="","",(AP40-D40)/D40))</f>
        <v>0.0018450184501845</v>
      </c>
      <c r="AZ40" s="64" t="n">
        <f aca="false">IF(NOT(AY40=""),ABS(AY40),"")</f>
        <v>0.0018450184501845</v>
      </c>
    </row>
    <row r="41" customFormat="false" ht="12.8" hidden="false" customHeight="false" outlineLevel="0" collapsed="false">
      <c r="A41" s="56" t="n">
        <v>224</v>
      </c>
      <c r="B41" s="25" t="n">
        <v>249</v>
      </c>
      <c r="C41" s="57" t="n">
        <v>232</v>
      </c>
      <c r="D41" s="65" t="n">
        <v>235</v>
      </c>
      <c r="E41" s="66" t="n">
        <v>108.666666666667</v>
      </c>
      <c r="F41" s="63" t="n">
        <v>10.4243305140746</v>
      </c>
      <c r="G41" s="63" t="n">
        <v>25.8975625923024</v>
      </c>
      <c r="H41" s="63" t="n">
        <v>209.102437407698</v>
      </c>
      <c r="I41" s="63" t="n">
        <v>260.897562592302</v>
      </c>
      <c r="J41" s="64" t="n">
        <v>0.0443588532513813</v>
      </c>
      <c r="L41" s="58" t="n">
        <v>242</v>
      </c>
      <c r="M41" s="0" t="n">
        <v>247</v>
      </c>
      <c r="N41" s="59" t="n">
        <v>253</v>
      </c>
      <c r="O41" s="59" t="n">
        <f aca="false">IF(A41="","",IF(L41="","",A41-L41))</f>
        <v>-18</v>
      </c>
      <c r="P41" s="59" t="n">
        <f aca="false">IF(B41="","",IF(M41="","",B41-M41))</f>
        <v>2</v>
      </c>
      <c r="Q41" s="59" t="n">
        <f aca="false">IF(C41="","",IF(N41="","",C41-N41))</f>
        <v>-21</v>
      </c>
      <c r="R41" s="65" t="n">
        <v>247</v>
      </c>
      <c r="S41" s="66" t="n">
        <v>20.2222222222222</v>
      </c>
      <c r="T41" s="63" t="n">
        <v>4.49691252107735</v>
      </c>
      <c r="U41" s="63" t="n">
        <v>11.1718515955984</v>
      </c>
      <c r="V41" s="63" t="n">
        <v>236</v>
      </c>
      <c r="W41" s="63" t="n">
        <v>259</v>
      </c>
      <c r="X41" s="87" t="n">
        <f aca="false">IF(D41="","",IF(V41="","",(V41-D41)/D41))</f>
        <v>0.00425531914893617</v>
      </c>
      <c r="Y41" s="87" t="n">
        <f aca="false">IF(D41="","",IF(W41="","",(W41-D41)/D41))</f>
        <v>0.102127659574468</v>
      </c>
      <c r="Z41" s="87" t="n">
        <v>0.0181815870124421</v>
      </c>
      <c r="AA41" s="87" t="n">
        <f aca="false">IF(D41="","",IF(R41="","",(R41-D41)/D41))</f>
        <v>0.051063829787234</v>
      </c>
      <c r="AB41" s="64" t="n">
        <f aca="false">IF(NOT(AA41=""),ABS(AA41),"")</f>
        <v>0.051063829787234</v>
      </c>
      <c r="AD41" s="65" t="n">
        <v>236</v>
      </c>
      <c r="AE41" s="66" t="n">
        <v>120.666666666667</v>
      </c>
      <c r="AF41" s="63" t="n">
        <v>10.9848380355227</v>
      </c>
      <c r="AG41" s="63" t="n">
        <v>27.2900528438884</v>
      </c>
      <c r="AH41" s="63" t="n">
        <v>208.709947156112</v>
      </c>
      <c r="AI41" s="63" t="n">
        <v>263.290052843888</v>
      </c>
      <c r="AJ41" s="87" t="n">
        <f aca="false">IF(D41="","",IF(AH41="","",(AH41-D41)/D41))</f>
        <v>-0.11187256529314</v>
      </c>
      <c r="AK41" s="87" t="n">
        <f aca="false">IF(D41="","",IF(AI41="","",(AI41-D41)/D41))</f>
        <v>0.120383203591013</v>
      </c>
      <c r="AL41" s="87" t="n">
        <v>0.0465459238793336</v>
      </c>
      <c r="AM41" s="87" t="n">
        <f aca="false">IF(D41="","",IF(AD41="","",(AD41-D41)/D41))</f>
        <v>0.00425531914893617</v>
      </c>
      <c r="AN41" s="64" t="n">
        <f aca="false">IF(NOT(AM41=""),ABS(AM41),"")</f>
        <v>0.00425531914893617</v>
      </c>
      <c r="AP41" s="65" t="n">
        <v>258</v>
      </c>
      <c r="AQ41" s="66" t="n">
        <v>961</v>
      </c>
      <c r="AR41" s="63" t="n">
        <v>31</v>
      </c>
      <c r="AS41" s="63" t="n">
        <v>278.519461614444</v>
      </c>
      <c r="AT41" s="63" t="n">
        <v>-20.5194616144444</v>
      </c>
      <c r="AU41" s="63" t="n">
        <v>536.519461614445</v>
      </c>
      <c r="AV41" s="87" t="n">
        <f aca="false">IF(D41="","",IF(AT41="","",(AT41-D41)/D41))</f>
        <v>-1.08731685793381</v>
      </c>
      <c r="AW41" s="87" t="n">
        <f aca="false">IF(D41="","",IF(AU41="","",(AU41-D41)/D41))</f>
        <v>1.28306153878487</v>
      </c>
      <c r="AX41" s="87" t="n">
        <v>0.12015503875969</v>
      </c>
      <c r="AY41" s="45" t="n">
        <f aca="false">IF(D41="","",IF(AP41="","",(AP41-D41)/D41))</f>
        <v>0.0978723404255319</v>
      </c>
      <c r="AZ41" s="64" t="n">
        <f aca="false">IF(NOT(AY41=""),ABS(AY41),"")</f>
        <v>0.0978723404255319</v>
      </c>
    </row>
    <row r="42" customFormat="false" ht="12.8" hidden="false" customHeight="false" outlineLevel="0" collapsed="false">
      <c r="A42" s="56" t="n">
        <v>207</v>
      </c>
      <c r="B42" s="25" t="n">
        <v>306</v>
      </c>
      <c r="C42" s="57" t="n">
        <v>197</v>
      </c>
      <c r="D42" s="65" t="n">
        <v>236.666666666667</v>
      </c>
      <c r="E42" s="66" t="n">
        <v>2420.22222222222</v>
      </c>
      <c r="F42" s="63" t="n">
        <v>49.1957541076689</v>
      </c>
      <c r="G42" s="63" t="n">
        <v>122.218891616943</v>
      </c>
      <c r="H42" s="63" t="n">
        <v>114.447775049724</v>
      </c>
      <c r="I42" s="63" t="n">
        <v>358.88555828361</v>
      </c>
      <c r="J42" s="64" t="n">
        <v>0.207869383553531</v>
      </c>
      <c r="L42" s="58" t="n">
        <v>210</v>
      </c>
      <c r="M42" s="0" t="n">
        <v>225</v>
      </c>
      <c r="N42" s="59" t="n">
        <v>257</v>
      </c>
      <c r="O42" s="59" t="n">
        <f aca="false">IF(A42="","",IF(L42="","",A42-L42))</f>
        <v>-3</v>
      </c>
      <c r="P42" s="59" t="n">
        <f aca="false">IF(B42="","",IF(M42="","",B42-M42))</f>
        <v>81</v>
      </c>
      <c r="Q42" s="59" t="n">
        <f aca="false">IF(C42="","",IF(N42="","",C42-N42))</f>
        <v>-60</v>
      </c>
      <c r="R42" s="65" t="n">
        <v>231</v>
      </c>
      <c r="S42" s="66" t="n">
        <v>384.222222222222</v>
      </c>
      <c r="T42" s="63" t="n">
        <v>19.6015872373189</v>
      </c>
      <c r="U42" s="63" t="n">
        <v>48.696972117447</v>
      </c>
      <c r="V42" s="63" t="n">
        <v>182</v>
      </c>
      <c r="W42" s="63" t="n">
        <v>279</v>
      </c>
      <c r="X42" s="87" t="n">
        <f aca="false">IF(D42="","",IF(V42="","",(V42-D42)/D42))</f>
        <v>-0.230985915492959</v>
      </c>
      <c r="Y42" s="87" t="n">
        <f aca="false">IF(D42="","",IF(W42="","",(W42-D42)/D42))</f>
        <v>0.178873239436618</v>
      </c>
      <c r="Z42" s="87" t="n">
        <v>0.0849779793525385</v>
      </c>
      <c r="AA42" s="87" t="n">
        <f aca="false">IF(D42="","",IF(R42="","",(R42-D42)/D42))</f>
        <v>-0.0239436619718324</v>
      </c>
      <c r="AB42" s="64" t="n">
        <f aca="false">IF(NOT(AA42=""),ABS(AA42),"")</f>
        <v>0.0239436619718324</v>
      </c>
      <c r="AD42" s="65" t="n">
        <v>201</v>
      </c>
      <c r="AE42" s="66" t="n">
        <v>64</v>
      </c>
      <c r="AF42" s="63" t="n">
        <v>8</v>
      </c>
      <c r="AG42" s="63" t="n">
        <v>71.8759900940502</v>
      </c>
      <c r="AH42" s="63" t="n">
        <v>129.12400990595</v>
      </c>
      <c r="AI42" s="63" t="n">
        <v>272.87599009405</v>
      </c>
      <c r="AJ42" s="87" t="n">
        <f aca="false">IF(D42="","",IF(AH42="","",(AH42-D42)/D42))</f>
        <v>-0.454405591946691</v>
      </c>
      <c r="AK42" s="87" t="n">
        <f aca="false">IF(D42="","",IF(AI42="","",(AI42-D42)/D42))</f>
        <v>0.152997141242463</v>
      </c>
      <c r="AL42" s="87" t="n">
        <v>0.0398009950248756</v>
      </c>
      <c r="AM42" s="87" t="n">
        <f aca="false">IF(D42="","",IF(AD42="","",(AD42-D42)/D42))</f>
        <v>-0.150704225352114</v>
      </c>
      <c r="AN42" s="64" t="n">
        <f aca="false">IF(NOT(AM42=""),ABS(AM42),"")</f>
        <v>0.150704225352114</v>
      </c>
      <c r="AP42" s="65" t="n">
        <v>289.5</v>
      </c>
      <c r="AQ42" s="66" t="n">
        <v>3660.25</v>
      </c>
      <c r="AR42" s="63" t="n">
        <v>60.5</v>
      </c>
      <c r="AS42" s="63" t="n">
        <v>543.562175086255</v>
      </c>
      <c r="AT42" s="63" t="n">
        <v>-254.062175086254</v>
      </c>
      <c r="AU42" s="63" t="n">
        <v>833.062175086255</v>
      </c>
      <c r="AV42" s="87" t="n">
        <f aca="false">IF(D42="","",IF(AT42="","",(AT42-D42)/D42))</f>
        <v>-2.07350214825178</v>
      </c>
      <c r="AW42" s="87" t="n">
        <f aca="false">IF(D42="","",IF(AU42="","",(AU42-D42)/D42))</f>
        <v>2.51998102149121</v>
      </c>
      <c r="AX42" s="87" t="n">
        <v>0.208981001727116</v>
      </c>
      <c r="AY42" s="45" t="n">
        <f aca="false">IF(D42="","",IF(AP42="","",(AP42-D42)/D42))</f>
        <v>0.223239436619717</v>
      </c>
      <c r="AZ42" s="64" t="n">
        <f aca="false">IF(NOT(AY42=""),ABS(AY42),"")</f>
        <v>0.223239436619717</v>
      </c>
    </row>
    <row r="43" customFormat="false" ht="12.8" hidden="false" customHeight="false" outlineLevel="0" collapsed="false">
      <c r="A43" s="56"/>
      <c r="B43" s="25"/>
      <c r="C43" s="57"/>
      <c r="D43" s="65"/>
      <c r="E43" s="66"/>
      <c r="F43" s="63"/>
      <c r="G43" s="63"/>
      <c r="H43" s="63"/>
      <c r="I43" s="63"/>
      <c r="J43" s="64"/>
      <c r="L43" s="58"/>
      <c r="N43" s="59"/>
      <c r="O43" s="59" t="str">
        <f aca="false">IF(A43="","",IF(L43="","",A43-L43))</f>
        <v/>
      </c>
      <c r="P43" s="59" t="str">
        <f aca="false">IF(B43="","",IF(M43="","",B43-M43))</f>
        <v/>
      </c>
      <c r="Q43" s="59" t="str">
        <f aca="false">IF(C43="","",IF(N43="","",C43-N43))</f>
        <v/>
      </c>
      <c r="R43" s="65" t="str">
        <f aca="false">IF(COUNT(O43:Q43)&gt;0,AVERAGE(O43:Q43),"")</f>
        <v/>
      </c>
      <c r="S43" s="66"/>
      <c r="T43" s="63"/>
      <c r="U43" s="63"/>
      <c r="V43" s="63" t="str">
        <f aca="false">IF(R43="","",R43-U43)</f>
        <v/>
      </c>
      <c r="W43" s="63" t="str">
        <f aca="false">IF(R43="","",R43+U43)</f>
        <v/>
      </c>
      <c r="X43" s="87" t="str">
        <f aca="false">IF(D43="","",IF(V43="","",(V43-D43)/D43))</f>
        <v/>
      </c>
      <c r="Y43" s="87" t="str">
        <f aca="false">IF(D43="","",IF(W43="","",(W43-D43)/D43))</f>
        <v/>
      </c>
      <c r="Z43" s="87"/>
      <c r="AA43" s="87" t="str">
        <f aca="false">IF(D43="","",IF(R43="","",(R43-D43)/D43))</f>
        <v/>
      </c>
      <c r="AB43" s="64" t="str">
        <f aca="false">IF(NOT(AA43=""),ABS(AA43),"")</f>
        <v/>
      </c>
      <c r="AD43" s="65"/>
      <c r="AE43" s="66"/>
      <c r="AF43" s="63"/>
      <c r="AG43" s="63"/>
      <c r="AH43" s="63"/>
      <c r="AI43" s="63"/>
      <c r="AJ43" s="87" t="str">
        <f aca="false">IF(D43="","",IF(AH43="","",(AH43-D43)/D43))</f>
        <v/>
      </c>
      <c r="AK43" s="87" t="str">
        <f aca="false">IF(D43="","",IF(AI43="","",(AI43-D43)/D43))</f>
        <v/>
      </c>
      <c r="AL43" s="87"/>
      <c r="AM43" s="87" t="str">
        <f aca="false">IF(D43="","",IF(AD43="","",(AD43-D43)/D43))</f>
        <v/>
      </c>
      <c r="AN43" s="64" t="str">
        <f aca="false">IF(NOT(AM43=""),ABS(AM43),"")</f>
        <v/>
      </c>
      <c r="AP43" s="65"/>
      <c r="AQ43" s="66"/>
      <c r="AR43" s="63"/>
      <c r="AS43" s="63"/>
      <c r="AT43" s="63"/>
      <c r="AU43" s="63"/>
      <c r="AV43" s="87" t="str">
        <f aca="false">IF(D43="","",IF(AT43="","",(AT43-D43)/D43))</f>
        <v/>
      </c>
      <c r="AW43" s="87" t="str">
        <f aca="false">IF(D43="","",IF(AU43="","",(AU43-D43)/D43))</f>
        <v/>
      </c>
      <c r="AX43" s="87"/>
      <c r="AY43" s="45" t="str">
        <f aca="false">IF(D43="","",IF(AP43="","",(AP43-D43)/D43))</f>
        <v/>
      </c>
      <c r="AZ43" s="64" t="str">
        <f aca="false">IF(NOT(AY43=""),ABS(AY43),"")</f>
        <v/>
      </c>
    </row>
    <row r="44" customFormat="false" ht="12.8" hidden="false" customHeight="false" outlineLevel="0" collapsed="false">
      <c r="A44" s="56"/>
      <c r="B44" s="25"/>
      <c r="C44" s="57"/>
      <c r="D44" s="65"/>
      <c r="E44" s="66"/>
      <c r="F44" s="63"/>
      <c r="G44" s="63"/>
      <c r="H44" s="63"/>
      <c r="I44" s="63"/>
      <c r="J44" s="64"/>
      <c r="L44" s="58"/>
      <c r="N44" s="59"/>
      <c r="O44" s="59" t="str">
        <f aca="false">IF(A44="","",IF(L44="","",A44-L44))</f>
        <v/>
      </c>
      <c r="P44" s="59" t="str">
        <f aca="false">IF(B44="","",IF(M44="","",B44-M44))</f>
        <v/>
      </c>
      <c r="Q44" s="59" t="str">
        <f aca="false">IF(C44="","",IF(N44="","",C44-N44))</f>
        <v/>
      </c>
      <c r="R44" s="65" t="str">
        <f aca="false">IF(COUNT(O44:Q44)&gt;0,AVERAGE(O44:Q44),"")</f>
        <v/>
      </c>
      <c r="S44" s="66"/>
      <c r="T44" s="63"/>
      <c r="U44" s="63"/>
      <c r="V44" s="63" t="str">
        <f aca="false">IF(R44="","",R44-U44)</f>
        <v/>
      </c>
      <c r="W44" s="63" t="str">
        <f aca="false">IF(R44="","",R44+U44)</f>
        <v/>
      </c>
      <c r="X44" s="87" t="str">
        <f aca="false">IF(D44="","",IF(V44="","",(V44-D44)/D44))</f>
        <v/>
      </c>
      <c r="Y44" s="87" t="str">
        <f aca="false">IF(D44="","",IF(W44="","",(W44-D44)/D44))</f>
        <v/>
      </c>
      <c r="Z44" s="87"/>
      <c r="AA44" s="87" t="str">
        <f aca="false">IF(D44="","",IF(R44="","",(R44-D44)/D44))</f>
        <v/>
      </c>
      <c r="AB44" s="64" t="str">
        <f aca="false">IF(NOT(AA44=""),ABS(AA44),"")</f>
        <v/>
      </c>
      <c r="AD44" s="65"/>
      <c r="AE44" s="66"/>
      <c r="AF44" s="63"/>
      <c r="AG44" s="63"/>
      <c r="AH44" s="63"/>
      <c r="AI44" s="63"/>
      <c r="AJ44" s="87" t="str">
        <f aca="false">IF(D44="","",IF(AH44="","",(AH44-D44)/D44))</f>
        <v/>
      </c>
      <c r="AK44" s="87" t="str">
        <f aca="false">IF(D44="","",IF(AI44="","",(AI44-D44)/D44))</f>
        <v/>
      </c>
      <c r="AL44" s="87"/>
      <c r="AM44" s="87" t="str">
        <f aca="false">IF(D44="","",IF(AD44="","",(AD44-D44)/D44))</f>
        <v/>
      </c>
      <c r="AN44" s="64" t="str">
        <f aca="false">IF(NOT(AM44=""),ABS(AM44),"")</f>
        <v/>
      </c>
      <c r="AP44" s="65"/>
      <c r="AQ44" s="66"/>
      <c r="AR44" s="63"/>
      <c r="AS44" s="63"/>
      <c r="AT44" s="63"/>
      <c r="AU44" s="63"/>
      <c r="AV44" s="87" t="str">
        <f aca="false">IF(D44="","",IF(AT44="","",(AT44-D44)/D44))</f>
        <v/>
      </c>
      <c r="AW44" s="87" t="str">
        <f aca="false">IF(D44="","",IF(AU44="","",(AU44-D44)/D44))</f>
        <v/>
      </c>
      <c r="AX44" s="87"/>
      <c r="AY44" s="45" t="str">
        <f aca="false">IF(D44="","",IF(AP44="","",(AP44-D44)/D44))</f>
        <v/>
      </c>
      <c r="AZ44" s="64" t="str">
        <f aca="false">IF(NOT(AY44=""),ABS(AY44),"")</f>
        <v/>
      </c>
    </row>
    <row r="45" customFormat="false" ht="12.8" hidden="false" customHeight="false" outlineLevel="0" collapsed="false">
      <c r="A45" s="56"/>
      <c r="B45" s="25"/>
      <c r="C45" s="57"/>
      <c r="D45" s="65"/>
      <c r="E45" s="66"/>
      <c r="F45" s="63"/>
      <c r="G45" s="63"/>
      <c r="H45" s="63"/>
      <c r="I45" s="63"/>
      <c r="J45" s="64"/>
      <c r="L45" s="58"/>
      <c r="N45" s="59"/>
      <c r="O45" s="59" t="str">
        <f aca="false">IF(A45="","",IF(L45="","",A45-L45))</f>
        <v/>
      </c>
      <c r="P45" s="59" t="str">
        <f aca="false">IF(B45="","",IF(M45="","",B45-M45))</f>
        <v/>
      </c>
      <c r="Q45" s="59" t="str">
        <f aca="false">IF(C45="","",IF(N45="","",C45-N45))</f>
        <v/>
      </c>
      <c r="R45" s="65" t="str">
        <f aca="false">IF(COUNT(O45:Q45)&gt;0,AVERAGE(O45:Q45),"")</f>
        <v/>
      </c>
      <c r="S45" s="66"/>
      <c r="T45" s="63"/>
      <c r="U45" s="63"/>
      <c r="V45" s="63" t="str">
        <f aca="false">IF(R45="","",R45-U45)</f>
        <v/>
      </c>
      <c r="W45" s="63" t="str">
        <f aca="false">IF(R45="","",R45+U45)</f>
        <v/>
      </c>
      <c r="X45" s="87" t="str">
        <f aca="false">IF(D45="","",IF(V45="","",(V45-D45)/D45))</f>
        <v/>
      </c>
      <c r="Y45" s="87" t="str">
        <f aca="false">IF(D45="","",IF(W45="","",(W45-D45)/D45))</f>
        <v/>
      </c>
      <c r="Z45" s="87"/>
      <c r="AA45" s="87" t="str">
        <f aca="false">IF(D45="","",IF(R45="","",(R45-D45)/D45))</f>
        <v/>
      </c>
      <c r="AB45" s="64" t="str">
        <f aca="false">IF(NOT(AA45=""),ABS(AA45),"")</f>
        <v/>
      </c>
      <c r="AD45" s="65"/>
      <c r="AE45" s="66"/>
      <c r="AF45" s="63"/>
      <c r="AG45" s="63"/>
      <c r="AH45" s="63"/>
      <c r="AI45" s="63"/>
      <c r="AJ45" s="87" t="str">
        <f aca="false">IF(D45="","",IF(AH45="","",(AH45-D45)/D45))</f>
        <v/>
      </c>
      <c r="AK45" s="87" t="str">
        <f aca="false">IF(D45="","",IF(AI45="","",(AI45-D45)/D45))</f>
        <v/>
      </c>
      <c r="AL45" s="87"/>
      <c r="AM45" s="87" t="str">
        <f aca="false">IF(D45="","",IF(AD45="","",(AD45-D45)/D45))</f>
        <v/>
      </c>
      <c r="AN45" s="64" t="str">
        <f aca="false">IF(NOT(AM45=""),ABS(AM45),"")</f>
        <v/>
      </c>
      <c r="AP45" s="65"/>
      <c r="AQ45" s="66"/>
      <c r="AR45" s="63"/>
      <c r="AS45" s="63"/>
      <c r="AT45" s="63"/>
      <c r="AU45" s="63"/>
      <c r="AV45" s="87" t="str">
        <f aca="false">IF(D45="","",IF(AT45="","",(AT45-D45)/D45))</f>
        <v/>
      </c>
      <c r="AW45" s="87" t="str">
        <f aca="false">IF(D45="","",IF(AU45="","",(AU45-D45)/D45))</f>
        <v/>
      </c>
      <c r="AX45" s="87"/>
      <c r="AY45" s="45" t="str">
        <f aca="false">IF(D45="","",IF(AP45="","",(AP45-D45)/D45))</f>
        <v/>
      </c>
      <c r="AZ45" s="64" t="str">
        <f aca="false">IF(NOT(AY45=""),ABS(AY45),"")</f>
        <v/>
      </c>
    </row>
    <row r="46" customFormat="false" ht="12.8" hidden="false" customHeight="false" outlineLevel="0" collapsed="false">
      <c r="A46" s="56"/>
      <c r="B46" s="25"/>
      <c r="C46" s="57"/>
      <c r="D46" s="65"/>
      <c r="E46" s="66"/>
      <c r="F46" s="63"/>
      <c r="G46" s="63"/>
      <c r="H46" s="63"/>
      <c r="I46" s="63"/>
      <c r="J46" s="64"/>
      <c r="L46" s="58"/>
      <c r="N46" s="59"/>
      <c r="O46" s="59" t="str">
        <f aca="false">IF(A46="","",IF(L46="","",A46-L46))</f>
        <v/>
      </c>
      <c r="P46" s="59" t="str">
        <f aca="false">IF(B46="","",IF(M46="","",B46-M46))</f>
        <v/>
      </c>
      <c r="Q46" s="59" t="str">
        <f aca="false">IF(C46="","",IF(N46="","",C46-N46))</f>
        <v/>
      </c>
      <c r="R46" s="65" t="str">
        <f aca="false">IF(COUNT(O46:Q46)&gt;0,AVERAGE(O46:Q46),"")</f>
        <v/>
      </c>
      <c r="S46" s="66"/>
      <c r="T46" s="63"/>
      <c r="U46" s="63"/>
      <c r="V46" s="63" t="str">
        <f aca="false">IF(R46="","",R46-U46)</f>
        <v/>
      </c>
      <c r="W46" s="63" t="str">
        <f aca="false">IF(R46="","",R46+U46)</f>
        <v/>
      </c>
      <c r="X46" s="87" t="str">
        <f aca="false">IF(D46="","",IF(V46="","",(V46-D46)/D46))</f>
        <v/>
      </c>
      <c r="Y46" s="87" t="str">
        <f aca="false">IF(D46="","",IF(W46="","",(W46-D46)/D46))</f>
        <v/>
      </c>
      <c r="Z46" s="87"/>
      <c r="AA46" s="87" t="str">
        <f aca="false">IF(D46="","",IF(R46="","",(R46-D46)/D46))</f>
        <v/>
      </c>
      <c r="AB46" s="64" t="str">
        <f aca="false">IF(NOT(AA46=""),ABS(AA46),"")</f>
        <v/>
      </c>
      <c r="AD46" s="65" t="n">
        <v>2130</v>
      </c>
      <c r="AE46" s="66" t="n">
        <v>0</v>
      </c>
      <c r="AF46" s="63" t="n">
        <v>0</v>
      </c>
      <c r="AG46" s="63" t="n">
        <v>0</v>
      </c>
      <c r="AH46" s="63" t="n">
        <v>2130</v>
      </c>
      <c r="AI46" s="63" t="n">
        <v>2130</v>
      </c>
      <c r="AJ46" s="87" t="str">
        <f aca="false">IF(D46="","",IF(AH46="","",(AH46-D46)/D46))</f>
        <v/>
      </c>
      <c r="AK46" s="87" t="str">
        <f aca="false">IF(D46="","",IF(AI46="","",(AI46-D46)/D46))</f>
        <v/>
      </c>
      <c r="AL46" s="87" t="n">
        <v>0</v>
      </c>
      <c r="AM46" s="87" t="str">
        <f aca="false">IF(D46="","",IF(AD46="","",(AD46-D46)/D46))</f>
        <v/>
      </c>
      <c r="AN46" s="64" t="str">
        <f aca="false">IF(NOT(AM46=""),ABS(AM46),"")</f>
        <v/>
      </c>
      <c r="AP46" s="65"/>
      <c r="AQ46" s="66"/>
      <c r="AR46" s="63"/>
      <c r="AS46" s="63"/>
      <c r="AT46" s="63"/>
      <c r="AU46" s="63"/>
      <c r="AV46" s="87" t="str">
        <f aca="false">IF(D46="","",IF(AT46="","",(AT46-D46)/D46))</f>
        <v/>
      </c>
      <c r="AW46" s="87" t="str">
        <f aca="false">IF(D46="","",IF(AU46="","",(AU46-D46)/D46))</f>
        <v/>
      </c>
      <c r="AX46" s="87"/>
      <c r="AY46" s="45" t="str">
        <f aca="false">IF(D46="","",IF(AP46="","",(AP46-D46)/D46))</f>
        <v/>
      </c>
      <c r="AZ46" s="64" t="str">
        <f aca="false">IF(NOT(AY46=""),ABS(AY46),"")</f>
        <v/>
      </c>
    </row>
    <row r="47" customFormat="false" ht="12.8" hidden="false" customHeight="false" outlineLevel="0" collapsed="false">
      <c r="A47" s="56"/>
      <c r="B47" s="25" t="n">
        <v>2195</v>
      </c>
      <c r="C47" s="57"/>
      <c r="D47" s="65" t="n">
        <v>2195</v>
      </c>
      <c r="E47" s="66" t="n">
        <v>0</v>
      </c>
      <c r="F47" s="63" t="n">
        <v>0</v>
      </c>
      <c r="G47" s="63" t="n">
        <v>0</v>
      </c>
      <c r="H47" s="63" t="n">
        <v>2195</v>
      </c>
      <c r="I47" s="63" t="n">
        <v>2195</v>
      </c>
      <c r="J47" s="64" t="n">
        <v>0</v>
      </c>
      <c r="L47" s="58"/>
      <c r="N47" s="59"/>
      <c r="O47" s="59" t="str">
        <f aca="false">IF(A47="","",IF(L47="","",A47-L47))</f>
        <v/>
      </c>
      <c r="P47" s="59" t="str">
        <f aca="false">IF(B47="","",IF(M47="","",B47-M47))</f>
        <v/>
      </c>
      <c r="Q47" s="59" t="str">
        <f aca="false">IF(C47="","",IF(N47="","",C47-N47))</f>
        <v/>
      </c>
      <c r="R47" s="65" t="str">
        <f aca="false">IF(COUNT(O47:Q47)&gt;0,AVERAGE(O47:Q47),"")</f>
        <v/>
      </c>
      <c r="S47" s="66"/>
      <c r="T47" s="63"/>
      <c r="U47" s="63"/>
      <c r="V47" s="63" t="str">
        <f aca="false">IF(R47="","",R47-U47)</f>
        <v/>
      </c>
      <c r="W47" s="63" t="str">
        <f aca="false">IF(R47="","",R47+U47)</f>
        <v/>
      </c>
      <c r="X47" s="87" t="str">
        <f aca="false">IF(D47="","",IF(V47="","",(V47-D47)/D47))</f>
        <v/>
      </c>
      <c r="Y47" s="87" t="str">
        <f aca="false">IF(D47="","",IF(W47="","",(W47-D47)/D47))</f>
        <v/>
      </c>
      <c r="Z47" s="87"/>
      <c r="AA47" s="87" t="str">
        <f aca="false">IF(D47="","",IF(R47="","",(R47-D47)/D47))</f>
        <v/>
      </c>
      <c r="AB47" s="64" t="str">
        <f aca="false">IF(NOT(AA47=""),ABS(AA47),"")</f>
        <v/>
      </c>
      <c r="AD47" s="65" t="n">
        <v>1820</v>
      </c>
      <c r="AE47" s="66" t="n">
        <v>224676</v>
      </c>
      <c r="AF47" s="63" t="n">
        <v>474</v>
      </c>
      <c r="AG47" s="63" t="n">
        <v>4258.65241307247</v>
      </c>
      <c r="AH47" s="63" t="n">
        <v>-2438.65241307247</v>
      </c>
      <c r="AI47" s="63" t="n">
        <v>6078.65241307247</v>
      </c>
      <c r="AJ47" s="87" t="n">
        <f aca="false">IF(D47="","",IF(AH47="","",(AH47-D47)/D47))</f>
        <v>-2.11100337725397</v>
      </c>
      <c r="AK47" s="87" t="n">
        <f aca="false">IF(D47="","",IF(AI47="","",(AI47-D47)/D47))</f>
        <v>1.76931772805124</v>
      </c>
      <c r="AL47" s="87" t="n">
        <v>0.26043956043956</v>
      </c>
      <c r="AM47" s="87" t="n">
        <f aca="false">IF(D47="","",IF(AD47="","",(AD47-D47)/D47))</f>
        <v>-0.170842824601367</v>
      </c>
      <c r="AN47" s="64" t="n">
        <f aca="false">IF(NOT(AM47=""),ABS(AM47),"")</f>
        <v>0.170842824601367</v>
      </c>
      <c r="AP47" s="65" t="n">
        <v>2228.5</v>
      </c>
      <c r="AQ47" s="66" t="n">
        <v>31862.25</v>
      </c>
      <c r="AR47" s="63" t="n">
        <v>178.5</v>
      </c>
      <c r="AS47" s="63" t="n">
        <v>1603.73302897349</v>
      </c>
      <c r="AT47" s="63" t="n">
        <v>624.766971026505</v>
      </c>
      <c r="AU47" s="63" t="n">
        <v>3832.23302897349</v>
      </c>
      <c r="AV47" s="87" t="n">
        <f aca="false">IF(D47="","",IF(AT47="","",(AT47-D47)/D47))</f>
        <v>-0.715368122539178</v>
      </c>
      <c r="AW47" s="87" t="n">
        <f aca="false">IF(D47="","",IF(AU47="","",(AU47-D47)/D47))</f>
        <v>0.74589204053462</v>
      </c>
      <c r="AX47" s="87" t="n">
        <v>0.0800987211128562</v>
      </c>
      <c r="AY47" s="45" t="n">
        <f aca="false">IF(D47="","",IF(AP47="","",(AP47-D47)/D47))</f>
        <v>0.0152619589977221</v>
      </c>
      <c r="AZ47" s="64" t="n">
        <f aca="false">IF(NOT(AY47=""),ABS(AY47),"")</f>
        <v>0.0152619589977221</v>
      </c>
    </row>
    <row r="48" customFormat="false" ht="12.8" hidden="false" customHeight="false" outlineLevel="0" collapsed="false">
      <c r="A48" s="56"/>
      <c r="B48" s="25"/>
      <c r="C48" s="57" t="n">
        <v>1610</v>
      </c>
      <c r="D48" s="65" t="n">
        <v>1610</v>
      </c>
      <c r="E48" s="66" t="n">
        <v>0</v>
      </c>
      <c r="F48" s="63" t="n">
        <v>0</v>
      </c>
      <c r="G48" s="63" t="n">
        <v>0</v>
      </c>
      <c r="H48" s="63" t="n">
        <v>1610</v>
      </c>
      <c r="I48" s="63" t="n">
        <v>1610</v>
      </c>
      <c r="J48" s="64" t="n">
        <v>0</v>
      </c>
      <c r="L48" s="58" t="n">
        <v>1604</v>
      </c>
      <c r="M48" s="0" t="n">
        <v>1511</v>
      </c>
      <c r="N48" s="59" t="n">
        <v>1593</v>
      </c>
      <c r="O48" s="59" t="str">
        <f aca="false">IF(A48="","",IF(L48="","",A48-L48))</f>
        <v/>
      </c>
      <c r="P48" s="59" t="str">
        <f aca="false">IF(B48="","",IF(M48="","",B48-M48))</f>
        <v/>
      </c>
      <c r="Q48" s="59" t="n">
        <f aca="false">IF(C48="","",IF(N48="","",C48-N48))</f>
        <v>17</v>
      </c>
      <c r="R48" s="65" t="n">
        <v>1569</v>
      </c>
      <c r="S48" s="66" t="n">
        <v>1721.55555555556</v>
      </c>
      <c r="T48" s="63" t="n">
        <v>41.4916323558806</v>
      </c>
      <c r="U48" s="63" t="n">
        <v>103.079247587403</v>
      </c>
      <c r="V48" s="63" t="n">
        <v>1466</v>
      </c>
      <c r="W48" s="63" t="n">
        <v>1672</v>
      </c>
      <c r="X48" s="87" t="n">
        <f aca="false">IF(D48="","",IF(V48="","",(V48-D48)/D48))</f>
        <v>-0.0894409937888199</v>
      </c>
      <c r="Y48" s="87" t="n">
        <f aca="false">IF(D48="","",IF(W48="","",(W48-D48)/D48))</f>
        <v>0.0385093167701863</v>
      </c>
      <c r="Z48" s="87" t="n">
        <v>0.0264390180687429</v>
      </c>
      <c r="AA48" s="87" t="n">
        <f aca="false">IF(D48="","",IF(R48="","",(R48-D48)/D48))</f>
        <v>-0.0254658385093168</v>
      </c>
      <c r="AB48" s="64" t="n">
        <f aca="false">IF(NOT(AA48=""),ABS(AA48),"")</f>
        <v>0.0254658385093168</v>
      </c>
      <c r="AD48" s="65" t="n">
        <v>1398.66666666667</v>
      </c>
      <c r="AE48" s="66" t="n">
        <v>59160.8888888889</v>
      </c>
      <c r="AF48" s="63" t="n">
        <v>243.230115094511</v>
      </c>
      <c r="AG48" s="63" t="n">
        <v>604.265868344084</v>
      </c>
      <c r="AH48" s="63" t="n">
        <v>794.400798322583</v>
      </c>
      <c r="AI48" s="63" t="n">
        <v>2002.93253501075</v>
      </c>
      <c r="AJ48" s="87" t="n">
        <f aca="false">IF(D48="","",IF(AH48="","",(AH48-D48)/D48))</f>
        <v>-0.506583355079141</v>
      </c>
      <c r="AK48" s="87" t="n">
        <f aca="false">IF(D48="","",IF(AI48="","",(AI48-D48)/D48))</f>
        <v>0.244057475161956</v>
      </c>
      <c r="AL48" s="87" t="n">
        <v>0.17390141689312</v>
      </c>
      <c r="AM48" s="87" t="n">
        <f aca="false">IF(D48="","",IF(AD48="","",(AD48-D48)/D48))</f>
        <v>-0.13126293995859</v>
      </c>
      <c r="AN48" s="64" t="n">
        <f aca="false">IF(NOT(AM48=""),ABS(AM48),"")</f>
        <v>0.13126293995859</v>
      </c>
      <c r="AP48" s="65"/>
      <c r="AQ48" s="66"/>
      <c r="AR48" s="63"/>
      <c r="AS48" s="63"/>
      <c r="AT48" s="63"/>
      <c r="AU48" s="63"/>
      <c r="AV48" s="87" t="str">
        <f aca="false">IF(D48="","",IF(AT48="","",(AT48-D48)/D48))</f>
        <v/>
      </c>
      <c r="AW48" s="87" t="str">
        <f aca="false">IF(D48="","",IF(AU48="","",(AU48-D48)/D48))</f>
        <v/>
      </c>
      <c r="AX48" s="87"/>
      <c r="AY48" s="45" t="str">
        <f aca="false">IF(D48="","",IF(AP48="","",(AP48-D48)/D48))</f>
        <v/>
      </c>
      <c r="AZ48" s="64" t="str">
        <f aca="false">IF(NOT(AY48=""),ABS(AY48),"")</f>
        <v/>
      </c>
    </row>
    <row r="49" customFormat="false" ht="12.8" hidden="false" customHeight="false" outlineLevel="0" collapsed="false">
      <c r="A49" s="56" t="n">
        <v>1507</v>
      </c>
      <c r="B49" s="25" t="n">
        <v>1198</v>
      </c>
      <c r="C49" s="57" t="n">
        <v>1239</v>
      </c>
      <c r="D49" s="65" t="n">
        <v>1314.66666666667</v>
      </c>
      <c r="E49" s="66" t="n">
        <v>18776.2222222222</v>
      </c>
      <c r="F49" s="63" t="n">
        <v>137.026355940097</v>
      </c>
      <c r="G49" s="63" t="n">
        <v>340.419811609245</v>
      </c>
      <c r="H49" s="63" t="n">
        <v>974.246855057422</v>
      </c>
      <c r="I49" s="63" t="n">
        <v>1655.08647827591</v>
      </c>
      <c r="J49" s="64" t="n">
        <v>0.104228972571068</v>
      </c>
      <c r="L49" s="58" t="n">
        <v>1097</v>
      </c>
      <c r="M49" s="0" t="n">
        <v>1207</v>
      </c>
      <c r="N49" s="59" t="n">
        <v>1266</v>
      </c>
      <c r="O49" s="59" t="n">
        <f aca="false">IF(A49="","",IF(L49="","",A49-L49))</f>
        <v>410</v>
      </c>
      <c r="P49" s="59" t="n">
        <f aca="false">IF(B49="","",IF(M49="","",B49-M49))</f>
        <v>-9</v>
      </c>
      <c r="Q49" s="59" t="n">
        <f aca="false">IF(C49="","",IF(N49="","",C49-N49))</f>
        <v>-27</v>
      </c>
      <c r="R49" s="65" t="n">
        <v>1190</v>
      </c>
      <c r="S49" s="66" t="n">
        <v>4904.66666666667</v>
      </c>
      <c r="T49" s="63" t="n">
        <v>70.0333254006024</v>
      </c>
      <c r="U49" s="63" t="n">
        <v>173.986466148631</v>
      </c>
      <c r="V49" s="63" t="n">
        <v>1016</v>
      </c>
      <c r="W49" s="63" t="n">
        <v>1364</v>
      </c>
      <c r="X49" s="87" t="n">
        <f aca="false">IF(D49="","",IF(V49="","",(V49-D49)/D49))</f>
        <v>-0.227180527383369</v>
      </c>
      <c r="Y49" s="87" t="n">
        <f aca="false">IF(D49="","",IF(W49="","",(W49-D49)/D49))</f>
        <v>0.0375253549695715</v>
      </c>
      <c r="Z49" s="87" t="n">
        <v>0.0588515339500861</v>
      </c>
      <c r="AA49" s="87" t="n">
        <f aca="false">IF(D49="","",IF(R49="","",(R49-D49)/D49))</f>
        <v>-0.0948275862068988</v>
      </c>
      <c r="AB49" s="64" t="n">
        <f aca="false">IF(NOT(AA49=""),ABS(AA49),"")</f>
        <v>0.0948275862068988</v>
      </c>
      <c r="AD49" s="65" t="n">
        <v>1150.66666666667</v>
      </c>
      <c r="AE49" s="66" t="n">
        <v>40868.2222222222</v>
      </c>
      <c r="AF49" s="63" t="n">
        <v>202.158903395874</v>
      </c>
      <c r="AG49" s="63" t="n">
        <v>502.231087859039</v>
      </c>
      <c r="AH49" s="63" t="n">
        <v>648.435578807627</v>
      </c>
      <c r="AI49" s="63" t="n">
        <v>1652.89775452571</v>
      </c>
      <c r="AJ49" s="87" t="n">
        <f aca="false">IF(D49="","",IF(AH49="","",(AH49-D49)/D49))</f>
        <v>-0.506768068858297</v>
      </c>
      <c r="AK49" s="87" t="n">
        <f aca="false">IF(D49="","",IF(AI49="","",(AI49-D49)/D49))</f>
        <v>0.257275168249776</v>
      </c>
      <c r="AL49" s="87" t="n">
        <v>0.175688502371849</v>
      </c>
      <c r="AM49" s="87" t="n">
        <f aca="false">IF(D49="","",IF(AD49="","",(AD49-D49)/D49))</f>
        <v>-0.124746450304259</v>
      </c>
      <c r="AN49" s="64" t="n">
        <f aca="false">IF(NOT(AM49=""),ABS(AM49),"")</f>
        <v>0.124746450304259</v>
      </c>
      <c r="AP49" s="65" t="n">
        <v>1320</v>
      </c>
      <c r="AQ49" s="66" t="n">
        <v>16384</v>
      </c>
      <c r="AR49" s="63" t="n">
        <v>128</v>
      </c>
      <c r="AS49" s="63" t="n">
        <v>1150.0158415048</v>
      </c>
      <c r="AT49" s="63" t="n">
        <v>169.984158495197</v>
      </c>
      <c r="AU49" s="63" t="n">
        <v>2470.0158415048</v>
      </c>
      <c r="AV49" s="87" t="n">
        <f aca="false">IF(D49="","",IF(AT49="","",(AT49-D49)/D49))</f>
        <v>-0.870701704998583</v>
      </c>
      <c r="AW49" s="87" t="n">
        <f aca="false">IF(D49="","",IF(AU49="","",(AU49-D49)/D49))</f>
        <v>0.878815295262267</v>
      </c>
      <c r="AX49" s="87" t="n">
        <v>0.096969696969697</v>
      </c>
      <c r="AY49" s="45" t="n">
        <f aca="false">IF(D49="","",IF(AP49="","",(AP49-D49)/D49))</f>
        <v>0.00405679513184335</v>
      </c>
      <c r="AZ49" s="64" t="n">
        <f aca="false">IF(NOT(AY49=""),ABS(AY49),"")</f>
        <v>0.00405679513184335</v>
      </c>
    </row>
    <row r="50" customFormat="false" ht="12.8" hidden="false" customHeight="false" outlineLevel="0" collapsed="false">
      <c r="A50" s="56" t="n">
        <v>1026</v>
      </c>
      <c r="B50" s="25" t="n">
        <v>970</v>
      </c>
      <c r="C50" s="57" t="n">
        <v>893</v>
      </c>
      <c r="D50" s="65" t="n">
        <v>963</v>
      </c>
      <c r="E50" s="66" t="n">
        <v>2972.66666666667</v>
      </c>
      <c r="F50" s="63" t="n">
        <v>54.5221667458903</v>
      </c>
      <c r="G50" s="63" t="n">
        <v>135.451502047371</v>
      </c>
      <c r="H50" s="63" t="n">
        <v>827.548497952629</v>
      </c>
      <c r="I50" s="63" t="n">
        <v>1098.45150204737</v>
      </c>
      <c r="J50" s="64" t="n">
        <v>0.0566169955824406</v>
      </c>
      <c r="L50" s="58" t="n">
        <v>958</v>
      </c>
      <c r="M50" s="0" t="n">
        <v>965</v>
      </c>
      <c r="N50" s="59" t="n">
        <v>953</v>
      </c>
      <c r="O50" s="59" t="n">
        <f aca="false">IF(A50="","",IF(L50="","",A50-L50))</f>
        <v>68</v>
      </c>
      <c r="P50" s="59" t="n">
        <f aca="false">IF(B50="","",IF(M50="","",B50-M50))</f>
        <v>5</v>
      </c>
      <c r="Q50" s="59" t="n">
        <f aca="false">IF(C50="","",IF(N50="","",C50-N50))</f>
        <v>-60</v>
      </c>
      <c r="R50" s="65" t="n">
        <v>959</v>
      </c>
      <c r="S50" s="66" t="n">
        <v>24.2222222222222</v>
      </c>
      <c r="T50" s="63" t="n">
        <v>4.92160768674447</v>
      </c>
      <c r="U50" s="63" t="n">
        <v>12.2269380225553</v>
      </c>
      <c r="V50" s="63" t="n">
        <v>946</v>
      </c>
      <c r="W50" s="63" t="n">
        <v>971</v>
      </c>
      <c r="X50" s="87" t="n">
        <f aca="false">IF(D50="","",IF(V50="","",(V50-D50)/D50))</f>
        <v>-0.0176531671858775</v>
      </c>
      <c r="Y50" s="87" t="n">
        <f aca="false">IF(D50="","",IF(W50="","",(W50-D50)/D50))</f>
        <v>0.0083073727933541</v>
      </c>
      <c r="Z50" s="87" t="n">
        <v>0.00513380495835654</v>
      </c>
      <c r="AA50" s="87" t="n">
        <f aca="false">IF(D50="","",IF(R50="","",(R50-D50)/D50))</f>
        <v>-0.00415368639667705</v>
      </c>
      <c r="AB50" s="64" t="n">
        <f aca="false">IF(NOT(AA50=""),ABS(AA50),"")</f>
        <v>0.00415368639667705</v>
      </c>
      <c r="AD50" s="65" t="n">
        <v>937.666666666667</v>
      </c>
      <c r="AE50" s="66" t="n">
        <v>13053.5555555556</v>
      </c>
      <c r="AF50" s="63" t="n">
        <v>114.252157771989</v>
      </c>
      <c r="AG50" s="63" t="n">
        <v>283.841000936296</v>
      </c>
      <c r="AH50" s="63" t="n">
        <v>653.82566573037</v>
      </c>
      <c r="AI50" s="63" t="n">
        <v>1221.50766760296</v>
      </c>
      <c r="AJ50" s="87" t="n">
        <f aca="false">IF(D50="","",IF(AH50="","",(AH50-D50)/D50))</f>
        <v>-0.321053306614361</v>
      </c>
      <c r="AK50" s="87" t="n">
        <f aca="false">IF(D50="","",IF(AI50="","",(AI50-D50)/D50))</f>
        <v>0.268439945589782</v>
      </c>
      <c r="AL50" s="87" t="n">
        <v>0.121847306546736</v>
      </c>
      <c r="AM50" s="87" t="n">
        <f aca="false">IF(D50="","",IF(AD50="","",(AD50-D50)/D50))</f>
        <v>-0.0263066805122877</v>
      </c>
      <c r="AN50" s="64" t="n">
        <f aca="false">IF(NOT(AM50=""),ABS(AM50),"")</f>
        <v>0.0263066805122877</v>
      </c>
      <c r="AP50" s="65" t="n">
        <v>921.5</v>
      </c>
      <c r="AQ50" s="66" t="n">
        <v>90.25</v>
      </c>
      <c r="AR50" s="63" t="n">
        <v>9.5</v>
      </c>
      <c r="AS50" s="63" t="n">
        <v>85.3527382366846</v>
      </c>
      <c r="AT50" s="63" t="n">
        <v>836.147261763315</v>
      </c>
      <c r="AU50" s="63" t="n">
        <v>1006.85273823668</v>
      </c>
      <c r="AV50" s="87" t="n">
        <f aca="false">IF(D50="","",IF(AT50="","",(AT50-D50)/D50))</f>
        <v>-0.131726623298738</v>
      </c>
      <c r="AW50" s="87" t="n">
        <f aca="false">IF(D50="","",IF(AU50="","",(AU50-D50)/D50))</f>
        <v>0.0455376305676843</v>
      </c>
      <c r="AX50" s="87" t="n">
        <v>0.0103092783505155</v>
      </c>
      <c r="AY50" s="45" t="n">
        <f aca="false">IF(D50="","",IF(AP50="","",(AP50-D50)/D50))</f>
        <v>-0.0430944963655244</v>
      </c>
      <c r="AZ50" s="64" t="n">
        <f aca="false">IF(NOT(AY50=""),ABS(AY50),"")</f>
        <v>0.0430944963655244</v>
      </c>
    </row>
    <row r="51" customFormat="false" ht="12.8" hidden="false" customHeight="false" outlineLevel="0" collapsed="false">
      <c r="A51" s="56" t="n">
        <v>1128</v>
      </c>
      <c r="B51" s="25" t="n">
        <v>810</v>
      </c>
      <c r="C51" s="57" t="n">
        <v>770</v>
      </c>
      <c r="D51" s="65" t="n">
        <v>902.666666666667</v>
      </c>
      <c r="E51" s="66" t="n">
        <v>25654.2222222222</v>
      </c>
      <c r="F51" s="63" t="n">
        <v>160.169354816151</v>
      </c>
      <c r="G51" s="63" t="n">
        <v>397.914847972202</v>
      </c>
      <c r="H51" s="63" t="n">
        <v>504.751818694465</v>
      </c>
      <c r="I51" s="63" t="n">
        <v>1300.58151463887</v>
      </c>
      <c r="J51" s="64" t="n">
        <v>0.177440201051866</v>
      </c>
      <c r="L51" s="58" t="n">
        <v>783</v>
      </c>
      <c r="M51" s="0" t="n">
        <v>1262</v>
      </c>
      <c r="N51" s="59" t="n">
        <v>819</v>
      </c>
      <c r="O51" s="59" t="n">
        <f aca="false">IF(A51="","",IF(L51="","",A51-L51))</f>
        <v>345</v>
      </c>
      <c r="P51" s="59" t="n">
        <f aca="false">IF(B51="","",IF(M51="","",B51-M51))</f>
        <v>-452</v>
      </c>
      <c r="Q51" s="59" t="n">
        <f aca="false">IF(C51="","",IF(N51="","",C51-N51))</f>
        <v>-49</v>
      </c>
      <c r="R51" s="65" t="n">
        <v>955</v>
      </c>
      <c r="S51" s="66" t="n">
        <v>47442.8888888889</v>
      </c>
      <c r="T51" s="63" t="n">
        <v>217.813885895479</v>
      </c>
      <c r="U51" s="63" t="n">
        <v>541.123359033437</v>
      </c>
      <c r="V51" s="63" t="n">
        <v>414</v>
      </c>
      <c r="W51" s="63" t="n">
        <v>1496</v>
      </c>
      <c r="X51" s="87" t="n">
        <f aca="false">IF(D51="","",IF(V51="","",(V51-D51)/D51))</f>
        <v>-0.541358936484491</v>
      </c>
      <c r="Y51" s="87" t="n">
        <f aca="false">IF(D51="","",IF(W51="","",(W51-D51)/D51))</f>
        <v>0.657311669128508</v>
      </c>
      <c r="Z51" s="87" t="n">
        <v>0.228157003382136</v>
      </c>
      <c r="AA51" s="87" t="n">
        <f aca="false">IF(D51="","",IF(R51="","",(R51-D51)/D51))</f>
        <v>0.0579763663220085</v>
      </c>
      <c r="AB51" s="64" t="n">
        <f aca="false">IF(NOT(AA51=""),ABS(AA51),"")</f>
        <v>0.0579763663220085</v>
      </c>
      <c r="AD51" s="65" t="n">
        <v>789</v>
      </c>
      <c r="AE51" s="66" t="n">
        <v>1742</v>
      </c>
      <c r="AF51" s="63" t="n">
        <v>41.7372735094184</v>
      </c>
      <c r="AG51" s="63" t="n">
        <v>103.689503290674</v>
      </c>
      <c r="AH51" s="63" t="n">
        <v>685.310496709326</v>
      </c>
      <c r="AI51" s="63" t="n">
        <v>892.689503290674</v>
      </c>
      <c r="AJ51" s="87" t="n">
        <f aca="false">IF(D51="","",IF(AH51="","",(AH51-D51)/D51))</f>
        <v>-0.24079339360119</v>
      </c>
      <c r="AK51" s="87" t="n">
        <f aca="false">IF(D51="","",IF(AI51="","",(AI51-D51)/D51))</f>
        <v>-0.0110529874918681</v>
      </c>
      <c r="AL51" s="87" t="n">
        <v>0.05289895248342</v>
      </c>
      <c r="AM51" s="87" t="n">
        <f aca="false">IF(D51="","",IF(AD51="","",(AD51-D51)/D51))</f>
        <v>-0.125923190546529</v>
      </c>
      <c r="AN51" s="64" t="n">
        <f aca="false">IF(NOT(AM51=""),ABS(AM51),"")</f>
        <v>0.125923190546529</v>
      </c>
      <c r="AP51" s="65" t="n">
        <v>822.5</v>
      </c>
      <c r="AQ51" s="66" t="n">
        <v>1122.25</v>
      </c>
      <c r="AR51" s="63" t="n">
        <v>33.5</v>
      </c>
      <c r="AS51" s="63" t="n">
        <v>300.980708518835</v>
      </c>
      <c r="AT51" s="63" t="n">
        <v>521.519291481165</v>
      </c>
      <c r="AU51" s="63" t="n">
        <v>1123.48070851884</v>
      </c>
      <c r="AV51" s="87" t="n">
        <f aca="false">IF(D51="","",IF(AT51="","",(AT51-D51)/D51))</f>
        <v>-0.422245984326627</v>
      </c>
      <c r="AW51" s="87" t="n">
        <f aca="false">IF(D51="","",IF(AU51="","",(AU51-D51)/D51))</f>
        <v>0.24462412317449</v>
      </c>
      <c r="AX51" s="87" t="n">
        <v>0.0407294832826748</v>
      </c>
      <c r="AY51" s="45" t="n">
        <f aca="false">IF(D51="","",IF(AP51="","",(AP51-D51)/D51))</f>
        <v>-0.0888109305760712</v>
      </c>
      <c r="AZ51" s="64" t="n">
        <f aca="false">IF(NOT(AY51=""),ABS(AY51),"")</f>
        <v>0.0888109305760712</v>
      </c>
    </row>
    <row r="52" customFormat="false" ht="12.8" hidden="false" customHeight="false" outlineLevel="0" collapsed="false">
      <c r="A52" s="56" t="n">
        <v>675</v>
      </c>
      <c r="B52" s="25" t="n">
        <v>697</v>
      </c>
      <c r="C52" s="57" t="n">
        <v>677</v>
      </c>
      <c r="D52" s="65" t="n">
        <v>683</v>
      </c>
      <c r="E52" s="66" t="n">
        <v>98.6666666666667</v>
      </c>
      <c r="F52" s="63" t="n">
        <v>9.93310961716756</v>
      </c>
      <c r="G52" s="63" t="n">
        <v>24.6772037493896</v>
      </c>
      <c r="H52" s="63" t="n">
        <v>658.32279625061</v>
      </c>
      <c r="I52" s="63" t="n">
        <v>707.67720374939</v>
      </c>
      <c r="J52" s="64" t="n">
        <v>0.0145433522945352</v>
      </c>
      <c r="L52" s="58" t="n">
        <v>745</v>
      </c>
      <c r="M52" s="0" t="n">
        <v>1048</v>
      </c>
      <c r="N52" s="59" t="n">
        <v>672</v>
      </c>
      <c r="O52" s="59" t="n">
        <f aca="false">IF(A52="","",IF(L52="","",A52-L52))</f>
        <v>-70</v>
      </c>
      <c r="P52" s="59" t="n">
        <f aca="false">IF(B52="","",IF(M52="","",B52-M52))</f>
        <v>-351</v>
      </c>
      <c r="Q52" s="59" t="n">
        <f aca="false">IF(C52="","",IF(N52="","",C52-N52))</f>
        <v>5</v>
      </c>
      <c r="R52" s="65" t="n">
        <v>822</v>
      </c>
      <c r="S52" s="66" t="n">
        <v>26501.5555555556</v>
      </c>
      <c r="T52" s="63" t="n">
        <v>162.792983741793</v>
      </c>
      <c r="U52" s="63" t="n">
        <v>404.432829556634</v>
      </c>
      <c r="V52" s="63" t="n">
        <v>417</v>
      </c>
      <c r="W52" s="63" t="n">
        <v>1226</v>
      </c>
      <c r="X52" s="87" t="n">
        <f aca="false">IF(D52="","",IF(V52="","",(V52-D52)/D52))</f>
        <v>-0.389458272327965</v>
      </c>
      <c r="Y52" s="87" t="n">
        <f aca="false">IF(D52="","",IF(W52="","",(W52-D52)/D52))</f>
        <v>0.79502196193265</v>
      </c>
      <c r="Z52" s="87" t="n">
        <v>0.198125335182709</v>
      </c>
      <c r="AA52" s="87" t="n">
        <f aca="false">IF(D52="","",IF(R52="","",(R52-D52)/D52))</f>
        <v>0.203513909224012</v>
      </c>
      <c r="AB52" s="64" t="n">
        <f aca="false">IF(NOT(AA52=""),ABS(AA52),"")</f>
        <v>0.203513909224012</v>
      </c>
      <c r="AD52" s="65" t="n">
        <v>672</v>
      </c>
      <c r="AE52" s="66" t="n">
        <v>64</v>
      </c>
      <c r="AF52" s="63" t="n">
        <v>8</v>
      </c>
      <c r="AG52" s="63" t="n">
        <v>71.8759900940502</v>
      </c>
      <c r="AH52" s="63" t="n">
        <v>600.12400990595</v>
      </c>
      <c r="AI52" s="63" t="n">
        <v>743.87599009405</v>
      </c>
      <c r="AJ52" s="87" t="n">
        <f aca="false">IF(D52="","",IF(AH52="","",(AH52-D52)/D52))</f>
        <v>-0.121341127516911</v>
      </c>
      <c r="AK52" s="87" t="n">
        <f aca="false">IF(D52="","",IF(AI52="","",(AI52-D52)/D52))</f>
        <v>0.0891302929634701</v>
      </c>
      <c r="AL52" s="87" t="n">
        <v>0.0119047619047619</v>
      </c>
      <c r="AM52" s="87" t="n">
        <f aca="false">IF(D52="","",IF(AD52="","",(AD52-D52)/D52))</f>
        <v>-0.0161054172767204</v>
      </c>
      <c r="AN52" s="64" t="n">
        <f aca="false">IF(NOT(AM52=""),ABS(AM52),"")</f>
        <v>0.0161054172767204</v>
      </c>
      <c r="AP52" s="65" t="n">
        <v>679</v>
      </c>
      <c r="AQ52" s="66" t="n">
        <v>49</v>
      </c>
      <c r="AR52" s="63" t="n">
        <v>7</v>
      </c>
      <c r="AS52" s="63" t="n">
        <v>62.8914913322939</v>
      </c>
      <c r="AT52" s="63" t="n">
        <v>616.108508667706</v>
      </c>
      <c r="AU52" s="63" t="n">
        <v>741.891491332294</v>
      </c>
      <c r="AV52" s="87" t="n">
        <f aca="false">IF(D52="","",IF(AT52="","",(AT52-D52)/D52))</f>
        <v>-0.0979377618335197</v>
      </c>
      <c r="AW52" s="87" t="n">
        <f aca="false">IF(D52="","",IF(AU52="","",(AU52-D52)/D52))</f>
        <v>0.086224731086814</v>
      </c>
      <c r="AX52" s="87" t="n">
        <v>0.0103092783505155</v>
      </c>
      <c r="AY52" s="45" t="n">
        <f aca="false">IF(D52="","",IF(AP52="","",(AP52-D52)/D52))</f>
        <v>-0.00585651537335286</v>
      </c>
      <c r="AZ52" s="64" t="n">
        <f aca="false">IF(NOT(AY52=""),ABS(AY52),"")</f>
        <v>0.00585651537335286</v>
      </c>
    </row>
    <row r="53" customFormat="false" ht="12.8" hidden="false" customHeight="false" outlineLevel="0" collapsed="false">
      <c r="A53" s="56" t="n">
        <v>609</v>
      </c>
      <c r="B53" s="25"/>
      <c r="C53" s="57"/>
      <c r="D53" s="65" t="n">
        <v>609</v>
      </c>
      <c r="E53" s="66" t="n">
        <v>0</v>
      </c>
      <c r="F53" s="63" t="n">
        <v>0</v>
      </c>
      <c r="G53" s="63" t="n">
        <v>0</v>
      </c>
      <c r="H53" s="63" t="n">
        <v>609</v>
      </c>
      <c r="I53" s="63" t="n">
        <v>609</v>
      </c>
      <c r="J53" s="64" t="n">
        <v>0</v>
      </c>
      <c r="L53" s="58"/>
      <c r="N53" s="59"/>
      <c r="O53" s="59" t="str">
        <f aca="false">IF(A53="","",IF(L53="","",A53-L53))</f>
        <v/>
      </c>
      <c r="P53" s="59" t="str">
        <f aca="false">IF(B53="","",IF(M53="","",B53-M53))</f>
        <v/>
      </c>
      <c r="Q53" s="59" t="str">
        <f aca="false">IF(C53="","",IF(N53="","",C53-N53))</f>
        <v/>
      </c>
      <c r="R53" s="65" t="str">
        <f aca="false">IF(COUNT(O53:Q53)&gt;0,AVERAGE(O53:Q53),"")</f>
        <v/>
      </c>
      <c r="S53" s="66"/>
      <c r="T53" s="63"/>
      <c r="U53" s="63"/>
      <c r="V53" s="63" t="str">
        <f aca="false">IF(R53="","",R53-U53)</f>
        <v/>
      </c>
      <c r="W53" s="63" t="str">
        <f aca="false">IF(R53="","",R53+U53)</f>
        <v/>
      </c>
      <c r="X53" s="87" t="str">
        <f aca="false">IF(D53="","",IF(V53="","",(V53-D53)/D53))</f>
        <v/>
      </c>
      <c r="Y53" s="87" t="str">
        <f aca="false">IF(D53="","",IF(W53="","",(W53-D53)/D53))</f>
        <v/>
      </c>
      <c r="Z53" s="87"/>
      <c r="AA53" s="87" t="str">
        <f aca="false">IF(D53="","",IF(R53="","",(R53-D53)/D53))</f>
        <v/>
      </c>
      <c r="AB53" s="64" t="str">
        <f aca="false">IF(NOT(AA53=""),ABS(AA53),"")</f>
        <v/>
      </c>
      <c r="AD53" s="65"/>
      <c r="AE53" s="66"/>
      <c r="AF53" s="63"/>
      <c r="AG53" s="63"/>
      <c r="AH53" s="63"/>
      <c r="AI53" s="63"/>
      <c r="AJ53" s="87" t="str">
        <f aca="false">IF(D53="","",IF(AH53="","",(AH53-D53)/D53))</f>
        <v/>
      </c>
      <c r="AK53" s="87" t="str">
        <f aca="false">IF(D53="","",IF(AI53="","",(AI53-D53)/D53))</f>
        <v/>
      </c>
      <c r="AL53" s="87"/>
      <c r="AM53" s="87" t="str">
        <f aca="false">IF(D53="","",IF(AD53="","",(AD53-D53)/D53))</f>
        <v/>
      </c>
      <c r="AN53" s="64" t="str">
        <f aca="false">IF(NOT(AM53=""),ABS(AM53),"")</f>
        <v/>
      </c>
      <c r="AP53" s="65"/>
      <c r="AQ53" s="66"/>
      <c r="AR53" s="63"/>
      <c r="AS53" s="63"/>
      <c r="AT53" s="63"/>
      <c r="AU53" s="63"/>
      <c r="AV53" s="87" t="str">
        <f aca="false">IF(D53="","",IF(AT53="","",(AT53-D53)/D53))</f>
        <v/>
      </c>
      <c r="AW53" s="87" t="str">
        <f aca="false">IF(D53="","",IF(AU53="","",(AU53-D53)/D53))</f>
        <v/>
      </c>
      <c r="AX53" s="87"/>
      <c r="AY53" s="45" t="str">
        <f aca="false">IF(D53="","",IF(AP53="","",(AP53-D53)/D53))</f>
        <v/>
      </c>
      <c r="AZ53" s="64" t="str">
        <f aca="false">IF(NOT(AY53=""),ABS(AY53),"")</f>
        <v/>
      </c>
    </row>
    <row r="54" customFormat="false" ht="12.8" hidden="false" customHeight="false" outlineLevel="0" collapsed="false">
      <c r="A54" s="56" t="n">
        <v>570</v>
      </c>
      <c r="B54" s="25"/>
      <c r="C54" s="57"/>
      <c r="D54" s="65" t="n">
        <v>570</v>
      </c>
      <c r="E54" s="66" t="n">
        <v>0</v>
      </c>
      <c r="F54" s="63" t="n">
        <v>0</v>
      </c>
      <c r="G54" s="63" t="n">
        <v>0</v>
      </c>
      <c r="H54" s="63" t="n">
        <v>570</v>
      </c>
      <c r="I54" s="63" t="n">
        <v>570</v>
      </c>
      <c r="J54" s="64" t="n">
        <v>0</v>
      </c>
      <c r="L54" s="58" t="n">
        <v>849</v>
      </c>
      <c r="N54" s="59" t="n">
        <v>959</v>
      </c>
      <c r="O54" s="59" t="n">
        <f aca="false">IF(A54="","",IF(L54="","",A54-L54))</f>
        <v>-279</v>
      </c>
      <c r="P54" s="59" t="str">
        <f aca="false">IF(B54="","",IF(M54="","",B54-M54))</f>
        <v/>
      </c>
      <c r="Q54" s="59" t="str">
        <f aca="false">IF(C54="","",IF(N54="","",C54-N54))</f>
        <v/>
      </c>
      <c r="R54" s="65" t="n">
        <v>904</v>
      </c>
      <c r="S54" s="66" t="n">
        <v>3025</v>
      </c>
      <c r="T54" s="63" t="n">
        <v>55</v>
      </c>
      <c r="U54" s="63" t="n">
        <v>494.147431896595</v>
      </c>
      <c r="V54" s="63" t="n">
        <v>410</v>
      </c>
      <c r="W54" s="63" t="n">
        <v>1398</v>
      </c>
      <c r="X54" s="87" t="n">
        <f aca="false">IF(D54="","",IF(V54="","",(V54-D54)/D54))</f>
        <v>-0.280701754385965</v>
      </c>
      <c r="Y54" s="87" t="n">
        <f aca="false">IF(D54="","",IF(W54="","",(W54-D54)/D54))</f>
        <v>1.45263157894737</v>
      </c>
      <c r="Z54" s="87" t="n">
        <v>0.0608407079646018</v>
      </c>
      <c r="AA54" s="87" t="n">
        <f aca="false">IF(D54="","",IF(R54="","",(R54-D54)/D54))</f>
        <v>0.585964912280702</v>
      </c>
      <c r="AB54" s="64" t="n">
        <f aca="false">IF(NOT(AA54=""),ABS(AA54),"")</f>
        <v>0.585964912280702</v>
      </c>
      <c r="AD54" s="65" t="n">
        <v>598</v>
      </c>
      <c r="AE54" s="66" t="n">
        <v>0</v>
      </c>
      <c r="AF54" s="63" t="n">
        <v>0</v>
      </c>
      <c r="AG54" s="63" t="n">
        <v>0</v>
      </c>
      <c r="AH54" s="63" t="n">
        <v>598</v>
      </c>
      <c r="AI54" s="63" t="n">
        <v>598</v>
      </c>
      <c r="AJ54" s="87" t="n">
        <f aca="false">IF(D54="","",IF(AH54="","",(AH54-D54)/D54))</f>
        <v>0.0491228070175439</v>
      </c>
      <c r="AK54" s="87" t="n">
        <f aca="false">IF(D54="","",IF(AI54="","",(AI54-D54)/D54))</f>
        <v>0.0491228070175439</v>
      </c>
      <c r="AL54" s="87" t="n">
        <v>0</v>
      </c>
      <c r="AM54" s="87" t="n">
        <f aca="false">IF(D54="","",IF(AD54="","",(AD54-D54)/D54))</f>
        <v>0.0491228070175439</v>
      </c>
      <c r="AN54" s="64" t="n">
        <f aca="false">IF(NOT(AM54=""),ABS(AM54),"")</f>
        <v>0.0491228070175439</v>
      </c>
      <c r="AP54" s="65" t="n">
        <v>795</v>
      </c>
      <c r="AQ54" s="66" t="n">
        <v>361</v>
      </c>
      <c r="AR54" s="63" t="n">
        <v>19</v>
      </c>
      <c r="AS54" s="63" t="n">
        <v>170.705476473369</v>
      </c>
      <c r="AT54" s="63" t="n">
        <v>624.294523526631</v>
      </c>
      <c r="AU54" s="63" t="n">
        <v>965.705476473369</v>
      </c>
      <c r="AV54" s="87" t="n">
        <f aca="false">IF(D54="","",IF(AT54="","",(AT54-D54)/D54))</f>
        <v>0.0952535500467211</v>
      </c>
      <c r="AW54" s="87" t="n">
        <f aca="false">IF(D54="","",IF(AU54="","",(AU54-D54)/D54))</f>
        <v>0.694220134163805</v>
      </c>
      <c r="AX54" s="87" t="n">
        <v>0.0238993710691824</v>
      </c>
      <c r="AY54" s="45" t="n">
        <f aca="false">IF(D54="","",IF(AP54="","",(AP54-D54)/D54))</f>
        <v>0.394736842105263</v>
      </c>
      <c r="AZ54" s="64" t="n">
        <f aca="false">IF(NOT(AY54=""),ABS(AY54),"")</f>
        <v>0.394736842105263</v>
      </c>
    </row>
    <row r="55" customFormat="false" ht="12.8" hidden="false" customHeight="false" outlineLevel="0" collapsed="false">
      <c r="A55" s="56" t="n">
        <v>386</v>
      </c>
      <c r="B55" s="25" t="n">
        <v>438</v>
      </c>
      <c r="C55" s="57" t="n">
        <v>616</v>
      </c>
      <c r="D55" s="65" t="n">
        <v>480</v>
      </c>
      <c r="E55" s="66" t="n">
        <v>9698.66666666667</v>
      </c>
      <c r="F55" s="63" t="n">
        <v>98.4818088109</v>
      </c>
      <c r="G55" s="63" t="n">
        <v>244.662120453676</v>
      </c>
      <c r="H55" s="63" t="n">
        <v>235.337879546324</v>
      </c>
      <c r="I55" s="63" t="n">
        <v>724.662120453676</v>
      </c>
      <c r="J55" s="64" t="n">
        <v>0.205170435022708</v>
      </c>
      <c r="L55" s="58" t="n">
        <v>570</v>
      </c>
      <c r="M55" s="0" t="n">
        <v>550</v>
      </c>
      <c r="N55" s="59" t="n">
        <v>559</v>
      </c>
      <c r="O55" s="59" t="n">
        <f aca="false">IF(A55="","",IF(L55="","",A55-L55))</f>
        <v>-184</v>
      </c>
      <c r="P55" s="59" t="n">
        <f aca="false">IF(B55="","",IF(M55="","",B55-M55))</f>
        <v>-112</v>
      </c>
      <c r="Q55" s="59" t="n">
        <f aca="false">IF(C55="","",IF(N55="","",C55-N55))</f>
        <v>57</v>
      </c>
      <c r="R55" s="65" t="n">
        <v>560</v>
      </c>
      <c r="S55" s="66" t="n">
        <v>66.8888888888889</v>
      </c>
      <c r="T55" s="63" t="n">
        <v>8.17856276425687</v>
      </c>
      <c r="U55" s="63" t="n">
        <v>20.3183159644108</v>
      </c>
      <c r="V55" s="63" t="n">
        <v>539</v>
      </c>
      <c r="W55" s="63" t="n">
        <v>580</v>
      </c>
      <c r="X55" s="87" t="n">
        <f aca="false">IF(D55="","",IF(V55="","",(V55-D55)/D55))</f>
        <v>0.122916666666667</v>
      </c>
      <c r="Y55" s="87" t="n">
        <f aca="false">IF(D55="","",IF(W55="","",(W55-D55)/D55))</f>
        <v>0.208333333333333</v>
      </c>
      <c r="Z55" s="87" t="n">
        <v>0.0146132747425674</v>
      </c>
      <c r="AA55" s="87" t="n">
        <f aca="false">IF(D55="","",IF(R55="","",(R55-D55)/D55))</f>
        <v>0.166666666666667</v>
      </c>
      <c r="AB55" s="64" t="n">
        <f aca="false">IF(NOT(AA55=""),ABS(AA55),"")</f>
        <v>0.166666666666667</v>
      </c>
      <c r="AD55" s="65" t="n">
        <v>499</v>
      </c>
      <c r="AE55" s="66" t="n">
        <v>232.666666666667</v>
      </c>
      <c r="AF55" s="63" t="n">
        <v>15.2534149181967</v>
      </c>
      <c r="AG55" s="63" t="n">
        <v>37.8946414886796</v>
      </c>
      <c r="AH55" s="63" t="n">
        <v>461.10535851132</v>
      </c>
      <c r="AI55" s="63" t="n">
        <v>536.89464148868</v>
      </c>
      <c r="AJ55" s="87" t="n">
        <f aca="false">IF(D55="","",IF(AH55="","",(AH55-D55)/D55))</f>
        <v>-0.03936383643475</v>
      </c>
      <c r="AK55" s="87" t="n">
        <f aca="false">IF(D55="","",IF(AI55="","",(AI55-D55)/D55))</f>
        <v>0.118530503101417</v>
      </c>
      <c r="AL55" s="87" t="n">
        <v>0.0305679657679293</v>
      </c>
      <c r="AM55" s="87" t="n">
        <f aca="false">IF(D55="","",IF(AD55="","",(AD55-D55)/D55))</f>
        <v>0.0395833333333333</v>
      </c>
      <c r="AN55" s="64" t="n">
        <f aca="false">IF(NOT(AM55=""),ABS(AM55),"")</f>
        <v>0.0395833333333333</v>
      </c>
      <c r="AP55" s="65" t="n">
        <v>554</v>
      </c>
      <c r="AQ55" s="66" t="n">
        <v>14400</v>
      </c>
      <c r="AR55" s="63" t="n">
        <v>120</v>
      </c>
      <c r="AS55" s="63" t="n">
        <v>1078.13985141075</v>
      </c>
      <c r="AT55" s="63" t="n">
        <v>-524.139851410753</v>
      </c>
      <c r="AU55" s="63" t="n">
        <v>1632.13985141075</v>
      </c>
      <c r="AV55" s="87" t="n">
        <f aca="false">IF(D55="","",IF(AT55="","",(AT55-D55)/D55))</f>
        <v>-2.0919580237724</v>
      </c>
      <c r="AW55" s="87" t="n">
        <f aca="false">IF(D55="","",IF(AU55="","",(AU55-D55)/D55))</f>
        <v>2.40029135710573</v>
      </c>
      <c r="AX55" s="87" t="n">
        <v>0.216606498194946</v>
      </c>
      <c r="AY55" s="45" t="n">
        <f aca="false">IF(D55="","",IF(AP55="","",(AP55-D55)/D55))</f>
        <v>0.154166666666667</v>
      </c>
      <c r="AZ55" s="64" t="n">
        <f aca="false">IF(NOT(AY55=""),ABS(AY55),"")</f>
        <v>0.154166666666667</v>
      </c>
    </row>
    <row r="56" customFormat="false" ht="12.8" hidden="false" customHeight="false" outlineLevel="0" collapsed="false">
      <c r="A56" s="56" t="n">
        <v>340</v>
      </c>
      <c r="B56" s="25" t="n">
        <v>372</v>
      </c>
      <c r="C56" s="57" t="n">
        <v>648</v>
      </c>
      <c r="D56" s="65" t="n">
        <v>453.333333333333</v>
      </c>
      <c r="E56" s="66" t="n">
        <v>19118.2222222222</v>
      </c>
      <c r="F56" s="63" t="n">
        <v>138.268659580623</v>
      </c>
      <c r="G56" s="63" t="n">
        <v>343.506114009742</v>
      </c>
      <c r="H56" s="63" t="n">
        <v>109.827219323591</v>
      </c>
      <c r="I56" s="63" t="n">
        <v>796.839447343076</v>
      </c>
      <c r="J56" s="64" t="n">
        <v>0.305004396133727</v>
      </c>
      <c r="L56" s="58" t="n">
        <v>511</v>
      </c>
      <c r="M56" s="0" t="n">
        <v>578</v>
      </c>
      <c r="N56" s="59" t="n">
        <v>446</v>
      </c>
      <c r="O56" s="59" t="n">
        <f aca="false">IF(A56="","",IF(L56="","",A56-L56))</f>
        <v>-171</v>
      </c>
      <c r="P56" s="59" t="n">
        <f aca="false">IF(B56="","",IF(M56="","",B56-M56))</f>
        <v>-206</v>
      </c>
      <c r="Q56" s="59" t="n">
        <f aca="false">IF(C56="","",IF(N56="","",C56-N56))</f>
        <v>202</v>
      </c>
      <c r="R56" s="65" t="n">
        <v>512</v>
      </c>
      <c r="S56" s="66" t="n">
        <v>2904.22222222222</v>
      </c>
      <c r="T56" s="63" t="n">
        <v>53.8908361618395</v>
      </c>
      <c r="U56" s="63" t="n">
        <v>133.88306335533</v>
      </c>
      <c r="V56" s="63" t="n">
        <v>378</v>
      </c>
      <c r="W56" s="63" t="n">
        <v>646</v>
      </c>
      <c r="X56" s="87" t="n">
        <f aca="false">IF(D56="","",IF(V56="","",(V56-D56)/D56))</f>
        <v>-0.166176470588235</v>
      </c>
      <c r="Y56" s="87" t="n">
        <f aca="false">IF(D56="","",IF(W56="","",(W56-D56)/D56))</f>
        <v>0.425000000000001</v>
      </c>
      <c r="Z56" s="87" t="n">
        <v>0.105324109762553</v>
      </c>
      <c r="AA56" s="87" t="n">
        <f aca="false">IF(D56="","",IF(R56="","",(R56-D56)/D56))</f>
        <v>0.129411764705883</v>
      </c>
      <c r="AB56" s="64" t="n">
        <f aca="false">IF(NOT(AA56=""),ABS(AA56),"")</f>
        <v>0.129411764705883</v>
      </c>
      <c r="AD56" s="65" t="n">
        <v>433.333333333333</v>
      </c>
      <c r="AE56" s="66" t="n">
        <v>7466.88888888889</v>
      </c>
      <c r="AF56" s="63" t="n">
        <v>86.4111618304539</v>
      </c>
      <c r="AG56" s="63" t="n">
        <v>214.674550960975</v>
      </c>
      <c r="AH56" s="63" t="n">
        <v>218.658782372358</v>
      </c>
      <c r="AI56" s="63" t="n">
        <v>648.007884294308</v>
      </c>
      <c r="AJ56" s="87" t="n">
        <f aca="false">IF(D56="","",IF(AH56="","",(AH56-D56)/D56))</f>
        <v>-0.51766445064921</v>
      </c>
      <c r="AK56" s="87" t="n">
        <f aca="false">IF(D56="","",IF(AI56="","",(AI56-D56)/D56))</f>
        <v>0.429429156531563</v>
      </c>
      <c r="AL56" s="87" t="n">
        <v>0.199410373454894</v>
      </c>
      <c r="AM56" s="87" t="n">
        <f aca="false">IF(D56="","",IF(AD56="","",(AD56-D56)/D56))</f>
        <v>-0.0441176470588236</v>
      </c>
      <c r="AN56" s="64" t="n">
        <f aca="false">IF(NOT(AM56=""),ABS(AM56),"")</f>
        <v>0.0441176470588236</v>
      </c>
      <c r="AP56" s="65" t="n">
        <v>395</v>
      </c>
      <c r="AQ56" s="66" t="n">
        <v>529</v>
      </c>
      <c r="AR56" s="63" t="n">
        <v>23</v>
      </c>
      <c r="AS56" s="63" t="n">
        <v>206.643471520394</v>
      </c>
      <c r="AT56" s="63" t="n">
        <v>188.356528479606</v>
      </c>
      <c r="AU56" s="63" t="n">
        <v>601.643471520394</v>
      </c>
      <c r="AV56" s="87" t="n">
        <f aca="false">IF(D56="","",IF(AT56="","",(AT56-D56)/D56))</f>
        <v>-0.584507657765575</v>
      </c>
      <c r="AW56" s="87" t="n">
        <f aca="false">IF(D56="","",IF(AU56="","",(AU56-D56)/D56))</f>
        <v>0.327154716589105</v>
      </c>
      <c r="AX56" s="87" t="n">
        <v>0.0582278481012658</v>
      </c>
      <c r="AY56" s="45" t="n">
        <f aca="false">IF(D56="","",IF(AP56="","",(AP56-D56)/D56))</f>
        <v>-0.128676470588235</v>
      </c>
      <c r="AZ56" s="64" t="n">
        <f aca="false">IF(NOT(AY56=""),ABS(AY56),"")</f>
        <v>0.128676470588235</v>
      </c>
    </row>
    <row r="57" customFormat="false" ht="12.8" hidden="false" customHeight="false" outlineLevel="0" collapsed="false">
      <c r="A57" s="56" t="n">
        <v>282</v>
      </c>
      <c r="B57" s="25" t="n">
        <v>323</v>
      </c>
      <c r="C57" s="57" t="n">
        <v>358</v>
      </c>
      <c r="D57" s="65" t="n">
        <v>321</v>
      </c>
      <c r="E57" s="66" t="n">
        <v>964.666666666667</v>
      </c>
      <c r="F57" s="63" t="n">
        <v>31.0590834807898</v>
      </c>
      <c r="G57" s="63" t="n">
        <v>77.1612678068184</v>
      </c>
      <c r="H57" s="63" t="n">
        <v>243.838732193182</v>
      </c>
      <c r="I57" s="63" t="n">
        <v>398.161267806818</v>
      </c>
      <c r="J57" s="64" t="n">
        <v>0.09675726941056</v>
      </c>
      <c r="L57" s="58" t="n">
        <v>311</v>
      </c>
      <c r="M57" s="0" t="n">
        <v>346</v>
      </c>
      <c r="N57" s="59" t="n">
        <v>429</v>
      </c>
      <c r="O57" s="59" t="n">
        <f aca="false">IF(A57="","",IF(L57="","",A57-L57))</f>
        <v>-29</v>
      </c>
      <c r="P57" s="59" t="n">
        <f aca="false">IF(B57="","",IF(M57="","",B57-M57))</f>
        <v>-23</v>
      </c>
      <c r="Q57" s="59" t="n">
        <f aca="false">IF(C57="","",IF(N57="","",C57-N57))</f>
        <v>-71</v>
      </c>
      <c r="R57" s="65" t="n">
        <v>362</v>
      </c>
      <c r="S57" s="66" t="n">
        <v>2448.66666666667</v>
      </c>
      <c r="T57" s="63" t="n">
        <v>49.4840041494892</v>
      </c>
      <c r="U57" s="63" t="n">
        <v>122.935002209388</v>
      </c>
      <c r="V57" s="63" t="n">
        <v>239</v>
      </c>
      <c r="W57" s="63" t="n">
        <v>485</v>
      </c>
      <c r="X57" s="87" t="n">
        <f aca="false">IF(D57="","",IF(V57="","",(V57-D57)/D57))</f>
        <v>-0.255451713395639</v>
      </c>
      <c r="Y57" s="87" t="n">
        <f aca="false">IF(D57="","",IF(W57="","",(W57-D57)/D57))</f>
        <v>0.510903426791277</v>
      </c>
      <c r="Z57" s="87" t="n">
        <v>0.136696144059363</v>
      </c>
      <c r="AA57" s="87" t="n">
        <f aca="false">IF(D57="","",IF(R57="","",(R57-D57)/D57))</f>
        <v>0.127725856697819</v>
      </c>
      <c r="AB57" s="64" t="n">
        <f aca="false">IF(NOT(AA57=""),ABS(AA57),"")</f>
        <v>0.127725856697819</v>
      </c>
      <c r="AD57" s="65" t="n">
        <v>350.666666666667</v>
      </c>
      <c r="AE57" s="66" t="n">
        <v>3672.22222222222</v>
      </c>
      <c r="AF57" s="63" t="n">
        <v>60.5988632089928</v>
      </c>
      <c r="AG57" s="63" t="n">
        <v>150.548071251037</v>
      </c>
      <c r="AH57" s="63" t="n">
        <v>200.118595415629</v>
      </c>
      <c r="AI57" s="63" t="n">
        <v>501.214737917704</v>
      </c>
      <c r="AJ57" s="87" t="n">
        <f aca="false">IF(D57="","",IF(AH57="","",(AH57-D57)/D57))</f>
        <v>-0.376577584374988</v>
      </c>
      <c r="AK57" s="87" t="n">
        <f aca="false">IF(D57="","",IF(AI57="","",(AI57-D57)/D57))</f>
        <v>0.561416629027115</v>
      </c>
      <c r="AL57" s="87" t="n">
        <v>0.172810446413478</v>
      </c>
      <c r="AM57" s="87" t="n">
        <f aca="false">IF(D57="","",IF(AD57="","",(AD57-D57)/D57))</f>
        <v>0.0924195223260655</v>
      </c>
      <c r="AN57" s="64" t="n">
        <f aca="false">IF(NOT(AM57=""),ABS(AM57),"")</f>
        <v>0.0924195223260655</v>
      </c>
      <c r="AP57" s="65" t="n">
        <v>344</v>
      </c>
      <c r="AQ57" s="66" t="n">
        <v>16</v>
      </c>
      <c r="AR57" s="63" t="n">
        <v>4</v>
      </c>
      <c r="AS57" s="63" t="n">
        <v>35.9379950470251</v>
      </c>
      <c r="AT57" s="63" t="n">
        <v>308.062004952975</v>
      </c>
      <c r="AU57" s="63" t="n">
        <v>379.937995047025</v>
      </c>
      <c r="AV57" s="87" t="n">
        <f aca="false">IF(D57="","",IF(AT57="","",(AT57-D57)/D57))</f>
        <v>-0.0403052805203272</v>
      </c>
      <c r="AW57" s="87" t="n">
        <f aca="false">IF(D57="","",IF(AU57="","",(AU57-D57)/D57))</f>
        <v>0.183607461205685</v>
      </c>
      <c r="AX57" s="87" t="n">
        <v>0.0116279069767442</v>
      </c>
      <c r="AY57" s="45" t="n">
        <f aca="false">IF(D57="","",IF(AP57="","",(AP57-D57)/D57))</f>
        <v>0.0716510903426791</v>
      </c>
      <c r="AZ57" s="64" t="n">
        <f aca="false">IF(NOT(AY57=""),ABS(AY57),"")</f>
        <v>0.0716510903426791</v>
      </c>
    </row>
    <row r="58" customFormat="false" ht="12.8" hidden="false" customHeight="false" outlineLevel="0" collapsed="false">
      <c r="A58" s="56" t="n">
        <v>226</v>
      </c>
      <c r="B58" s="25" t="n">
        <v>283</v>
      </c>
      <c r="C58" s="57" t="n">
        <v>241</v>
      </c>
      <c r="D58" s="65" t="n">
        <v>250</v>
      </c>
      <c r="E58" s="66" t="n">
        <v>582</v>
      </c>
      <c r="F58" s="63" t="n">
        <v>24.1246761636296</v>
      </c>
      <c r="G58" s="63" t="n">
        <v>59.9338547567233</v>
      </c>
      <c r="H58" s="63" t="n">
        <v>190.066145243277</v>
      </c>
      <c r="I58" s="63" t="n">
        <v>309.933854756723</v>
      </c>
      <c r="J58" s="64" t="n">
        <v>0.0964987046545185</v>
      </c>
      <c r="L58" s="58" t="n">
        <v>268</v>
      </c>
      <c r="M58" s="0" t="n">
        <v>282</v>
      </c>
      <c r="N58" s="59" t="n">
        <v>296</v>
      </c>
      <c r="O58" s="59" t="n">
        <f aca="false">IF(A58="","",IF(L58="","",A58-L58))</f>
        <v>-42</v>
      </c>
      <c r="P58" s="59" t="n">
        <f aca="false">IF(B58="","",IF(M58="","",B58-M58))</f>
        <v>1</v>
      </c>
      <c r="Q58" s="59" t="n">
        <f aca="false">IF(C58="","",IF(N58="","",C58-N58))</f>
        <v>-55</v>
      </c>
      <c r="R58" s="65" t="n">
        <v>282</v>
      </c>
      <c r="S58" s="66" t="n">
        <v>130.666666666667</v>
      </c>
      <c r="T58" s="63" t="n">
        <v>11.4309521329882</v>
      </c>
      <c r="U58" s="63" t="n">
        <v>28.3983511414933</v>
      </c>
      <c r="V58" s="63" t="n">
        <v>254</v>
      </c>
      <c r="W58" s="63" t="n">
        <v>310</v>
      </c>
      <c r="X58" s="87" t="n">
        <f aca="false">IF(D58="","",IF(V58="","",(V58-D58)/D58))</f>
        <v>0.016</v>
      </c>
      <c r="Y58" s="87" t="n">
        <f aca="false">IF(D58="","",IF(W58="","",(W58-D58)/D58))</f>
        <v>0.24</v>
      </c>
      <c r="Z58" s="87" t="n">
        <v>0.0405352912517311</v>
      </c>
      <c r="AA58" s="87" t="n">
        <f aca="false">IF(D58="","",IF(R58="","",(R58-D58)/D58))</f>
        <v>0.128</v>
      </c>
      <c r="AB58" s="64" t="n">
        <f aca="false">IF(NOT(AA58=""),ABS(AA58),"")</f>
        <v>0.128</v>
      </c>
      <c r="AD58" s="65" t="n">
        <v>307.333333333333</v>
      </c>
      <c r="AE58" s="66" t="n">
        <v>5302.88888888889</v>
      </c>
      <c r="AF58" s="63" t="n">
        <v>72.8209371601938</v>
      </c>
      <c r="AG58" s="63" t="n">
        <v>180.911836552955</v>
      </c>
      <c r="AH58" s="63" t="n">
        <v>126.421496780379</v>
      </c>
      <c r="AI58" s="63" t="n">
        <v>488.245169886288</v>
      </c>
      <c r="AJ58" s="87" t="n">
        <f aca="false">IF(D58="","",IF(AH58="","",(AH58-D58)/D58))</f>
        <v>-0.494314012878484</v>
      </c>
      <c r="AK58" s="87" t="n">
        <f aca="false">IF(D58="","",IF(AI58="","",(AI58-D58)/D58))</f>
        <v>0.952980679545152</v>
      </c>
      <c r="AL58" s="87" t="n">
        <v>0.236944480998461</v>
      </c>
      <c r="AM58" s="87" t="n">
        <f aca="false">IF(D58="","",IF(AD58="","",(AD58-D58)/D58))</f>
        <v>0.229333333333332</v>
      </c>
      <c r="AN58" s="64" t="n">
        <f aca="false">IF(NOT(AM58=""),ABS(AM58),"")</f>
        <v>0.229333333333332</v>
      </c>
      <c r="AP58" s="65" t="n">
        <v>346.5</v>
      </c>
      <c r="AQ58" s="66" t="n">
        <v>306.25</v>
      </c>
      <c r="AR58" s="63" t="n">
        <v>17.5</v>
      </c>
      <c r="AS58" s="63" t="n">
        <v>157.228728330735</v>
      </c>
      <c r="AT58" s="63" t="n">
        <v>189.271271669265</v>
      </c>
      <c r="AU58" s="63" t="n">
        <v>503.728728330735</v>
      </c>
      <c r="AV58" s="87" t="n">
        <f aca="false">IF(D58="","",IF(AT58="","",(AT58-D58)/D58))</f>
        <v>-0.24291491332294</v>
      </c>
      <c r="AW58" s="87" t="n">
        <f aca="false">IF(D58="","",IF(AU58="","",(AU58-D58)/D58))</f>
        <v>1.01491491332294</v>
      </c>
      <c r="AX58" s="87" t="n">
        <v>0.0505050505050505</v>
      </c>
      <c r="AY58" s="45" t="n">
        <f aca="false">IF(D58="","",IF(AP58="","",(AP58-D58)/D58))</f>
        <v>0.386</v>
      </c>
      <c r="AZ58" s="64" t="n">
        <f aca="false">IF(NOT(AY58=""),ABS(AY58),"")</f>
        <v>0.386</v>
      </c>
    </row>
    <row r="59" customFormat="false" ht="12.8" hidden="false" customHeight="false" outlineLevel="0" collapsed="false">
      <c r="A59" s="56" t="n">
        <v>195</v>
      </c>
      <c r="B59" s="25" t="n">
        <v>249</v>
      </c>
      <c r="C59" s="57" t="n">
        <v>242</v>
      </c>
      <c r="D59" s="65" t="n">
        <v>228.666666666667</v>
      </c>
      <c r="E59" s="66" t="n">
        <v>574.888888888889</v>
      </c>
      <c r="F59" s="63" t="n">
        <v>23.9768406778059</v>
      </c>
      <c r="G59" s="63" t="n">
        <v>59.5665814107454</v>
      </c>
      <c r="H59" s="63" t="n">
        <v>169.100085255921</v>
      </c>
      <c r="I59" s="63" t="n">
        <v>288.233248077412</v>
      </c>
      <c r="J59" s="64" t="n">
        <v>0.104854988386906</v>
      </c>
      <c r="L59" s="58" t="n">
        <v>252</v>
      </c>
      <c r="M59" s="0" t="n">
        <v>341</v>
      </c>
      <c r="N59" s="59" t="n">
        <v>256</v>
      </c>
      <c r="O59" s="59" t="n">
        <f aca="false">IF(A59="","",IF(L59="","",A59-L59))</f>
        <v>-57</v>
      </c>
      <c r="P59" s="59" t="n">
        <f aca="false">IF(B59="","",IF(M59="","",B59-M59))</f>
        <v>-92</v>
      </c>
      <c r="Q59" s="59" t="n">
        <f aca="false">IF(C59="","",IF(N59="","",C59-N59))</f>
        <v>-14</v>
      </c>
      <c r="R59" s="65" t="n">
        <v>283</v>
      </c>
      <c r="S59" s="66" t="n">
        <v>1684.66666666667</v>
      </c>
      <c r="T59" s="63" t="n">
        <v>41.0446910899165</v>
      </c>
      <c r="U59" s="63" t="n">
        <v>101.968894323492</v>
      </c>
      <c r="V59" s="63" t="n">
        <v>181</v>
      </c>
      <c r="W59" s="63" t="n">
        <v>385</v>
      </c>
      <c r="X59" s="87" t="n">
        <f aca="false">IF(D59="","",IF(V59="","",(V59-D59)/D59))</f>
        <v>-0.208454810495628</v>
      </c>
      <c r="Y59" s="87" t="n">
        <f aca="false">IF(D59="","",IF(W59="","",(W59-D59)/D59))</f>
        <v>0.683673469387753</v>
      </c>
      <c r="Z59" s="87" t="n">
        <v>0.14503424413398</v>
      </c>
      <c r="AA59" s="87" t="n">
        <f aca="false">IF(D59="","",IF(R59="","",(R59-D59)/D59))</f>
        <v>0.237609329446062</v>
      </c>
      <c r="AB59" s="64" t="n">
        <f aca="false">IF(NOT(AA59=""),ABS(AA59),"")</f>
        <v>0.237609329446062</v>
      </c>
      <c r="AD59" s="65" t="n">
        <v>244</v>
      </c>
      <c r="AE59" s="66" t="n">
        <v>542</v>
      </c>
      <c r="AF59" s="63" t="n">
        <v>23.2808934536456</v>
      </c>
      <c r="AG59" s="63" t="n">
        <v>57.8376131307877</v>
      </c>
      <c r="AH59" s="63" t="n">
        <v>186.162386869212</v>
      </c>
      <c r="AI59" s="63" t="n">
        <v>301.837613130788</v>
      </c>
      <c r="AJ59" s="87" t="n">
        <f aca="false">IF(D59="","",IF(AH59="","",(AH59-D59)/D59))</f>
        <v>-0.185878774624438</v>
      </c>
      <c r="AK59" s="87" t="n">
        <f aca="false">IF(D59="","",IF(AI59="","",(AI59-D59)/D59))</f>
        <v>0.319989561796447</v>
      </c>
      <c r="AL59" s="87" t="n">
        <v>0.0954134977608428</v>
      </c>
      <c r="AM59" s="87" t="n">
        <f aca="false">IF(D59="","",IF(AD59="","",(AD59-D59)/D59))</f>
        <v>0.0670553935860043</v>
      </c>
      <c r="AN59" s="64" t="n">
        <f aca="false">IF(NOT(AM59=""),ABS(AM59),"")</f>
        <v>0.0670553935860043</v>
      </c>
      <c r="AP59" s="65" t="n">
        <v>247</v>
      </c>
      <c r="AQ59" s="66" t="n">
        <v>36</v>
      </c>
      <c r="AR59" s="63" t="n">
        <v>6</v>
      </c>
      <c r="AS59" s="63" t="n">
        <v>53.9069925705376</v>
      </c>
      <c r="AT59" s="63" t="n">
        <v>193.093007429462</v>
      </c>
      <c r="AU59" s="63" t="n">
        <v>300.906992570538</v>
      </c>
      <c r="AV59" s="87" t="n">
        <f aca="false">IF(D59="","",IF(AT59="","",(AT59-D59)/D59))</f>
        <v>-0.155569938355124</v>
      </c>
      <c r="AW59" s="87" t="n">
        <f aca="false">IF(D59="","",IF(AU59="","",(AU59-D59)/D59))</f>
        <v>0.315919792582526</v>
      </c>
      <c r="AX59" s="87" t="n">
        <v>0.0242914979757085</v>
      </c>
      <c r="AY59" s="45" t="n">
        <f aca="false">IF(D59="","",IF(AP59="","",(AP59-D59)/D59))</f>
        <v>0.0801749271137011</v>
      </c>
      <c r="AZ59" s="64" t="n">
        <f aca="false">IF(NOT(AY59=""),ABS(AY59),"")</f>
        <v>0.0801749271137011</v>
      </c>
    </row>
    <row r="60" customFormat="false" ht="12.8" hidden="false" customHeight="false" outlineLevel="0" collapsed="false">
      <c r="A60" s="56" t="n">
        <v>609</v>
      </c>
      <c r="B60" s="25" t="n">
        <v>199</v>
      </c>
      <c r="C60" s="57" t="n">
        <v>191</v>
      </c>
      <c r="D60" s="65" t="n">
        <v>333</v>
      </c>
      <c r="E60" s="66" t="n">
        <v>38098.6666666667</v>
      </c>
      <c r="F60" s="63" t="n">
        <v>195.188797492752</v>
      </c>
      <c r="G60" s="63" t="n">
        <v>484.914987447857</v>
      </c>
      <c r="H60" s="63" t="n">
        <v>-151.914987447857</v>
      </c>
      <c r="I60" s="63" t="n">
        <v>817.914987447857</v>
      </c>
      <c r="J60" s="64" t="n">
        <v>0.58615254502328</v>
      </c>
      <c r="L60" s="58" t="n">
        <v>322</v>
      </c>
      <c r="M60" s="0" t="n">
        <v>224</v>
      </c>
      <c r="N60" s="59" t="n">
        <v>220</v>
      </c>
      <c r="O60" s="59" t="n">
        <f aca="false">IF(A60="","",IF(L60="","",A60-L60))</f>
        <v>287</v>
      </c>
      <c r="P60" s="59" t="n">
        <f aca="false">IF(B60="","",IF(M60="","",B60-M60))</f>
        <v>-25</v>
      </c>
      <c r="Q60" s="59" t="n">
        <f aca="false">IF(C60="","",IF(N60="","",C60-N60))</f>
        <v>-29</v>
      </c>
      <c r="R60" s="65" t="n">
        <v>255</v>
      </c>
      <c r="S60" s="66" t="n">
        <v>2224.88888888889</v>
      </c>
      <c r="T60" s="63" t="n">
        <v>47.1687278701566</v>
      </c>
      <c r="U60" s="63" t="n">
        <v>117.183072885818</v>
      </c>
      <c r="V60" s="63" t="n">
        <v>138</v>
      </c>
      <c r="W60" s="63" t="n">
        <v>373</v>
      </c>
      <c r="X60" s="87" t="n">
        <f aca="false">IF(D60="","",IF(V60="","",(V60-D60)/D60))</f>
        <v>-0.585585585585586</v>
      </c>
      <c r="Y60" s="87" t="n">
        <f aca="false">IF(D60="","",IF(W60="","",(W60-D60)/D60))</f>
        <v>0.12012012012012</v>
      </c>
      <c r="Z60" s="87" t="n">
        <v>0.184733921162493</v>
      </c>
      <c r="AA60" s="87" t="n">
        <f aca="false">IF(D60="","",IF(R60="","",(R60-D60)/D60))</f>
        <v>-0.234234234234234</v>
      </c>
      <c r="AB60" s="64" t="n">
        <f aca="false">IF(NOT(AA60=""),ABS(AA60),"")</f>
        <v>0.234234234234234</v>
      </c>
      <c r="AD60" s="65" t="n">
        <v>193.666666666667</v>
      </c>
      <c r="AE60" s="66" t="n">
        <v>44.2222222222222</v>
      </c>
      <c r="AF60" s="63" t="n">
        <v>6.64997911442</v>
      </c>
      <c r="AG60" s="63" t="n">
        <v>16.5207971985033</v>
      </c>
      <c r="AH60" s="63" t="n">
        <v>177.145869468163</v>
      </c>
      <c r="AI60" s="63" t="n">
        <v>210.18746386517</v>
      </c>
      <c r="AJ60" s="87" t="n">
        <f aca="false">IF(D60="","",IF(AH60="","",(AH60-D60)/D60))</f>
        <v>-0.468030422017529</v>
      </c>
      <c r="AK60" s="87" t="n">
        <f aca="false">IF(D60="","",IF(AI60="","",(AI60-D60)/D60))</f>
        <v>-0.368806414819309</v>
      </c>
      <c r="AL60" s="87" t="n">
        <v>0.0343372415546644</v>
      </c>
      <c r="AM60" s="87" t="n">
        <f aca="false">IF(D60="","",IF(AD60="","",(AD60-D60)/D60))</f>
        <v>-0.418418418418417</v>
      </c>
      <c r="AN60" s="64" t="n">
        <f aca="false">IF(NOT(AM60=""),ABS(AM60),"")</f>
        <v>0.418418418418417</v>
      </c>
      <c r="AP60" s="65" t="n">
        <v>222.5</v>
      </c>
      <c r="AQ60" s="66" t="n">
        <v>110.25</v>
      </c>
      <c r="AR60" s="63" t="n">
        <v>10.5</v>
      </c>
      <c r="AS60" s="63" t="n">
        <v>94.3372369984409</v>
      </c>
      <c r="AT60" s="63" t="n">
        <v>128.162763001559</v>
      </c>
      <c r="AU60" s="63" t="n">
        <v>316.837236998441</v>
      </c>
      <c r="AV60" s="87" t="n">
        <f aca="false">IF(D60="","",IF(AT60="","",(AT60-D60)/D60))</f>
        <v>-0.615126837833156</v>
      </c>
      <c r="AW60" s="87" t="n">
        <f aca="false">IF(D60="","",IF(AU60="","",(AU60-D60)/D60))</f>
        <v>-0.0485368258305074</v>
      </c>
      <c r="AX60" s="87" t="n">
        <v>0.0471910112359551</v>
      </c>
      <c r="AY60" s="45" t="n">
        <f aca="false">IF(D60="","",IF(AP60="","",(AP60-D60)/D60))</f>
        <v>-0.331831831831832</v>
      </c>
      <c r="AZ60" s="64" t="n">
        <f aca="false">IF(NOT(AY60=""),ABS(AY60),"")</f>
        <v>0.331831831831832</v>
      </c>
    </row>
    <row r="61" customFormat="false" ht="12.8" hidden="false" customHeight="false" outlineLevel="0" collapsed="false">
      <c r="A61" s="56" t="n">
        <v>570</v>
      </c>
      <c r="B61" s="25" t="n">
        <v>188</v>
      </c>
      <c r="C61" s="57" t="n">
        <v>168</v>
      </c>
      <c r="D61" s="65" t="n">
        <v>308.666666666667</v>
      </c>
      <c r="E61" s="66" t="n">
        <v>34214.2222222222</v>
      </c>
      <c r="F61" s="63" t="n">
        <v>184.97086857725</v>
      </c>
      <c r="G61" s="63" t="n">
        <v>459.530196233146</v>
      </c>
      <c r="H61" s="63" t="n">
        <v>-150.86352956648</v>
      </c>
      <c r="I61" s="63" t="n">
        <v>768.196862899813</v>
      </c>
      <c r="J61" s="64" t="n">
        <v>0.599257673576403</v>
      </c>
      <c r="L61" s="58" t="n">
        <v>202</v>
      </c>
      <c r="M61" s="0" t="n">
        <v>188</v>
      </c>
      <c r="N61" s="59" t="n">
        <v>190</v>
      </c>
      <c r="O61" s="59" t="n">
        <f aca="false">IF(A61="","",IF(L61="","",A61-L61))</f>
        <v>368</v>
      </c>
      <c r="P61" s="59" t="n">
        <f aca="false">IF(B61="","",IF(M61="","",B61-M61))</f>
        <v>0</v>
      </c>
      <c r="Q61" s="59" t="n">
        <f aca="false">IF(C61="","",IF(N61="","",C61-N61))</f>
        <v>-22</v>
      </c>
      <c r="R61" s="65" t="n">
        <v>193</v>
      </c>
      <c r="S61" s="66" t="n">
        <v>38.2222222222222</v>
      </c>
      <c r="T61" s="63" t="n">
        <v>6.18241233033047</v>
      </c>
      <c r="U61" s="63" t="n">
        <v>15.359203171847</v>
      </c>
      <c r="V61" s="63" t="n">
        <v>178</v>
      </c>
      <c r="W61" s="63" t="n">
        <v>209</v>
      </c>
      <c r="X61" s="87" t="n">
        <f aca="false">IF(D61="","",IF(V61="","",(V61-D61)/D61))</f>
        <v>-0.423326133909288</v>
      </c>
      <c r="Y61" s="87" t="n">
        <f aca="false">IF(D61="","",IF(W61="","",(W61-D61)/D61))</f>
        <v>-0.322894168466523</v>
      </c>
      <c r="Z61" s="87" t="n">
        <v>0.0319779948120542</v>
      </c>
      <c r="AA61" s="87" t="n">
        <f aca="false">IF(D61="","",IF(R61="","",(R61-D61)/D61))</f>
        <v>-0.374730021598273</v>
      </c>
      <c r="AB61" s="64" t="n">
        <f aca="false">IF(NOT(AA61=""),ABS(AA61),"")</f>
        <v>0.374730021598273</v>
      </c>
      <c r="AD61" s="65" t="n">
        <v>177.666666666667</v>
      </c>
      <c r="AE61" s="66" t="n">
        <v>49.5555555555556</v>
      </c>
      <c r="AF61" s="63" t="n">
        <v>7.03957069398096</v>
      </c>
      <c r="AG61" s="63" t="n">
        <v>17.4886744452475</v>
      </c>
      <c r="AH61" s="63" t="n">
        <v>160.177992221419</v>
      </c>
      <c r="AI61" s="63" t="n">
        <v>195.155341111914</v>
      </c>
      <c r="AJ61" s="87" t="n">
        <f aca="false">IF(D61="","",IF(AH61="","",(AH61-D61)/D61))</f>
        <v>-0.481064820017002</v>
      </c>
      <c r="AK61" s="87" t="n">
        <f aca="false">IF(D61="","",IF(AI61="","",(AI61-D61)/D61))</f>
        <v>-0.367747275015398</v>
      </c>
      <c r="AL61" s="87" t="n">
        <v>0.039622349121844</v>
      </c>
      <c r="AM61" s="87" t="n">
        <f aca="false">IF(D61="","",IF(AD61="","",(AD61-D61)/D61))</f>
        <v>-0.424406047516198</v>
      </c>
      <c r="AN61" s="64" t="n">
        <f aca="false">IF(NOT(AM61=""),ABS(AM61),"")</f>
        <v>0.424406047516198</v>
      </c>
      <c r="AP61" s="65" t="n">
        <v>171</v>
      </c>
      <c r="AQ61" s="66" t="n">
        <v>36</v>
      </c>
      <c r="AR61" s="63" t="n">
        <v>6</v>
      </c>
      <c r="AS61" s="63" t="n">
        <v>53.9069925705376</v>
      </c>
      <c r="AT61" s="63" t="n">
        <v>117.093007429462</v>
      </c>
      <c r="AU61" s="63" t="n">
        <v>224.906992570538</v>
      </c>
      <c r="AV61" s="87" t="n">
        <f aca="false">IF(D61="","",IF(AT61="","",(AT61-D61)/D61))</f>
        <v>-0.620649004008223</v>
      </c>
      <c r="AW61" s="87" t="n">
        <f aca="false">IF(D61="","",IF(AU61="","",(AU61-D61)/D61))</f>
        <v>-0.271359635300634</v>
      </c>
      <c r="AX61" s="87" t="n">
        <v>0.0350877192982456</v>
      </c>
      <c r="AY61" s="45" t="n">
        <f aca="false">IF(D61="","",IF(AP61="","",(AP61-D61)/D61))</f>
        <v>-0.446004319654428</v>
      </c>
      <c r="AZ61" s="64" t="n">
        <f aca="false">IF(NOT(AY61=""),ABS(AY61),"")</f>
        <v>0.446004319654428</v>
      </c>
    </row>
    <row r="62" customFormat="false" ht="12.8" hidden="false" customHeight="false" outlineLevel="0" collapsed="false">
      <c r="A62" s="56" t="n">
        <v>386</v>
      </c>
      <c r="B62" s="25" t="n">
        <v>172</v>
      </c>
      <c r="C62" s="57" t="n">
        <v>154</v>
      </c>
      <c r="D62" s="65" t="n">
        <v>237.333333333333</v>
      </c>
      <c r="E62" s="66" t="n">
        <v>11104.8888888889</v>
      </c>
      <c r="F62" s="63" t="n">
        <v>105.379736614251</v>
      </c>
      <c r="G62" s="63" t="n">
        <v>261.798906053793</v>
      </c>
      <c r="H62" s="63" t="n">
        <v>-24.4655727204601</v>
      </c>
      <c r="I62" s="63" t="n">
        <v>499.132239387127</v>
      </c>
      <c r="J62" s="64" t="n">
        <v>0.444015744161169</v>
      </c>
      <c r="L62" s="58" t="n">
        <v>149</v>
      </c>
      <c r="M62" s="0" t="n">
        <v>170</v>
      </c>
      <c r="N62" s="59" t="n">
        <v>166</v>
      </c>
      <c r="O62" s="59" t="n">
        <f aca="false">IF(A62="","",IF(L62="","",A62-L62))</f>
        <v>237</v>
      </c>
      <c r="P62" s="59" t="n">
        <f aca="false">IF(B62="","",IF(M62="","",B62-M62))</f>
        <v>2</v>
      </c>
      <c r="Q62" s="59" t="n">
        <f aca="false">IF(C62="","",IF(N62="","",C62-N62))</f>
        <v>-12</v>
      </c>
      <c r="R62" s="65" t="n">
        <v>162</v>
      </c>
      <c r="S62" s="66" t="n">
        <v>82.8888888888889</v>
      </c>
      <c r="T62" s="63" t="n">
        <v>9.10433352249844</v>
      </c>
      <c r="U62" s="63" t="n">
        <v>22.6182436312584</v>
      </c>
      <c r="V62" s="63" t="n">
        <v>139</v>
      </c>
      <c r="W62" s="63" t="n">
        <v>184</v>
      </c>
      <c r="X62" s="87" t="n">
        <f aca="false">IF(D62="","",IF(V62="","",(V62-D62)/D62))</f>
        <v>-0.414325842696628</v>
      </c>
      <c r="Y62" s="87" t="n">
        <f aca="false">IF(D62="","",IF(W62="","",(W62-D62)/D62))</f>
        <v>-0.224719101123594</v>
      </c>
      <c r="Z62" s="87" t="n">
        <v>0.0563154650876192</v>
      </c>
      <c r="AA62" s="87" t="n">
        <f aca="false">IF(D62="","",IF(R62="","",(R62-D62)/D62))</f>
        <v>-0.317415730337078</v>
      </c>
      <c r="AB62" s="64" t="n">
        <f aca="false">IF(NOT(AA62=""),ABS(AA62),"")</f>
        <v>0.317415730337078</v>
      </c>
      <c r="AD62" s="65" t="n">
        <v>281.666666666667</v>
      </c>
      <c r="AE62" s="66" t="n">
        <v>24720.2222222222</v>
      </c>
      <c r="AF62" s="63" t="n">
        <v>157.226658751696</v>
      </c>
      <c r="AG62" s="63" t="n">
        <v>390.604195703793</v>
      </c>
      <c r="AH62" s="63" t="n">
        <v>-108.937529037127</v>
      </c>
      <c r="AI62" s="63" t="n">
        <v>672.27086237046</v>
      </c>
      <c r="AJ62" s="87" t="n">
        <f aca="false">IF(D62="","",IF(AH62="","",(AH62-D62)/D62))</f>
        <v>-1.45900644257217</v>
      </c>
      <c r="AK62" s="87" t="n">
        <f aca="false">IF(D62="","",IF(AI62="","",(AI62-D62)/D62))</f>
        <v>1.83260194819014</v>
      </c>
      <c r="AL62" s="87" t="n">
        <v>0.558201155331465</v>
      </c>
      <c r="AM62" s="87" t="n">
        <f aca="false">IF(D62="","",IF(AD62="","",(AD62-D62)/D62))</f>
        <v>0.186797752808992</v>
      </c>
      <c r="AN62" s="64" t="n">
        <f aca="false">IF(NOT(AM62=""),ABS(AM62),"")</f>
        <v>0.186797752808992</v>
      </c>
      <c r="AP62" s="65" t="n">
        <v>163.5</v>
      </c>
      <c r="AQ62" s="66" t="n">
        <v>2.25</v>
      </c>
      <c r="AR62" s="63" t="n">
        <v>1.5</v>
      </c>
      <c r="AS62" s="63" t="n">
        <v>13.4767481426344</v>
      </c>
      <c r="AT62" s="63" t="n">
        <v>150.023251857366</v>
      </c>
      <c r="AU62" s="63" t="n">
        <v>176.976748142634</v>
      </c>
      <c r="AV62" s="87" t="n">
        <f aca="false">IF(D62="","",IF(AT62="","",(AT62-D62)/D62))</f>
        <v>-0.36787955678076</v>
      </c>
      <c r="AW62" s="87" t="n">
        <f aca="false">IF(D62="","",IF(AU62="","",(AU62-D62)/D62))</f>
        <v>-0.254311454455193</v>
      </c>
      <c r="AX62" s="87" t="n">
        <v>0.00917431192660551</v>
      </c>
      <c r="AY62" s="45" t="n">
        <f aca="false">IF(D62="","",IF(AP62="","",(AP62-D62)/D62))</f>
        <v>-0.311095505617977</v>
      </c>
      <c r="AZ62" s="64" t="n">
        <f aca="false">IF(NOT(AY62=""),ABS(AY62),"")</f>
        <v>0.311095505617977</v>
      </c>
    </row>
    <row r="63" customFormat="false" ht="12.8" hidden="false" customHeight="false" outlineLevel="0" collapsed="false">
      <c r="A63" s="56" t="n">
        <v>428</v>
      </c>
      <c r="B63" s="25" t="n">
        <v>1006</v>
      </c>
      <c r="C63" s="57"/>
      <c r="D63" s="65" t="n">
        <v>717</v>
      </c>
      <c r="E63" s="66" t="n">
        <v>83521</v>
      </c>
      <c r="F63" s="63" t="n">
        <v>289</v>
      </c>
      <c r="G63" s="63" t="n">
        <v>2596.52014214756</v>
      </c>
      <c r="H63" s="63" t="n">
        <v>-1879.52014214756</v>
      </c>
      <c r="I63" s="63" t="n">
        <v>3313.52014214756</v>
      </c>
      <c r="J63" s="64" t="n">
        <v>0.403068340306834</v>
      </c>
      <c r="L63" s="58" t="n">
        <v>483</v>
      </c>
      <c r="M63" s="0" t="n">
        <v>443</v>
      </c>
      <c r="N63" s="59" t="n">
        <v>522</v>
      </c>
      <c r="O63" s="59" t="n">
        <f aca="false">IF(A63="","",IF(L63="","",A63-L63))</f>
        <v>-55</v>
      </c>
      <c r="P63" s="59" t="n">
        <f aca="false">IF(B63="","",IF(M63="","",B63-M63))</f>
        <v>563</v>
      </c>
      <c r="Q63" s="59" t="str">
        <f aca="false">IF(C63="","",IF(N63="","",C63-N63))</f>
        <v/>
      </c>
      <c r="R63" s="65" t="n">
        <v>483</v>
      </c>
      <c r="S63" s="66" t="n">
        <v>1040.22222222222</v>
      </c>
      <c r="T63" s="63" t="n">
        <v>32.2524762184584</v>
      </c>
      <c r="U63" s="63" t="n">
        <v>80.1260589825437</v>
      </c>
      <c r="V63" s="63" t="n">
        <v>403</v>
      </c>
      <c r="W63" s="63" t="n">
        <v>563</v>
      </c>
      <c r="X63" s="87" t="n">
        <f aca="false">IF(D63="","",IF(V63="","",(V63-D63)/D63))</f>
        <v>-0.437935843793584</v>
      </c>
      <c r="Y63" s="87" t="n">
        <f aca="false">IF(D63="","",IF(W63="","",(W63-D63)/D63))</f>
        <v>-0.214783821478382</v>
      </c>
      <c r="Z63" s="87" t="n">
        <v>0.0668214286294027</v>
      </c>
      <c r="AA63" s="87" t="n">
        <f aca="false">IF(D63="","",IF(R63="","",(R63-D63)/D63))</f>
        <v>-0.326359832635983</v>
      </c>
      <c r="AB63" s="64" t="n">
        <f aca="false">IF(NOT(AA63=""),ABS(AA63),"")</f>
        <v>0.326359832635983</v>
      </c>
      <c r="AD63" s="65" t="n">
        <v>419.333333333333</v>
      </c>
      <c r="AE63" s="66" t="n">
        <v>16864.8888888889</v>
      </c>
      <c r="AF63" s="63" t="n">
        <v>129.864887051462</v>
      </c>
      <c r="AG63" s="63" t="n">
        <v>322.628300821492</v>
      </c>
      <c r="AH63" s="63" t="n">
        <v>96.7050325118416</v>
      </c>
      <c r="AI63" s="63" t="n">
        <v>741.961634154825</v>
      </c>
      <c r="AJ63" s="87" t="n">
        <f aca="false">IF(D63="","",IF(AH63="","",(AH63-D63)/D63))</f>
        <v>-0.865125477668282</v>
      </c>
      <c r="AK63" s="87" t="n">
        <f aca="false">IF(D63="","",IF(AI63="","",(AI63-D63)/D63))</f>
        <v>0.0348139946371339</v>
      </c>
      <c r="AL63" s="87" t="n">
        <v>0.309693689311912</v>
      </c>
      <c r="AM63" s="87" t="n">
        <f aca="false">IF(D63="","",IF(AD63="","",(AD63-D63)/D63))</f>
        <v>-0.415155741515575</v>
      </c>
      <c r="AN63" s="64" t="n">
        <f aca="false">IF(NOT(AM63=""),ABS(AM63),"")</f>
        <v>0.415155741515575</v>
      </c>
      <c r="AP63" s="65" t="n">
        <v>486</v>
      </c>
      <c r="AQ63" s="66" t="n">
        <v>3025</v>
      </c>
      <c r="AR63" s="63" t="n">
        <v>55</v>
      </c>
      <c r="AS63" s="63" t="n">
        <v>494.147431896595</v>
      </c>
      <c r="AT63" s="63" t="n">
        <v>-8.14743189659492</v>
      </c>
      <c r="AU63" s="63" t="n">
        <v>980.147431896595</v>
      </c>
      <c r="AV63" s="87" t="n">
        <f aca="false">IF(D63="","",IF(AT63="","",(AT63-D63)/D63))</f>
        <v>-1.0113632244025</v>
      </c>
      <c r="AW63" s="87" t="n">
        <f aca="false">IF(D63="","",IF(AU63="","",(AU63-D63)/D63))</f>
        <v>0.367011759967357</v>
      </c>
      <c r="AX63" s="87" t="n">
        <v>0.113168724279835</v>
      </c>
      <c r="AY63" s="45" t="n">
        <f aca="false">IF(D63="","",IF(AP63="","",(AP63-D63)/D63))</f>
        <v>-0.322175732217573</v>
      </c>
      <c r="AZ63" s="64" t="n">
        <f aca="false">IF(NOT(AY63=""),ABS(AY63),"")</f>
        <v>0.322175732217573</v>
      </c>
    </row>
    <row r="64" customFormat="false" ht="12.8" hidden="false" customHeight="false" outlineLevel="0" collapsed="false">
      <c r="A64" s="56" t="n">
        <v>319</v>
      </c>
      <c r="B64" s="25" t="n">
        <v>228</v>
      </c>
      <c r="C64" s="57" t="n">
        <v>252</v>
      </c>
      <c r="D64" s="65" t="n">
        <v>266.333333333333</v>
      </c>
      <c r="E64" s="66" t="n">
        <v>1482.88888888889</v>
      </c>
      <c r="F64" s="63" t="n">
        <v>38.5082963644055</v>
      </c>
      <c r="G64" s="63" t="n">
        <v>95.6676319955168</v>
      </c>
      <c r="H64" s="63" t="n">
        <v>170.665701337817</v>
      </c>
      <c r="I64" s="63" t="n">
        <v>362.00096532885</v>
      </c>
      <c r="J64" s="64" t="n">
        <v>0.144586844922674</v>
      </c>
      <c r="L64" s="58" t="n">
        <v>247</v>
      </c>
      <c r="M64" s="0" t="n">
        <v>257</v>
      </c>
      <c r="N64" s="59" t="n">
        <v>319</v>
      </c>
      <c r="O64" s="59" t="n">
        <f aca="false">IF(A64="","",IF(L64="","",A64-L64))</f>
        <v>72</v>
      </c>
      <c r="P64" s="59" t="n">
        <f aca="false">IF(B64="","",IF(M64="","",B64-M64))</f>
        <v>-29</v>
      </c>
      <c r="Q64" s="59" t="n">
        <f aca="false">IF(C64="","",IF(N64="","",C64-N64))</f>
        <v>-67</v>
      </c>
      <c r="R64" s="65" t="n">
        <v>274</v>
      </c>
      <c r="S64" s="66" t="n">
        <v>1014.22222222222</v>
      </c>
      <c r="T64" s="63" t="n">
        <v>31.8468557666565</v>
      </c>
      <c r="U64" s="63" t="n">
        <v>79.1183605960551</v>
      </c>
      <c r="V64" s="63" t="n">
        <v>195</v>
      </c>
      <c r="W64" s="63" t="n">
        <v>353</v>
      </c>
      <c r="X64" s="87" t="n">
        <f aca="false">IF(D64="","",IF(V64="","",(V64-D64)/D64))</f>
        <v>-0.267834793491864</v>
      </c>
      <c r="Y64" s="87" t="n">
        <f aca="false">IF(D64="","",IF(W64="","",(W64-D64)/D64))</f>
        <v>0.325406758448062</v>
      </c>
      <c r="Z64" s="87" t="n">
        <v>0.11608817411904</v>
      </c>
      <c r="AA64" s="87" t="n">
        <f aca="false">IF(D64="","",IF(R64="","",(R64-D64)/D64))</f>
        <v>0.028785982478099</v>
      </c>
      <c r="AB64" s="64" t="n">
        <f aca="false">IF(NOT(AA64=""),ABS(AA64),"")</f>
        <v>0.028785982478099</v>
      </c>
      <c r="AD64" s="65" t="n">
        <v>242</v>
      </c>
      <c r="AE64" s="66" t="n">
        <v>1418.66666666667</v>
      </c>
      <c r="AF64" s="63" t="n">
        <v>37.6651917115348</v>
      </c>
      <c r="AG64" s="63" t="n">
        <v>93.5730748927751</v>
      </c>
      <c r="AH64" s="63" t="n">
        <v>148.426925107225</v>
      </c>
      <c r="AI64" s="63" t="n">
        <v>335.573074892775</v>
      </c>
      <c r="AJ64" s="87" t="n">
        <f aca="false">IF(D64="","",IF(AH64="","",(AH64-D64)/D64))</f>
        <v>-0.442702408858979</v>
      </c>
      <c r="AK64" s="87" t="n">
        <f aca="false">IF(D64="","",IF(AI64="","",(AI64-D64)/D64))</f>
        <v>0.25997399834584</v>
      </c>
      <c r="AL64" s="87" t="n">
        <v>0.155641288064193</v>
      </c>
      <c r="AM64" s="87" t="n">
        <f aca="false">IF(D64="","",IF(AD64="","",(AD64-D64)/D64))</f>
        <v>-0.0913642052565695</v>
      </c>
      <c r="AN64" s="64" t="n">
        <f aca="false">IF(NOT(AM64=""),ABS(AM64),"")</f>
        <v>0.0913642052565695</v>
      </c>
      <c r="AP64" s="65" t="n">
        <v>241</v>
      </c>
      <c r="AQ64" s="66" t="n">
        <v>121</v>
      </c>
      <c r="AR64" s="63" t="n">
        <v>11</v>
      </c>
      <c r="AS64" s="63" t="n">
        <v>98.829486379319</v>
      </c>
      <c r="AT64" s="63" t="n">
        <v>142.170513620681</v>
      </c>
      <c r="AU64" s="63" t="n">
        <v>339.829486379319</v>
      </c>
      <c r="AV64" s="87" t="n">
        <f aca="false">IF(D64="","",IF(AT64="","",(AT64-D64)/D64))</f>
        <v>-0.466193315566904</v>
      </c>
      <c r="AW64" s="87" t="n">
        <f aca="false">IF(D64="","",IF(AU64="","",(AU64-D64)/D64))</f>
        <v>0.275955518320348</v>
      </c>
      <c r="AX64" s="87" t="n">
        <v>0.045643153526971</v>
      </c>
      <c r="AY64" s="45" t="n">
        <f aca="false">IF(D64="","",IF(AP64="","",(AP64-D64)/D64))</f>
        <v>-0.0951188986232779</v>
      </c>
      <c r="AZ64" s="64" t="n">
        <f aca="false">IF(NOT(AY64=""),ABS(AY64),"")</f>
        <v>0.0951188986232779</v>
      </c>
    </row>
    <row r="65" customFormat="false" ht="12.8" hidden="false" customHeight="false" outlineLevel="0" collapsed="false">
      <c r="A65" s="56" t="n">
        <v>261</v>
      </c>
      <c r="B65" s="25" t="n">
        <v>181</v>
      </c>
      <c r="C65" s="57" t="n">
        <v>187</v>
      </c>
      <c r="D65" s="65" t="n">
        <v>209.666666666667</v>
      </c>
      <c r="E65" s="66" t="n">
        <v>1323.55555555556</v>
      </c>
      <c r="F65" s="63" t="n">
        <v>36.3807030657127</v>
      </c>
      <c r="G65" s="63" t="n">
        <v>90.3819706718022</v>
      </c>
      <c r="H65" s="63" t="n">
        <v>119.284695994864</v>
      </c>
      <c r="I65" s="63" t="n">
        <v>300.048637338469</v>
      </c>
      <c r="J65" s="64" t="n">
        <v>0.173516866768105</v>
      </c>
      <c r="L65" s="58" t="n">
        <v>167</v>
      </c>
      <c r="M65" s="0" t="n">
        <v>171</v>
      </c>
      <c r="N65" s="59" t="n">
        <v>186</v>
      </c>
      <c r="O65" s="59" t="n">
        <f aca="false">IF(A65="","",IF(L65="","",A65-L65))</f>
        <v>94</v>
      </c>
      <c r="P65" s="59" t="n">
        <f aca="false">IF(B65="","",IF(M65="","",B65-M65))</f>
        <v>10</v>
      </c>
      <c r="Q65" s="59" t="n">
        <f aca="false">IF(C65="","",IF(N65="","",C65-N65))</f>
        <v>1</v>
      </c>
      <c r="R65" s="65" t="n">
        <v>175</v>
      </c>
      <c r="S65" s="66" t="n">
        <v>66.8888888888889</v>
      </c>
      <c r="T65" s="63" t="n">
        <v>8.17856276425687</v>
      </c>
      <c r="U65" s="63" t="n">
        <v>20.3183159644108</v>
      </c>
      <c r="V65" s="63" t="n">
        <v>154</v>
      </c>
      <c r="W65" s="63" t="n">
        <v>195</v>
      </c>
      <c r="X65" s="87" t="n">
        <f aca="false">IF(D65="","",IF(V65="","",(V65-D65)/D65))</f>
        <v>-0.265500794912561</v>
      </c>
      <c r="Y65" s="87" t="n">
        <f aca="false">IF(D65="","",IF(W65="","",(W65-D65)/D65))</f>
        <v>-0.0699523052464244</v>
      </c>
      <c r="Z65" s="87" t="n">
        <v>0.0468238326197912</v>
      </c>
      <c r="AA65" s="87" t="n">
        <f aca="false">IF(D65="","",IF(R65="","",(R65-D65)/D65))</f>
        <v>-0.165341812400637</v>
      </c>
      <c r="AB65" s="64" t="n">
        <f aca="false">IF(NOT(AA65=""),ABS(AA65),"")</f>
        <v>0.165341812400637</v>
      </c>
      <c r="AD65" s="65" t="n">
        <v>178</v>
      </c>
      <c r="AE65" s="66" t="n">
        <v>724.666666666667</v>
      </c>
      <c r="AF65" s="63" t="n">
        <v>26.9196334794266</v>
      </c>
      <c r="AG65" s="63" t="n">
        <v>66.8774740069895</v>
      </c>
      <c r="AH65" s="63" t="n">
        <v>111.122525993011</v>
      </c>
      <c r="AI65" s="63" t="n">
        <v>244.87747400699</v>
      </c>
      <c r="AJ65" s="87" t="n">
        <f aca="false">IF(D65="","",IF(AH65="","",(AH65-D65)/D65))</f>
        <v>-0.470003850589774</v>
      </c>
      <c r="AK65" s="87" t="n">
        <f aca="false">IF(D65="","",IF(AI65="","",(AI65-D65)/D65))</f>
        <v>0.167937077934768</v>
      </c>
      <c r="AL65" s="87" t="n">
        <v>0.151233895951835</v>
      </c>
      <c r="AM65" s="87" t="n">
        <f aca="false">IF(D65="","",IF(AD65="","",(AD65-D65)/D65))</f>
        <v>-0.151033386327505</v>
      </c>
      <c r="AN65" s="64" t="n">
        <f aca="false">IF(NOT(AM65=""),ABS(AM65),"")</f>
        <v>0.151033386327505</v>
      </c>
      <c r="AP65" s="65" t="n">
        <v>175.5</v>
      </c>
      <c r="AQ65" s="66" t="n">
        <v>132.25</v>
      </c>
      <c r="AR65" s="63" t="n">
        <v>11.5</v>
      </c>
      <c r="AS65" s="63" t="n">
        <v>103.321735760197</v>
      </c>
      <c r="AT65" s="63" t="n">
        <v>72.1782642398029</v>
      </c>
      <c r="AU65" s="63" t="n">
        <v>278.821735760197</v>
      </c>
      <c r="AV65" s="87" t="n">
        <f aca="false">IF(D65="","",IF(AT65="","",(AT65-D65)/D65))</f>
        <v>-0.655747547345933</v>
      </c>
      <c r="AW65" s="87" t="n">
        <f aca="false">IF(D65="","",IF(AU65="","",(AU65-D65)/D65))</f>
        <v>0.329833397902368</v>
      </c>
      <c r="AX65" s="87" t="n">
        <v>0.0655270655270655</v>
      </c>
      <c r="AY65" s="45" t="n">
        <f aca="false">IF(D65="","",IF(AP65="","",(AP65-D65)/D65))</f>
        <v>-0.162957074721782</v>
      </c>
      <c r="AZ65" s="64" t="n">
        <f aca="false">IF(NOT(AY65=""),ABS(AY65),"")</f>
        <v>0.162957074721782</v>
      </c>
    </row>
    <row r="66" customFormat="false" ht="12.8" hidden="false" customHeight="false" outlineLevel="0" collapsed="false">
      <c r="A66" s="56" t="n">
        <v>140</v>
      </c>
      <c r="B66" s="25" t="n">
        <v>179</v>
      </c>
      <c r="C66" s="57" t="n">
        <v>130</v>
      </c>
      <c r="D66" s="65" t="n">
        <v>149.666666666667</v>
      </c>
      <c r="E66" s="66" t="n">
        <v>446.888888888889</v>
      </c>
      <c r="F66" s="63" t="n">
        <v>21.1397466609439</v>
      </c>
      <c r="G66" s="63" t="n">
        <v>52.5182803440507</v>
      </c>
      <c r="H66" s="63" t="n">
        <v>97.148386322616</v>
      </c>
      <c r="I66" s="63" t="n">
        <v>202.184947010717</v>
      </c>
      <c r="J66" s="64" t="n">
        <v>0.141245523347064</v>
      </c>
      <c r="L66" s="58" t="n">
        <v>146</v>
      </c>
      <c r="M66" s="0" t="n">
        <v>139</v>
      </c>
      <c r="N66" s="59" t="n">
        <v>147</v>
      </c>
      <c r="O66" s="59" t="n">
        <f aca="false">IF(A66="","",IF(L66="","",A66-L66))</f>
        <v>-6</v>
      </c>
      <c r="P66" s="59" t="n">
        <f aca="false">IF(B66="","",IF(M66="","",B66-M66))</f>
        <v>40</v>
      </c>
      <c r="Q66" s="59" t="n">
        <f aca="false">IF(C66="","",IF(N66="","",C66-N66))</f>
        <v>-17</v>
      </c>
      <c r="R66" s="65" t="n">
        <v>144</v>
      </c>
      <c r="S66" s="66" t="n">
        <v>12.6666666666667</v>
      </c>
      <c r="T66" s="63" t="n">
        <v>3.55902608401044</v>
      </c>
      <c r="U66" s="63" t="n">
        <v>8.84182448492517</v>
      </c>
      <c r="V66" s="63" t="n">
        <v>135</v>
      </c>
      <c r="W66" s="63" t="n">
        <v>153</v>
      </c>
      <c r="X66" s="87" t="n">
        <f aca="false">IF(D66="","",IF(V66="","",(V66-D66)/D66))</f>
        <v>-0.0979955456570176</v>
      </c>
      <c r="Y66" s="87" t="n">
        <f aca="false">IF(D66="","",IF(W66="","",(W66-D66)/D66))</f>
        <v>0.0222717149220467</v>
      </c>
      <c r="Z66" s="87" t="n">
        <v>0.0247154589167391</v>
      </c>
      <c r="AA66" s="87" t="n">
        <f aca="false">IF(D66="","",IF(R66="","",(R66-D66)/D66))</f>
        <v>-0.0378619153674854</v>
      </c>
      <c r="AB66" s="64" t="n">
        <f aca="false">IF(NOT(AA66=""),ABS(AA66),"")</f>
        <v>0.0378619153674854</v>
      </c>
      <c r="AD66" s="65" t="n">
        <v>141.666666666667</v>
      </c>
      <c r="AE66" s="66" t="n">
        <v>964.222222222222</v>
      </c>
      <c r="AF66" s="63" t="n">
        <v>31.0519278342299</v>
      </c>
      <c r="AG66" s="63" t="n">
        <v>77.1434907606646</v>
      </c>
      <c r="AH66" s="63" t="n">
        <v>64.5231759060021</v>
      </c>
      <c r="AI66" s="63" t="n">
        <v>218.810157427331</v>
      </c>
      <c r="AJ66" s="87" t="n">
        <f aca="false">IF(D66="","",IF(AH66="","",(AH66-D66)/D66))</f>
        <v>-0.568887466106891</v>
      </c>
      <c r="AK66" s="87" t="n">
        <f aca="false">IF(D66="","",IF(AI66="","",(AI66-D66)/D66))</f>
        <v>0.46198323448105</v>
      </c>
      <c r="AL66" s="87" t="n">
        <v>0.219190078829858</v>
      </c>
      <c r="AM66" s="87" t="n">
        <f aca="false">IF(D66="","",IF(AD66="","",(AD66-D66)/D66))</f>
        <v>-0.0534521158129175</v>
      </c>
      <c r="AN66" s="64" t="n">
        <f aca="false">IF(NOT(AM66=""),ABS(AM66),"")</f>
        <v>0.0534521158129175</v>
      </c>
      <c r="AP66" s="65" t="n">
        <v>134.5</v>
      </c>
      <c r="AQ66" s="66" t="n">
        <v>20.25</v>
      </c>
      <c r="AR66" s="63" t="n">
        <v>4.5</v>
      </c>
      <c r="AS66" s="63" t="n">
        <v>40.4302444279032</v>
      </c>
      <c r="AT66" s="63" t="n">
        <v>94.0697555720968</v>
      </c>
      <c r="AU66" s="63" t="n">
        <v>174.930244427903</v>
      </c>
      <c r="AV66" s="87" t="n">
        <f aca="false">IF(D66="","",IF(AT66="","",(AT66-D66)/D66))</f>
        <v>-0.37147156633343</v>
      </c>
      <c r="AW66" s="87" t="n">
        <f aca="false">IF(D66="","",IF(AU66="","",(AU66-D66)/D66))</f>
        <v>0.168798960542779</v>
      </c>
      <c r="AX66" s="87" t="n">
        <v>0.033457249070632</v>
      </c>
      <c r="AY66" s="45" t="n">
        <f aca="false">IF(D66="","",IF(AP66="","",(AP66-D66)/D66))</f>
        <v>-0.101336302895325</v>
      </c>
      <c r="AZ66" s="64" t="n">
        <f aca="false">IF(NOT(AY66=""),ABS(AY66),"")</f>
        <v>0.101336302895325</v>
      </c>
    </row>
    <row r="67" customFormat="false" ht="12.8" hidden="false" customHeight="false" outlineLevel="0" collapsed="false">
      <c r="A67" s="56" t="n">
        <v>101</v>
      </c>
      <c r="B67" s="25" t="n">
        <v>104</v>
      </c>
      <c r="C67" s="57" t="n">
        <v>98</v>
      </c>
      <c r="D67" s="65" t="n">
        <v>101</v>
      </c>
      <c r="E67" s="66" t="n">
        <v>6</v>
      </c>
      <c r="F67" s="63" t="n">
        <v>2.44948974278318</v>
      </c>
      <c r="G67" s="63" t="n">
        <v>6.08536095889143</v>
      </c>
      <c r="H67" s="63" t="n">
        <v>94.9146390411086</v>
      </c>
      <c r="I67" s="63" t="n">
        <v>107.085360958891</v>
      </c>
      <c r="J67" s="64" t="n">
        <v>0.0242523736909226</v>
      </c>
      <c r="L67" s="58" t="n">
        <v>94</v>
      </c>
      <c r="M67" s="0" t="n">
        <v>123</v>
      </c>
      <c r="N67" s="59" t="n">
        <v>102</v>
      </c>
      <c r="O67" s="59" t="n">
        <f aca="false">IF(A67="","",IF(L67="","",A67-L67))</f>
        <v>7</v>
      </c>
      <c r="P67" s="59" t="n">
        <f aca="false">IF(B67="","",IF(M67="","",B67-M67))</f>
        <v>-19</v>
      </c>
      <c r="Q67" s="59" t="n">
        <f aca="false">IF(C67="","",IF(N67="","",C67-N67))</f>
        <v>-4</v>
      </c>
      <c r="R67" s="65" t="n">
        <v>106</v>
      </c>
      <c r="S67" s="66" t="n">
        <v>149.555555555556</v>
      </c>
      <c r="T67" s="63" t="n">
        <v>12.2292908852294</v>
      </c>
      <c r="U67" s="63" t="n">
        <v>30.3816946068712</v>
      </c>
      <c r="V67" s="63" t="n">
        <v>76</v>
      </c>
      <c r="W67" s="63" t="n">
        <v>137</v>
      </c>
      <c r="X67" s="87" t="n">
        <f aca="false">IF(D67="","",IF(V67="","",(V67-D67)/D67))</f>
        <v>-0.247524752475248</v>
      </c>
      <c r="Y67" s="87" t="n">
        <f aca="false">IF(D67="","",IF(W67="","",(W67-D67)/D67))</f>
        <v>0.356435643564356</v>
      </c>
      <c r="Z67" s="87" t="n">
        <v>0.115009005190245</v>
      </c>
      <c r="AA67" s="87" t="n">
        <f aca="false">IF(D67="","",IF(R67="","",(R67-D67)/D67))</f>
        <v>0.0495049504950495</v>
      </c>
      <c r="AB67" s="64" t="n">
        <f aca="false">IF(NOT(AA67=""),ABS(AA67),"")</f>
        <v>0.0495049504950495</v>
      </c>
      <c r="AD67" s="65" t="n">
        <v>103.666666666667</v>
      </c>
      <c r="AE67" s="66" t="n">
        <v>106.888888888889</v>
      </c>
      <c r="AF67" s="63" t="n">
        <v>10.3387082795139</v>
      </c>
      <c r="AG67" s="63" t="n">
        <v>25.6848480035013</v>
      </c>
      <c r="AH67" s="63" t="n">
        <v>77.9818186631654</v>
      </c>
      <c r="AI67" s="63" t="n">
        <v>129.351514670168</v>
      </c>
      <c r="AJ67" s="87" t="n">
        <f aca="false">IF(D67="","",IF(AH67="","",(AH67-D67)/D67))</f>
        <v>-0.227902785513214</v>
      </c>
      <c r="AK67" s="87" t="n">
        <f aca="false">IF(D67="","",IF(AI67="","",(AI67-D67)/D67))</f>
        <v>0.280708066041267</v>
      </c>
      <c r="AL67" s="87" t="n">
        <v>0.0997303049470793</v>
      </c>
      <c r="AM67" s="87" t="n">
        <f aca="false">IF(D67="","",IF(AD67="","",(AD67-D67)/D67))</f>
        <v>0.0264026402640297</v>
      </c>
      <c r="AN67" s="64" t="n">
        <f aca="false">IF(NOT(AM67=""),ABS(AM67),"")</f>
        <v>0.0264026402640297</v>
      </c>
      <c r="AP67" s="65" t="n">
        <v>99</v>
      </c>
      <c r="AQ67" s="66" t="n">
        <v>9</v>
      </c>
      <c r="AR67" s="63" t="n">
        <v>3</v>
      </c>
      <c r="AS67" s="63" t="n">
        <v>26.9534962852688</v>
      </c>
      <c r="AT67" s="63" t="n">
        <v>72.0465037147312</v>
      </c>
      <c r="AU67" s="63" t="n">
        <v>125.953496285269</v>
      </c>
      <c r="AV67" s="87" t="n">
        <f aca="false">IF(D67="","",IF(AT67="","",(AT67-D67)/D67))</f>
        <v>-0.286668280052166</v>
      </c>
      <c r="AW67" s="87" t="n">
        <f aca="false">IF(D67="","",IF(AU67="","",(AU67-D67)/D67))</f>
        <v>0.247064319656129</v>
      </c>
      <c r="AX67" s="87" t="n">
        <v>0.0303030303030303</v>
      </c>
      <c r="AY67" s="45" t="n">
        <f aca="false">IF(D67="","",IF(AP67="","",(AP67-D67)/D67))</f>
        <v>-0.0198019801980198</v>
      </c>
      <c r="AZ67" s="64" t="n">
        <f aca="false">IF(NOT(AY67=""),ABS(AY67),"")</f>
        <v>0.0198019801980198</v>
      </c>
    </row>
    <row r="68" customFormat="false" ht="12.8" hidden="false" customHeight="false" outlineLevel="0" collapsed="false">
      <c r="A68" s="56" t="n">
        <v>86</v>
      </c>
      <c r="B68" s="25" t="n">
        <v>86</v>
      </c>
      <c r="C68" s="57" t="n">
        <v>105</v>
      </c>
      <c r="D68" s="65" t="n">
        <v>92.3333333333333</v>
      </c>
      <c r="E68" s="66" t="n">
        <v>80.2222222222222</v>
      </c>
      <c r="F68" s="63" t="n">
        <v>8.9566858950296</v>
      </c>
      <c r="G68" s="63" t="n">
        <v>22.2514369889694</v>
      </c>
      <c r="H68" s="63" t="n">
        <v>70.081896344364</v>
      </c>
      <c r="I68" s="63" t="n">
        <v>114.584770322303</v>
      </c>
      <c r="J68" s="64" t="n">
        <v>0.0970038183577213</v>
      </c>
      <c r="L68" s="58" t="n">
        <v>79</v>
      </c>
      <c r="M68" s="0" t="n">
        <v>75</v>
      </c>
      <c r="N68" s="59" t="n">
        <v>78</v>
      </c>
      <c r="O68" s="59" t="n">
        <f aca="false">IF(A68="","",IF(L68="","",A68-L68))</f>
        <v>7</v>
      </c>
      <c r="P68" s="59" t="n">
        <f aca="false">IF(B68="","",IF(M68="","",B68-M68))</f>
        <v>11</v>
      </c>
      <c r="Q68" s="59" t="n">
        <f aca="false">IF(C68="","",IF(N68="","",C68-N68))</f>
        <v>27</v>
      </c>
      <c r="R68" s="65" t="n">
        <v>77</v>
      </c>
      <c r="S68" s="66" t="n">
        <v>2.88888888888889</v>
      </c>
      <c r="T68" s="63" t="n">
        <v>1.6996731711976</v>
      </c>
      <c r="U68" s="63" t="n">
        <v>4.22256300086764</v>
      </c>
      <c r="V68" s="63" t="n">
        <v>73</v>
      </c>
      <c r="W68" s="63" t="n">
        <v>82</v>
      </c>
      <c r="X68" s="87" t="n">
        <f aca="false">IF(D68="","",IF(V68="","",(V68-D68)/D68))</f>
        <v>-0.209386281588447</v>
      </c>
      <c r="Y68" s="87" t="n">
        <f aca="false">IF(D68="","",IF(W68="","",(W68-D68)/D68))</f>
        <v>-0.111913357400722</v>
      </c>
      <c r="Z68" s="87" t="n">
        <v>0.0219785323861758</v>
      </c>
      <c r="AA68" s="87" t="n">
        <f aca="false">IF(D68="","",IF(R68="","",(R68-D68)/D68))</f>
        <v>-0.166064981949458</v>
      </c>
      <c r="AB68" s="64" t="n">
        <f aca="false">IF(NOT(AA68=""),ABS(AA68),"")</f>
        <v>0.166064981949458</v>
      </c>
      <c r="AD68" s="65" t="n">
        <v>83.3333333333333</v>
      </c>
      <c r="AE68" s="66" t="n">
        <v>24.2222222222222</v>
      </c>
      <c r="AF68" s="63" t="n">
        <v>4.92160768674447</v>
      </c>
      <c r="AG68" s="63" t="n">
        <v>12.2269380225553</v>
      </c>
      <c r="AH68" s="63" t="n">
        <v>71.1063953107781</v>
      </c>
      <c r="AI68" s="63" t="n">
        <v>95.5602713558886</v>
      </c>
      <c r="AJ68" s="87" t="n">
        <f aca="false">IF(D68="","",IF(AH68="","",(AH68-D68)/D68))</f>
        <v>-0.229894635623342</v>
      </c>
      <c r="AK68" s="87" t="n">
        <f aca="false">IF(D68="","",IF(AI68="","",(AI68-D68)/D68))</f>
        <v>0.0349487872478914</v>
      </c>
      <c r="AL68" s="87" t="n">
        <v>0.0590592922409336</v>
      </c>
      <c r="AM68" s="87" t="n">
        <f aca="false">IF(D68="","",IF(AD68="","",(AD68-D68)/D68))</f>
        <v>-0.0974729241877257</v>
      </c>
      <c r="AN68" s="64" t="n">
        <f aca="false">IF(NOT(AM68=""),ABS(AM68),"")</f>
        <v>0.0974729241877257</v>
      </c>
      <c r="AP68" s="65" t="n">
        <v>88</v>
      </c>
      <c r="AQ68" s="66" t="n">
        <v>49</v>
      </c>
      <c r="AR68" s="63" t="n">
        <v>7</v>
      </c>
      <c r="AS68" s="63" t="n">
        <v>62.8914913322939</v>
      </c>
      <c r="AT68" s="63" t="n">
        <v>25.1085086677061</v>
      </c>
      <c r="AU68" s="63" t="n">
        <v>150.891491332294</v>
      </c>
      <c r="AV68" s="87" t="n">
        <f aca="false">IF(D68="","",IF(AT68="","",(AT68-D68)/D68))</f>
        <v>-0.728066693129537</v>
      </c>
      <c r="AW68" s="87" t="n">
        <f aca="false">IF(D68="","",IF(AU68="","",(AU68-D68)/D68))</f>
        <v>0.634203877245062</v>
      </c>
      <c r="AX68" s="87" t="n">
        <v>0.0795454545454545</v>
      </c>
      <c r="AY68" s="45" t="n">
        <f aca="false">IF(D68="","",IF(AP68="","",(AP68-D68)/D68))</f>
        <v>-0.0469314079422379</v>
      </c>
      <c r="AZ68" s="64" t="n">
        <f aca="false">IF(NOT(AY68=""),ABS(AY68),"")</f>
        <v>0.0469314079422379</v>
      </c>
    </row>
    <row r="69" customFormat="false" ht="12.8" hidden="false" customHeight="false" outlineLevel="0" collapsed="false">
      <c r="A69" s="56" t="n">
        <v>66</v>
      </c>
      <c r="B69" s="25" t="n">
        <v>77</v>
      </c>
      <c r="C69" s="57" t="n">
        <v>95</v>
      </c>
      <c r="D69" s="65" t="n">
        <v>79.3333333333333</v>
      </c>
      <c r="E69" s="66" t="n">
        <v>142.888888888889</v>
      </c>
      <c r="F69" s="63" t="n">
        <v>11.9536140513607</v>
      </c>
      <c r="G69" s="63" t="n">
        <v>29.6968201153417</v>
      </c>
      <c r="H69" s="63" t="n">
        <v>49.6365132179916</v>
      </c>
      <c r="I69" s="63" t="n">
        <v>109.030153448675</v>
      </c>
      <c r="J69" s="64" t="n">
        <v>0.150675807370093</v>
      </c>
      <c r="L69" s="58" t="n">
        <v>70</v>
      </c>
      <c r="M69" s="0" t="n">
        <v>62</v>
      </c>
      <c r="N69" s="59" t="n">
        <v>73</v>
      </c>
      <c r="O69" s="59" t="n">
        <f aca="false">IF(A69="","",IF(L69="","",A69-L69))</f>
        <v>-4</v>
      </c>
      <c r="P69" s="59" t="n">
        <f aca="false">IF(B69="","",IF(M69="","",B69-M69))</f>
        <v>15</v>
      </c>
      <c r="Q69" s="59" t="n">
        <f aca="false">IF(C69="","",IF(N69="","",C69-N69))</f>
        <v>22</v>
      </c>
      <c r="R69" s="65" t="n">
        <v>68</v>
      </c>
      <c r="S69" s="66" t="n">
        <v>21.5555555555556</v>
      </c>
      <c r="T69" s="63" t="n">
        <v>4.64279609239471</v>
      </c>
      <c r="U69" s="63" t="n">
        <v>11.5342757257887</v>
      </c>
      <c r="V69" s="63" t="n">
        <v>57</v>
      </c>
      <c r="W69" s="63" t="n">
        <v>80</v>
      </c>
      <c r="X69" s="87" t="n">
        <f aca="false">IF(D69="","",IF(V69="","",(V69-D69)/D69))</f>
        <v>-0.281512605042017</v>
      </c>
      <c r="Y69" s="87" t="n">
        <f aca="false">IF(D69="","",IF(W69="","",(W69-D69)/D69))</f>
        <v>0.00840336134453824</v>
      </c>
      <c r="Z69" s="87" t="n">
        <v>0.0679433574496786</v>
      </c>
      <c r="AA69" s="87" t="n">
        <f aca="false">IF(D69="","",IF(R69="","",(R69-D69)/D69))</f>
        <v>-0.142857142857143</v>
      </c>
      <c r="AB69" s="64" t="n">
        <f aca="false">IF(NOT(AA69=""),ABS(AA69),"")</f>
        <v>0.142857142857143</v>
      </c>
      <c r="AD69" s="65" t="n">
        <v>78</v>
      </c>
      <c r="AE69" s="66" t="n">
        <v>258</v>
      </c>
      <c r="AF69" s="63" t="n">
        <v>16.062378404209</v>
      </c>
      <c r="AG69" s="63" t="n">
        <v>39.904380386118</v>
      </c>
      <c r="AH69" s="63" t="n">
        <v>38.095619613882</v>
      </c>
      <c r="AI69" s="63" t="n">
        <v>117.904380386118</v>
      </c>
      <c r="AJ69" s="87" t="n">
        <f aca="false">IF(D69="","",IF(AH69="","",(AH69-D69)/D69))</f>
        <v>-0.519803114110731</v>
      </c>
      <c r="AK69" s="87" t="n">
        <f aca="false">IF(D69="","",IF(AI69="","",(AI69-D69)/D69))</f>
        <v>0.486189668732581</v>
      </c>
      <c r="AL69" s="87" t="n">
        <v>0.20592792825909</v>
      </c>
      <c r="AM69" s="87" t="n">
        <f aca="false">IF(D69="","",IF(AD69="","",(AD69-D69)/D69))</f>
        <v>-0.0168067226890752</v>
      </c>
      <c r="AN69" s="64" t="n">
        <f aca="false">IF(NOT(AM69=""),ABS(AM69),"")</f>
        <v>0.0168067226890752</v>
      </c>
      <c r="AP69" s="65" t="n">
        <v>69.5</v>
      </c>
      <c r="AQ69" s="66" t="n">
        <v>6.25</v>
      </c>
      <c r="AR69" s="63" t="n">
        <v>2.5</v>
      </c>
      <c r="AS69" s="63" t="n">
        <v>22.4612469043907</v>
      </c>
      <c r="AT69" s="63" t="n">
        <v>47.0387530956093</v>
      </c>
      <c r="AU69" s="63" t="n">
        <v>91.9612469043907</v>
      </c>
      <c r="AV69" s="87" t="n">
        <f aca="false">IF(D69="","",IF(AT69="","",(AT69-D69)/D69))</f>
        <v>-0.407074540811647</v>
      </c>
      <c r="AW69" s="87" t="n">
        <f aca="false">IF(D69="","",IF(AU69="","",(AU69-D69)/D69))</f>
        <v>0.159175381147782</v>
      </c>
      <c r="AX69" s="87" t="n">
        <v>0.0359712230215827</v>
      </c>
      <c r="AY69" s="45" t="n">
        <f aca="false">IF(D69="","",IF(AP69="","",(AP69-D69)/D69))</f>
        <v>-0.123949579831932</v>
      </c>
      <c r="AZ69" s="64" t="n">
        <f aca="false">IF(NOT(AY69=""),ABS(AY69),"")</f>
        <v>0.123949579831932</v>
      </c>
    </row>
    <row r="70" customFormat="false" ht="12.8" hidden="false" customHeight="false" outlineLevel="0" collapsed="false">
      <c r="A70" s="56" t="n">
        <v>52</v>
      </c>
      <c r="B70" s="25" t="n">
        <v>61</v>
      </c>
      <c r="C70" s="57" t="n">
        <v>53</v>
      </c>
      <c r="D70" s="65" t="n">
        <v>55.3333333333333</v>
      </c>
      <c r="E70" s="66" t="n">
        <v>16.2222222222222</v>
      </c>
      <c r="F70" s="63" t="n">
        <v>4.02768199119819</v>
      </c>
      <c r="G70" s="63" t="n">
        <v>10.006124261708</v>
      </c>
      <c r="H70" s="63" t="n">
        <v>45.3272090716254</v>
      </c>
      <c r="I70" s="63" t="n">
        <v>65.3394575950413</v>
      </c>
      <c r="J70" s="64" t="n">
        <v>0.0727894335758709</v>
      </c>
      <c r="L70" s="58" t="n">
        <v>59</v>
      </c>
      <c r="M70" s="0" t="n">
        <v>57</v>
      </c>
      <c r="N70" s="59" t="n">
        <v>63</v>
      </c>
      <c r="O70" s="59" t="n">
        <f aca="false">IF(A70="","",IF(L70="","",A70-L70))</f>
        <v>-7</v>
      </c>
      <c r="P70" s="59" t="n">
        <f aca="false">IF(B70="","",IF(M70="","",B70-M70))</f>
        <v>4</v>
      </c>
      <c r="Q70" s="59" t="n">
        <f aca="false">IF(C70="","",IF(N70="","",C70-N70))</f>
        <v>-10</v>
      </c>
      <c r="R70" s="65" t="n">
        <v>60</v>
      </c>
      <c r="S70" s="66" t="n">
        <v>6.22222222222222</v>
      </c>
      <c r="T70" s="63" t="n">
        <v>2.49443825784929</v>
      </c>
      <c r="U70" s="63" t="n">
        <v>6.19702827227756</v>
      </c>
      <c r="V70" s="63" t="n">
        <v>53</v>
      </c>
      <c r="W70" s="63" t="n">
        <v>66</v>
      </c>
      <c r="X70" s="87" t="n">
        <f aca="false">IF(D70="","",IF(V70="","",(V70-D70)/D70))</f>
        <v>-0.0421686746987946</v>
      </c>
      <c r="Y70" s="87" t="n">
        <f aca="false">IF(D70="","",IF(W70="","",(W70-D70)/D70))</f>
        <v>0.19277108433735</v>
      </c>
      <c r="Z70" s="87" t="n">
        <v>0.0418062277851837</v>
      </c>
      <c r="AA70" s="87" t="n">
        <f aca="false">IF(D70="","",IF(R70="","",(R70-D70)/D70))</f>
        <v>0.084337349397591</v>
      </c>
      <c r="AB70" s="64" t="n">
        <f aca="false">IF(NOT(AA70=""),ABS(AA70),"")</f>
        <v>0.084337349397591</v>
      </c>
      <c r="AD70" s="65" t="n">
        <v>56.3333333333333</v>
      </c>
      <c r="AE70" s="66" t="n">
        <v>22.8888888888889</v>
      </c>
      <c r="AF70" s="63" t="n">
        <v>4.78423336480244</v>
      </c>
      <c r="AG70" s="63" t="n">
        <v>11.8856537457122</v>
      </c>
      <c r="AH70" s="63" t="n">
        <v>44.4476795876211</v>
      </c>
      <c r="AI70" s="63" t="n">
        <v>68.2189870790456</v>
      </c>
      <c r="AJ70" s="87" t="n">
        <f aca="false">IF(D70="","",IF(AH70="","",(AH70-D70)/D70))</f>
        <v>-0.196728682151425</v>
      </c>
      <c r="AK70" s="87" t="n">
        <f aca="false">IF(D70="","",IF(AI70="","",(AI70-D70)/D70))</f>
        <v>0.23287326046468</v>
      </c>
      <c r="AL70" s="87" t="n">
        <v>0.0849272194935345</v>
      </c>
      <c r="AM70" s="87" t="n">
        <f aca="false">IF(D70="","",IF(AD70="","",(AD70-D70)/D70))</f>
        <v>0.0180722891566265</v>
      </c>
      <c r="AN70" s="64" t="n">
        <f aca="false">IF(NOT(AM70=""),ABS(AM70),"")</f>
        <v>0.0180722891566265</v>
      </c>
      <c r="AP70" s="65" t="n">
        <v>62.5</v>
      </c>
      <c r="AQ70" s="66" t="n">
        <v>6.25</v>
      </c>
      <c r="AR70" s="63" t="n">
        <v>2.5</v>
      </c>
      <c r="AS70" s="63" t="n">
        <v>22.4612469043907</v>
      </c>
      <c r="AT70" s="63" t="n">
        <v>40.0387530956093</v>
      </c>
      <c r="AU70" s="63" t="n">
        <v>84.9612469043907</v>
      </c>
      <c r="AV70" s="87" t="n">
        <f aca="false">IF(D70="","",IF(AT70="","",(AT70-D70)/D70))</f>
        <v>-0.276408076585374</v>
      </c>
      <c r="AW70" s="87" t="n">
        <f aca="false">IF(D70="","",IF(AU70="","",(AU70-D70)/D70))</f>
        <v>0.535444221163688</v>
      </c>
      <c r="AX70" s="87" t="n">
        <v>0.04</v>
      </c>
      <c r="AY70" s="45" t="n">
        <f aca="false">IF(D70="","",IF(AP70="","",(AP70-D70)/D70))</f>
        <v>0.129518072289157</v>
      </c>
      <c r="AZ70" s="64" t="n">
        <f aca="false">IF(NOT(AY70=""),ABS(AY70),"")</f>
        <v>0.129518072289157</v>
      </c>
    </row>
    <row r="71" customFormat="false" ht="12.8" hidden="false" customHeight="false" outlineLevel="0" collapsed="false">
      <c r="A71" s="56" t="n">
        <v>46</v>
      </c>
      <c r="B71" s="25" t="n">
        <v>57</v>
      </c>
      <c r="C71" s="57" t="n">
        <v>47</v>
      </c>
      <c r="D71" s="65" t="n">
        <v>50</v>
      </c>
      <c r="E71" s="66" t="n">
        <v>24.6666666666667</v>
      </c>
      <c r="F71" s="63" t="n">
        <v>4.96655480858378</v>
      </c>
      <c r="G71" s="63" t="n">
        <v>12.3386018746948</v>
      </c>
      <c r="H71" s="63" t="n">
        <v>37.6613981253052</v>
      </c>
      <c r="I71" s="63" t="n">
        <v>62.3386018746948</v>
      </c>
      <c r="J71" s="64" t="n">
        <v>0.0993310961716756</v>
      </c>
      <c r="L71" s="58" t="n">
        <v>49</v>
      </c>
      <c r="M71" s="0" t="n">
        <v>48</v>
      </c>
      <c r="N71" s="59" t="n">
        <v>53</v>
      </c>
      <c r="O71" s="59" t="n">
        <f aca="false">IF(A71="","",IF(L71="","",A71-L71))</f>
        <v>-3</v>
      </c>
      <c r="P71" s="59" t="n">
        <f aca="false">IF(B71="","",IF(M71="","",B71-M71))</f>
        <v>9</v>
      </c>
      <c r="Q71" s="59" t="n">
        <f aca="false">IF(C71="","",IF(N71="","",C71-N71))</f>
        <v>-6</v>
      </c>
      <c r="R71" s="65" t="n">
        <v>50</v>
      </c>
      <c r="S71" s="66" t="n">
        <v>4.66666666666667</v>
      </c>
      <c r="T71" s="63" t="n">
        <v>2.16024689946929</v>
      </c>
      <c r="U71" s="63" t="n">
        <v>5.36678391176276</v>
      </c>
      <c r="V71" s="63" t="n">
        <v>45</v>
      </c>
      <c r="W71" s="63" t="n">
        <v>55</v>
      </c>
      <c r="X71" s="87" t="n">
        <f aca="false">IF(D71="","",IF(V71="","",(V71-D71)/D71))</f>
        <v>-0.1</v>
      </c>
      <c r="Y71" s="87" t="n">
        <f aca="false">IF(D71="","",IF(W71="","",(W71-D71)/D71))</f>
        <v>0.1</v>
      </c>
      <c r="Z71" s="87" t="n">
        <v>0.0432049379893857</v>
      </c>
      <c r="AA71" s="87" t="n">
        <f aca="false">IF(D71="","",IF(R71="","",(R71-D71)/D71))</f>
        <v>0</v>
      </c>
      <c r="AB71" s="64" t="n">
        <f aca="false">IF(NOT(AA71=""),ABS(AA71),"")</f>
        <v>0</v>
      </c>
      <c r="AD71" s="65" t="n">
        <v>47.6666666666667</v>
      </c>
      <c r="AE71" s="66" t="n">
        <v>36.2222222222222</v>
      </c>
      <c r="AF71" s="63" t="n">
        <v>6.0184900284226</v>
      </c>
      <c r="AG71" s="63" t="n">
        <v>14.951964734021</v>
      </c>
      <c r="AH71" s="63" t="n">
        <v>32.7147019326457</v>
      </c>
      <c r="AI71" s="63" t="n">
        <v>62.6186314006877</v>
      </c>
      <c r="AJ71" s="87" t="n">
        <f aca="false">IF(D71="","",IF(AH71="","",(AH71-D71)/D71))</f>
        <v>-0.345705961347086</v>
      </c>
      <c r="AK71" s="87" t="n">
        <f aca="false">IF(D71="","",IF(AI71="","",(AI71-D71)/D71))</f>
        <v>0.252372628013754</v>
      </c>
      <c r="AL71" s="87" t="n">
        <v>0.126262028568306</v>
      </c>
      <c r="AM71" s="87" t="n">
        <f aca="false">IF(D71="","",IF(AD71="","",(AD71-D71)/D71))</f>
        <v>-0.046666666666666</v>
      </c>
      <c r="AN71" s="64" t="n">
        <f aca="false">IF(NOT(AM71=""),ABS(AM71),"")</f>
        <v>0.046666666666666</v>
      </c>
      <c r="AP71" s="65" t="n">
        <v>48</v>
      </c>
      <c r="AQ71" s="66" t="n">
        <v>9</v>
      </c>
      <c r="AR71" s="63" t="n">
        <v>3</v>
      </c>
      <c r="AS71" s="63" t="n">
        <v>26.9534962852688</v>
      </c>
      <c r="AT71" s="63" t="n">
        <v>21.0465037147312</v>
      </c>
      <c r="AU71" s="63" t="n">
        <v>74.9534962852688</v>
      </c>
      <c r="AV71" s="87" t="n">
        <f aca="false">IF(D71="","",IF(AT71="","",(AT71-D71)/D71))</f>
        <v>-0.579069925705376</v>
      </c>
      <c r="AW71" s="87" t="n">
        <f aca="false">IF(D71="","",IF(AU71="","",(AU71-D71)/D71))</f>
        <v>0.499069925705376</v>
      </c>
      <c r="AX71" s="87" t="n">
        <v>0.0625</v>
      </c>
      <c r="AY71" s="45" t="n">
        <f aca="false">IF(D71="","",IF(AP71="","",(AP71-D71)/D71))</f>
        <v>-0.04</v>
      </c>
      <c r="AZ71" s="64" t="n">
        <f aca="false">IF(NOT(AY71=""),ABS(AY71),"")</f>
        <v>0.04</v>
      </c>
    </row>
    <row r="72" customFormat="false" ht="12.8" hidden="false" customHeight="false" outlineLevel="0" collapsed="false">
      <c r="A72" s="56" t="n">
        <v>43</v>
      </c>
      <c r="B72" s="25" t="n">
        <v>40</v>
      </c>
      <c r="C72" s="57" t="n">
        <v>47</v>
      </c>
      <c r="D72" s="65" t="n">
        <v>43.3333333333333</v>
      </c>
      <c r="E72" s="66" t="n">
        <v>8.22222222222222</v>
      </c>
      <c r="F72" s="63" t="n">
        <v>2.86744175568088</v>
      </c>
      <c r="G72" s="63" t="n">
        <v>7.12369511377867</v>
      </c>
      <c r="H72" s="63" t="n">
        <v>36.2096382195547</v>
      </c>
      <c r="I72" s="63" t="n">
        <v>50.457028447112</v>
      </c>
      <c r="J72" s="64" t="n">
        <v>0.0661717328234048</v>
      </c>
      <c r="L72" s="58" t="n">
        <v>50</v>
      </c>
      <c r="M72" s="0" t="n">
        <v>44</v>
      </c>
      <c r="N72" s="59" t="n">
        <v>43</v>
      </c>
      <c r="O72" s="59" t="n">
        <f aca="false">IF(A72="","",IF(L72="","",A72-L72))</f>
        <v>-7</v>
      </c>
      <c r="P72" s="59" t="n">
        <f aca="false">IF(B72="","",IF(M72="","",B72-M72))</f>
        <v>-4</v>
      </c>
      <c r="Q72" s="59" t="n">
        <f aca="false">IF(C72="","",IF(N72="","",C72-N72))</f>
        <v>4</v>
      </c>
      <c r="R72" s="65" t="n">
        <v>46</v>
      </c>
      <c r="S72" s="66" t="n">
        <v>9.55555555555556</v>
      </c>
      <c r="T72" s="63" t="n">
        <v>3.09120616516524</v>
      </c>
      <c r="U72" s="63" t="n">
        <v>7.67960158592349</v>
      </c>
      <c r="V72" s="63" t="n">
        <v>38</v>
      </c>
      <c r="W72" s="63" t="n">
        <v>53</v>
      </c>
      <c r="X72" s="87" t="n">
        <f aca="false">IF(D72="","",IF(V72="","",(V72-D72)/D72))</f>
        <v>-0.123076923076922</v>
      </c>
      <c r="Y72" s="87" t="n">
        <f aca="false">IF(D72="","",IF(W72="","",(W72-D72)/D72))</f>
        <v>0.223076923076924</v>
      </c>
      <c r="Z72" s="87" t="n">
        <v>0.0676906459525234</v>
      </c>
      <c r="AA72" s="87" t="n">
        <f aca="false">IF(D72="","",IF(R72="","",(R72-D72)/D72))</f>
        <v>0.0615384615384624</v>
      </c>
      <c r="AB72" s="64" t="n">
        <f aca="false">IF(NOT(AA72=""),ABS(AA72),"")</f>
        <v>0.0615384615384624</v>
      </c>
      <c r="AD72" s="65" t="n">
        <v>81</v>
      </c>
      <c r="AE72" s="66" t="n">
        <v>2528.66666666667</v>
      </c>
      <c r="AF72" s="63" t="n">
        <v>50.2858495669176</v>
      </c>
      <c r="AG72" s="63" t="n">
        <v>124.927057417074</v>
      </c>
      <c r="AH72" s="63" t="n">
        <v>-43.9270574170739</v>
      </c>
      <c r="AI72" s="63" t="n">
        <v>205.927057417074</v>
      </c>
      <c r="AJ72" s="87" t="n">
        <f aca="false">IF(D72="","",IF(AH72="","",(AH72-D72)/D72))</f>
        <v>-2.0137013250094</v>
      </c>
      <c r="AK72" s="87" t="n">
        <f aca="false">IF(D72="","",IF(AI72="","",(AI72-D72)/D72))</f>
        <v>3.75216286347094</v>
      </c>
      <c r="AL72" s="87" t="n">
        <v>0.620812957616267</v>
      </c>
      <c r="AM72" s="87" t="n">
        <f aca="false">IF(D72="","",IF(AD72="","",(AD72-D72)/D72))</f>
        <v>0.869230769230771</v>
      </c>
      <c r="AN72" s="64" t="n">
        <f aca="false">IF(NOT(AM72=""),ABS(AM72),"")</f>
        <v>0.869230769230771</v>
      </c>
      <c r="AP72" s="65" t="n">
        <v>42</v>
      </c>
      <c r="AQ72" s="66" t="n">
        <v>4</v>
      </c>
      <c r="AR72" s="63" t="n">
        <v>2</v>
      </c>
      <c r="AS72" s="63" t="n">
        <v>17.9689975235125</v>
      </c>
      <c r="AT72" s="63" t="n">
        <v>24.0310024764875</v>
      </c>
      <c r="AU72" s="63" t="n">
        <v>59.9689975235125</v>
      </c>
      <c r="AV72" s="87" t="n">
        <f aca="false">IF(D72="","",IF(AT72="","",(AT72-D72)/D72))</f>
        <v>-0.44543840438875</v>
      </c>
      <c r="AW72" s="87" t="n">
        <f aca="false">IF(D72="","",IF(AU72="","",(AU72-D72)/D72))</f>
        <v>0.38389994285029</v>
      </c>
      <c r="AX72" s="87" t="n">
        <v>0.0476190476190476</v>
      </c>
      <c r="AY72" s="45" t="n">
        <f aca="false">IF(D72="","",IF(AP72="","",(AP72-D72)/D72))</f>
        <v>-0.03076923076923</v>
      </c>
      <c r="AZ72" s="64" t="n">
        <f aca="false">IF(NOT(AY72=""),ABS(AY72),"")</f>
        <v>0.03076923076923</v>
      </c>
    </row>
    <row r="73" customFormat="false" ht="12.8" hidden="false" customHeight="false" outlineLevel="0" collapsed="false">
      <c r="A73" s="56" t="n">
        <v>1756</v>
      </c>
      <c r="B73" s="25"/>
      <c r="C73" s="57"/>
      <c r="D73" s="65" t="n">
        <v>1756</v>
      </c>
      <c r="E73" s="66" t="n">
        <v>0</v>
      </c>
      <c r="F73" s="63" t="n">
        <v>0</v>
      </c>
      <c r="G73" s="63" t="n">
        <v>0</v>
      </c>
      <c r="H73" s="63" t="n">
        <v>1756</v>
      </c>
      <c r="I73" s="63" t="n">
        <v>1756</v>
      </c>
      <c r="J73" s="64" t="n">
        <v>0</v>
      </c>
      <c r="L73" s="58"/>
      <c r="N73" s="59"/>
      <c r="O73" s="59" t="str">
        <f aca="false">IF(A73="","",IF(L73="","",A73-L73))</f>
        <v/>
      </c>
      <c r="P73" s="59" t="str">
        <f aca="false">IF(B73="","",IF(M73="","",B73-M73))</f>
        <v/>
      </c>
      <c r="Q73" s="59" t="str">
        <f aca="false">IF(C73="","",IF(N73="","",C73-N73))</f>
        <v/>
      </c>
      <c r="R73" s="65" t="str">
        <f aca="false">IF(COUNT(O73:Q73)&gt;0,AVERAGE(O73:Q73),"")</f>
        <v/>
      </c>
      <c r="S73" s="66"/>
      <c r="T73" s="63"/>
      <c r="U73" s="63"/>
      <c r="V73" s="63" t="str">
        <f aca="false">IF(R73="","",R73-U73)</f>
        <v/>
      </c>
      <c r="W73" s="63" t="str">
        <f aca="false">IF(R73="","",R73+U73)</f>
        <v/>
      </c>
      <c r="X73" s="87" t="str">
        <f aca="false">IF(D73="","",IF(V73="","",(V73-D73)/D73))</f>
        <v/>
      </c>
      <c r="Y73" s="87" t="str">
        <f aca="false">IF(D73="","",IF(W73="","",(W73-D73)/D73))</f>
        <v/>
      </c>
      <c r="Z73" s="87"/>
      <c r="AA73" s="87" t="str">
        <f aca="false">IF(D73="","",IF(R73="","",(R73-D73)/D73))</f>
        <v/>
      </c>
      <c r="AB73" s="64" t="str">
        <f aca="false">IF(NOT(AA73=""),ABS(AA73),"")</f>
        <v/>
      </c>
      <c r="AD73" s="65"/>
      <c r="AE73" s="66"/>
      <c r="AF73" s="63"/>
      <c r="AG73" s="63"/>
      <c r="AH73" s="63"/>
      <c r="AI73" s="63"/>
      <c r="AJ73" s="87" t="str">
        <f aca="false">IF(D73="","",IF(AH73="","",(AH73-D73)/D73))</f>
        <v/>
      </c>
      <c r="AK73" s="87" t="str">
        <f aca="false">IF(D73="","",IF(AI73="","",(AI73-D73)/D73))</f>
        <v/>
      </c>
      <c r="AL73" s="87"/>
      <c r="AM73" s="87" t="str">
        <f aca="false">IF(D73="","",IF(AD73="","",(AD73-D73)/D73))</f>
        <v/>
      </c>
      <c r="AN73" s="64" t="str">
        <f aca="false">IF(NOT(AM73=""),ABS(AM73),"")</f>
        <v/>
      </c>
      <c r="AP73" s="65"/>
      <c r="AQ73" s="66"/>
      <c r="AR73" s="63"/>
      <c r="AS73" s="63"/>
      <c r="AT73" s="63"/>
      <c r="AU73" s="63"/>
      <c r="AV73" s="87" t="str">
        <f aca="false">IF(D73="","",IF(AT73="","",(AT73-D73)/D73))</f>
        <v/>
      </c>
      <c r="AW73" s="87" t="str">
        <f aca="false">IF(D73="","",IF(AU73="","",(AU73-D73)/D73))</f>
        <v/>
      </c>
      <c r="AX73" s="87"/>
      <c r="AY73" s="45" t="str">
        <f aca="false">IF(D73="","",IF(AP73="","",(AP73-D73)/D73))</f>
        <v/>
      </c>
      <c r="AZ73" s="64" t="str">
        <f aca="false">IF(NOT(AY73=""),ABS(AY73),"")</f>
        <v/>
      </c>
    </row>
    <row r="74" customFormat="false" ht="12.8" hidden="false" customHeight="false" outlineLevel="0" collapsed="false">
      <c r="A74" s="56" t="n">
        <v>1352</v>
      </c>
      <c r="B74" s="25"/>
      <c r="C74" s="57"/>
      <c r="D74" s="65" t="n">
        <v>1352</v>
      </c>
      <c r="E74" s="66" t="n">
        <v>0</v>
      </c>
      <c r="F74" s="63" t="n">
        <v>0</v>
      </c>
      <c r="G74" s="63" t="n">
        <v>0</v>
      </c>
      <c r="H74" s="63" t="n">
        <v>1352</v>
      </c>
      <c r="I74" s="63" t="n">
        <v>1352</v>
      </c>
      <c r="J74" s="64" t="n">
        <v>0</v>
      </c>
      <c r="L74" s="58"/>
      <c r="N74" s="59"/>
      <c r="O74" s="59" t="str">
        <f aca="false">IF(A74="","",IF(L74="","",A74-L74))</f>
        <v/>
      </c>
      <c r="P74" s="59" t="str">
        <f aca="false">IF(B74="","",IF(M74="","",B74-M74))</f>
        <v/>
      </c>
      <c r="Q74" s="59" t="str">
        <f aca="false">IF(C74="","",IF(N74="","",C74-N74))</f>
        <v/>
      </c>
      <c r="R74" s="65" t="str">
        <f aca="false">IF(COUNT(O74:Q74)&gt;0,AVERAGE(O74:Q74),"")</f>
        <v/>
      </c>
      <c r="S74" s="66"/>
      <c r="T74" s="63"/>
      <c r="U74" s="63"/>
      <c r="V74" s="63" t="str">
        <f aca="false">IF(R74="","",R74-U74)</f>
        <v/>
      </c>
      <c r="W74" s="63" t="str">
        <f aca="false">IF(R74="","",R74+U74)</f>
        <v/>
      </c>
      <c r="X74" s="87" t="str">
        <f aca="false">IF(D74="","",IF(V74="","",(V74-D74)/D74))</f>
        <v/>
      </c>
      <c r="Y74" s="87" t="str">
        <f aca="false">IF(D74="","",IF(W74="","",(W74-D74)/D74))</f>
        <v/>
      </c>
      <c r="Z74" s="87"/>
      <c r="AA74" s="87" t="str">
        <f aca="false">IF(D74="","",IF(R74="","",(R74-D74)/D74))</f>
        <v/>
      </c>
      <c r="AB74" s="64" t="str">
        <f aca="false">IF(NOT(AA74=""),ABS(AA74),"")</f>
        <v/>
      </c>
      <c r="AD74" s="65"/>
      <c r="AE74" s="66"/>
      <c r="AF74" s="63"/>
      <c r="AG74" s="63"/>
      <c r="AH74" s="63"/>
      <c r="AI74" s="63"/>
      <c r="AJ74" s="87" t="str">
        <f aca="false">IF(D74="","",IF(AH74="","",(AH74-D74)/D74))</f>
        <v/>
      </c>
      <c r="AK74" s="87" t="str">
        <f aca="false">IF(D74="","",IF(AI74="","",(AI74-D74)/D74))</f>
        <v/>
      </c>
      <c r="AL74" s="87"/>
      <c r="AM74" s="87" t="str">
        <f aca="false">IF(D74="","",IF(AD74="","",(AD74-D74)/D74))</f>
        <v/>
      </c>
      <c r="AN74" s="64" t="str">
        <f aca="false">IF(NOT(AM74=""),ABS(AM74),"")</f>
        <v/>
      </c>
      <c r="AP74" s="65"/>
      <c r="AQ74" s="66"/>
      <c r="AR74" s="63"/>
      <c r="AS74" s="63"/>
      <c r="AT74" s="63"/>
      <c r="AU74" s="63"/>
      <c r="AV74" s="87" t="str">
        <f aca="false">IF(D74="","",IF(AT74="","",(AT74-D74)/D74))</f>
        <v/>
      </c>
      <c r="AW74" s="87" t="str">
        <f aca="false">IF(D74="","",IF(AU74="","",(AU74-D74)/D74))</f>
        <v/>
      </c>
      <c r="AX74" s="87"/>
      <c r="AY74" s="45" t="str">
        <f aca="false">IF(D74="","",IF(AP74="","",(AP74-D74)/D74))</f>
        <v/>
      </c>
      <c r="AZ74" s="64" t="str">
        <f aca="false">IF(NOT(AY74=""),ABS(AY74),"")</f>
        <v/>
      </c>
    </row>
    <row r="75" customFormat="false" ht="12.8" hidden="false" customHeight="false" outlineLevel="0" collapsed="false">
      <c r="A75" s="56" t="n">
        <v>919</v>
      </c>
      <c r="B75" s="25"/>
      <c r="C75" s="57" t="n">
        <v>770</v>
      </c>
      <c r="D75" s="65" t="n">
        <v>844.5</v>
      </c>
      <c r="E75" s="66" t="n">
        <v>5550.25</v>
      </c>
      <c r="F75" s="63" t="n">
        <v>74.5</v>
      </c>
      <c r="G75" s="63" t="n">
        <v>669.345157750842</v>
      </c>
      <c r="H75" s="63" t="n">
        <v>175.154842249158</v>
      </c>
      <c r="I75" s="63" t="n">
        <v>1513.84515775084</v>
      </c>
      <c r="J75" s="64" t="n">
        <v>0.0882178804026051</v>
      </c>
      <c r="L75" s="58"/>
      <c r="N75" s="59"/>
      <c r="O75" s="59" t="str">
        <f aca="false">IF(A75="","",IF(L75="","",A75-L75))</f>
        <v/>
      </c>
      <c r="P75" s="59" t="str">
        <f aca="false">IF(B75="","",IF(M75="","",B75-M75))</f>
        <v/>
      </c>
      <c r="Q75" s="59" t="str">
        <f aca="false">IF(C75="","",IF(N75="","",C75-N75))</f>
        <v/>
      </c>
      <c r="R75" s="65" t="str">
        <f aca="false">IF(COUNT(O75:Q75)&gt;0,AVERAGE(O75:Q75),"")</f>
        <v/>
      </c>
      <c r="S75" s="66"/>
      <c r="T75" s="63"/>
      <c r="U75" s="63"/>
      <c r="V75" s="63" t="str">
        <f aca="false">IF(R75="","",R75-U75)</f>
        <v/>
      </c>
      <c r="W75" s="63" t="str">
        <f aca="false">IF(R75="","",R75+U75)</f>
        <v/>
      </c>
      <c r="X75" s="87" t="str">
        <f aca="false">IF(D75="","",IF(V75="","",(V75-D75)/D75))</f>
        <v/>
      </c>
      <c r="Y75" s="87" t="str">
        <f aca="false">IF(D75="","",IF(W75="","",(W75-D75)/D75))</f>
        <v/>
      </c>
      <c r="Z75" s="87"/>
      <c r="AA75" s="87" t="str">
        <f aca="false">IF(D75="","",IF(R75="","",(R75-D75)/D75))</f>
        <v/>
      </c>
      <c r="AB75" s="64" t="str">
        <f aca="false">IF(NOT(AA75=""),ABS(AA75),"")</f>
        <v/>
      </c>
      <c r="AD75" s="65"/>
      <c r="AE75" s="66"/>
      <c r="AF75" s="63"/>
      <c r="AG75" s="63"/>
      <c r="AH75" s="63"/>
      <c r="AI75" s="63"/>
      <c r="AJ75" s="87" t="str">
        <f aca="false">IF(D75="","",IF(AH75="","",(AH75-D75)/D75))</f>
        <v/>
      </c>
      <c r="AK75" s="87" t="str">
        <f aca="false">IF(D75="","",IF(AI75="","",(AI75-D75)/D75))</f>
        <v/>
      </c>
      <c r="AL75" s="87"/>
      <c r="AM75" s="87" t="str">
        <f aca="false">IF(D75="","",IF(AD75="","",(AD75-D75)/D75))</f>
        <v/>
      </c>
      <c r="AN75" s="64" t="str">
        <f aca="false">IF(NOT(AM75=""),ABS(AM75),"")</f>
        <v/>
      </c>
      <c r="AP75" s="65"/>
      <c r="AQ75" s="66"/>
      <c r="AR75" s="63"/>
      <c r="AS75" s="63"/>
      <c r="AT75" s="63"/>
      <c r="AU75" s="63"/>
      <c r="AV75" s="87" t="str">
        <f aca="false">IF(D75="","",IF(AT75="","",(AT75-D75)/D75))</f>
        <v/>
      </c>
      <c r="AW75" s="87" t="str">
        <f aca="false">IF(D75="","",IF(AU75="","",(AU75-D75)/D75))</f>
        <v/>
      </c>
      <c r="AX75" s="87"/>
      <c r="AY75" s="45" t="str">
        <f aca="false">IF(D75="","",IF(AP75="","",(AP75-D75)/D75))</f>
        <v/>
      </c>
      <c r="AZ75" s="64" t="str">
        <f aca="false">IF(NOT(AY75=""),ABS(AY75),"")</f>
        <v/>
      </c>
    </row>
    <row r="76" customFormat="false" ht="12.8" hidden="false" customHeight="false" outlineLevel="0" collapsed="false">
      <c r="A76" s="56" t="n">
        <v>795</v>
      </c>
      <c r="B76" s="25"/>
      <c r="C76" s="57" t="n">
        <v>728</v>
      </c>
      <c r="D76" s="65" t="n">
        <v>761.5</v>
      </c>
      <c r="E76" s="66" t="n">
        <v>1122.25</v>
      </c>
      <c r="F76" s="63" t="n">
        <v>33.5</v>
      </c>
      <c r="G76" s="63" t="n">
        <v>300.980708518835</v>
      </c>
      <c r="H76" s="63" t="n">
        <v>460.519291481165</v>
      </c>
      <c r="I76" s="63" t="n">
        <v>1062.48070851884</v>
      </c>
      <c r="J76" s="64" t="n">
        <v>0.0439921208141825</v>
      </c>
      <c r="L76" s="58"/>
      <c r="N76" s="59"/>
      <c r="O76" s="59" t="str">
        <f aca="false">IF(A76="","",IF(L76="","",A76-L76))</f>
        <v/>
      </c>
      <c r="P76" s="59" t="str">
        <f aca="false">IF(B76="","",IF(M76="","",B76-M76))</f>
        <v/>
      </c>
      <c r="Q76" s="59" t="str">
        <f aca="false">IF(C76="","",IF(N76="","",C76-N76))</f>
        <v/>
      </c>
      <c r="R76" s="65" t="str">
        <f aca="false">IF(COUNT(O76:Q76)&gt;0,AVERAGE(O76:Q76),"")</f>
        <v/>
      </c>
      <c r="S76" s="66"/>
      <c r="T76" s="63"/>
      <c r="U76" s="63"/>
      <c r="V76" s="63" t="str">
        <f aca="false">IF(R76="","",R76-U76)</f>
        <v/>
      </c>
      <c r="W76" s="63" t="str">
        <f aca="false">IF(R76="","",R76+U76)</f>
        <v/>
      </c>
      <c r="X76" s="87" t="str">
        <f aca="false">IF(D76="","",IF(V76="","",(V76-D76)/D76))</f>
        <v/>
      </c>
      <c r="Y76" s="87" t="str">
        <f aca="false">IF(D76="","",IF(W76="","",(W76-D76)/D76))</f>
        <v/>
      </c>
      <c r="Z76" s="87"/>
      <c r="AA76" s="87" t="str">
        <f aca="false">IF(D76="","",IF(R76="","",(R76-D76)/D76))</f>
        <v/>
      </c>
      <c r="AB76" s="64" t="str">
        <f aca="false">IF(NOT(AA76=""),ABS(AA76),"")</f>
        <v/>
      </c>
      <c r="AD76" s="65"/>
      <c r="AE76" s="66"/>
      <c r="AF76" s="63"/>
      <c r="AG76" s="63"/>
      <c r="AH76" s="63"/>
      <c r="AI76" s="63"/>
      <c r="AJ76" s="87" t="str">
        <f aca="false">IF(D76="","",IF(AH76="","",(AH76-D76)/D76))</f>
        <v/>
      </c>
      <c r="AK76" s="87" t="str">
        <f aca="false">IF(D76="","",IF(AI76="","",(AI76-D76)/D76))</f>
        <v/>
      </c>
      <c r="AL76" s="87"/>
      <c r="AM76" s="87" t="str">
        <f aca="false">IF(D76="","",IF(AD76="","",(AD76-D76)/D76))</f>
        <v/>
      </c>
      <c r="AN76" s="64" t="str">
        <f aca="false">IF(NOT(AM76=""),ABS(AM76),"")</f>
        <v/>
      </c>
      <c r="AP76" s="65"/>
      <c r="AQ76" s="66"/>
      <c r="AR76" s="63"/>
      <c r="AS76" s="63"/>
      <c r="AT76" s="63"/>
      <c r="AU76" s="63"/>
      <c r="AV76" s="87" t="str">
        <f aca="false">IF(D76="","",IF(AT76="","",(AT76-D76)/D76))</f>
        <v/>
      </c>
      <c r="AW76" s="87" t="str">
        <f aca="false">IF(D76="","",IF(AU76="","",(AU76-D76)/D76))</f>
        <v/>
      </c>
      <c r="AX76" s="87"/>
      <c r="AY76" s="45" t="str">
        <f aca="false">IF(D76="","",IF(AP76="","",(AP76-D76)/D76))</f>
        <v/>
      </c>
      <c r="AZ76" s="64" t="str">
        <f aca="false">IF(NOT(AY76=""),ABS(AY76),"")</f>
        <v/>
      </c>
    </row>
    <row r="77" customFormat="false" ht="12.8" hidden="false" customHeight="false" outlineLevel="0" collapsed="false">
      <c r="A77" s="56" t="n">
        <v>526</v>
      </c>
      <c r="B77" s="25"/>
      <c r="C77" s="57" t="n">
        <v>489</v>
      </c>
      <c r="D77" s="65" t="n">
        <v>507.5</v>
      </c>
      <c r="E77" s="66" t="n">
        <v>342.25</v>
      </c>
      <c r="F77" s="63" t="n">
        <v>18.5</v>
      </c>
      <c r="G77" s="63" t="n">
        <v>166.213227092491</v>
      </c>
      <c r="H77" s="63" t="n">
        <v>341.286772907509</v>
      </c>
      <c r="I77" s="63" t="n">
        <v>673.713227092491</v>
      </c>
      <c r="J77" s="64" t="n">
        <v>0.0364532019704434</v>
      </c>
      <c r="L77" s="58"/>
      <c r="N77" s="59"/>
      <c r="O77" s="59" t="str">
        <f aca="false">IF(A77="","",IF(L77="","",A77-L77))</f>
        <v/>
      </c>
      <c r="P77" s="59" t="str">
        <f aca="false">IF(B77="","",IF(M77="","",B77-M77))</f>
        <v/>
      </c>
      <c r="Q77" s="59" t="str">
        <f aca="false">IF(C77="","",IF(N77="","",C77-N77))</f>
        <v/>
      </c>
      <c r="R77" s="65" t="str">
        <f aca="false">IF(COUNT(O77:Q77)&gt;0,AVERAGE(O77:Q77),"")</f>
        <v/>
      </c>
      <c r="S77" s="66"/>
      <c r="T77" s="63"/>
      <c r="U77" s="63"/>
      <c r="V77" s="63" t="str">
        <f aca="false">IF(R77="","",R77-U77)</f>
        <v/>
      </c>
      <c r="W77" s="63" t="str">
        <f aca="false">IF(R77="","",R77+U77)</f>
        <v/>
      </c>
      <c r="X77" s="87" t="str">
        <f aca="false">IF(D77="","",IF(V77="","",(V77-D77)/D77))</f>
        <v/>
      </c>
      <c r="Y77" s="87" t="str">
        <f aca="false">IF(D77="","",IF(W77="","",(W77-D77)/D77))</f>
        <v/>
      </c>
      <c r="Z77" s="87"/>
      <c r="AA77" s="87" t="str">
        <f aca="false">IF(D77="","",IF(R77="","",(R77-D77)/D77))</f>
        <v/>
      </c>
      <c r="AB77" s="64" t="str">
        <f aca="false">IF(NOT(AA77=""),ABS(AA77),"")</f>
        <v/>
      </c>
      <c r="AD77" s="65"/>
      <c r="AE77" s="66"/>
      <c r="AF77" s="63"/>
      <c r="AG77" s="63"/>
      <c r="AH77" s="63"/>
      <c r="AI77" s="63"/>
      <c r="AJ77" s="87" t="str">
        <f aca="false">IF(D77="","",IF(AH77="","",(AH77-D77)/D77))</f>
        <v/>
      </c>
      <c r="AK77" s="87" t="str">
        <f aca="false">IF(D77="","",IF(AI77="","",(AI77-D77)/D77))</f>
        <v/>
      </c>
      <c r="AL77" s="87"/>
      <c r="AM77" s="87" t="str">
        <f aca="false">IF(D77="","",IF(AD77="","",(AD77-D77)/D77))</f>
        <v/>
      </c>
      <c r="AN77" s="64" t="str">
        <f aca="false">IF(NOT(AM77=""),ABS(AM77),"")</f>
        <v/>
      </c>
      <c r="AP77" s="65"/>
      <c r="AQ77" s="66"/>
      <c r="AR77" s="63"/>
      <c r="AS77" s="63"/>
      <c r="AT77" s="63"/>
      <c r="AU77" s="63"/>
      <c r="AV77" s="87" t="str">
        <f aca="false">IF(D77="","",IF(AT77="","",(AT77-D77)/D77))</f>
        <v/>
      </c>
      <c r="AW77" s="87" t="str">
        <f aca="false">IF(D77="","",IF(AU77="","",(AU77-D77)/D77))</f>
        <v/>
      </c>
      <c r="AX77" s="87"/>
      <c r="AY77" s="45" t="str">
        <f aca="false">IF(D77="","",IF(AP77="","",(AP77-D77)/D77))</f>
        <v/>
      </c>
      <c r="AZ77" s="64" t="str">
        <f aca="false">IF(NOT(AY77=""),ABS(AY77),"")</f>
        <v/>
      </c>
    </row>
    <row r="78" customFormat="false" ht="12.8" hidden="false" customHeight="false" outlineLevel="0" collapsed="false">
      <c r="A78" s="56" t="n">
        <v>596</v>
      </c>
      <c r="B78" s="25"/>
      <c r="C78" s="57" t="n">
        <v>353</v>
      </c>
      <c r="D78" s="65" t="n">
        <v>474.5</v>
      </c>
      <c r="E78" s="66" t="n">
        <v>14762.25</v>
      </c>
      <c r="F78" s="63" t="n">
        <v>121.5</v>
      </c>
      <c r="G78" s="63" t="n">
        <v>1091.61659955339</v>
      </c>
      <c r="H78" s="63" t="n">
        <v>-617.116599553387</v>
      </c>
      <c r="I78" s="63" t="n">
        <v>1566.11659955339</v>
      </c>
      <c r="J78" s="64" t="n">
        <v>0.256059009483667</v>
      </c>
      <c r="L78" s="58"/>
      <c r="N78" s="59"/>
      <c r="O78" s="59" t="str">
        <f aca="false">IF(A78="","",IF(L78="","",A78-L78))</f>
        <v/>
      </c>
      <c r="P78" s="59" t="str">
        <f aca="false">IF(B78="","",IF(M78="","",B78-M78))</f>
        <v/>
      </c>
      <c r="Q78" s="59" t="str">
        <f aca="false">IF(C78="","",IF(N78="","",C78-N78))</f>
        <v/>
      </c>
      <c r="R78" s="65" t="str">
        <f aca="false">IF(COUNT(O78:Q78)&gt;0,AVERAGE(O78:Q78),"")</f>
        <v/>
      </c>
      <c r="S78" s="66"/>
      <c r="T78" s="63"/>
      <c r="U78" s="63"/>
      <c r="V78" s="63" t="str">
        <f aca="false">IF(R78="","",R78-U78)</f>
        <v/>
      </c>
      <c r="W78" s="63" t="str">
        <f aca="false">IF(R78="","",R78+U78)</f>
        <v/>
      </c>
      <c r="X78" s="87" t="str">
        <f aca="false">IF(D78="","",IF(V78="","",(V78-D78)/D78))</f>
        <v/>
      </c>
      <c r="Y78" s="87" t="str">
        <f aca="false">IF(D78="","",IF(W78="","",(W78-D78)/D78))</f>
        <v/>
      </c>
      <c r="Z78" s="87"/>
      <c r="AA78" s="87" t="str">
        <f aca="false">IF(D78="","",IF(R78="","",(R78-D78)/D78))</f>
        <v/>
      </c>
      <c r="AB78" s="64" t="str">
        <f aca="false">IF(NOT(AA78=""),ABS(AA78),"")</f>
        <v/>
      </c>
      <c r="AD78" s="65"/>
      <c r="AE78" s="66"/>
      <c r="AF78" s="63"/>
      <c r="AG78" s="63"/>
      <c r="AH78" s="63"/>
      <c r="AI78" s="63"/>
      <c r="AJ78" s="87" t="str">
        <f aca="false">IF(D78="","",IF(AH78="","",(AH78-D78)/D78))</f>
        <v/>
      </c>
      <c r="AK78" s="87" t="str">
        <f aca="false">IF(D78="","",IF(AI78="","",(AI78-D78)/D78))</f>
        <v/>
      </c>
      <c r="AL78" s="87"/>
      <c r="AM78" s="87" t="str">
        <f aca="false">IF(D78="","",IF(AD78="","",(AD78-D78)/D78))</f>
        <v/>
      </c>
      <c r="AN78" s="64" t="str">
        <f aca="false">IF(NOT(AM78=""),ABS(AM78),"")</f>
        <v/>
      </c>
      <c r="AP78" s="65"/>
      <c r="AQ78" s="66"/>
      <c r="AR78" s="63"/>
      <c r="AS78" s="63"/>
      <c r="AT78" s="63"/>
      <c r="AU78" s="63"/>
      <c r="AV78" s="87" t="str">
        <f aca="false">IF(D78="","",IF(AT78="","",(AT78-D78)/D78))</f>
        <v/>
      </c>
      <c r="AW78" s="87" t="str">
        <f aca="false">IF(D78="","",IF(AU78="","",(AU78-D78)/D78))</f>
        <v/>
      </c>
      <c r="AX78" s="87"/>
      <c r="AY78" s="45" t="str">
        <f aca="false">IF(D78="","",IF(AP78="","",(AP78-D78)/D78))</f>
        <v/>
      </c>
      <c r="AZ78" s="64" t="str">
        <f aca="false">IF(NOT(AY78=""),ABS(AY78),"")</f>
        <v/>
      </c>
    </row>
    <row r="79" customFormat="false" ht="12.8" hidden="false" customHeight="false" outlineLevel="0" collapsed="false">
      <c r="A79" s="56" t="n">
        <v>357</v>
      </c>
      <c r="B79" s="25"/>
      <c r="C79" s="57" t="n">
        <v>335</v>
      </c>
      <c r="D79" s="65" t="n">
        <v>346</v>
      </c>
      <c r="E79" s="66" t="n">
        <v>121</v>
      </c>
      <c r="F79" s="63" t="n">
        <v>11</v>
      </c>
      <c r="G79" s="63" t="n">
        <v>98.829486379319</v>
      </c>
      <c r="H79" s="63" t="n">
        <v>247.170513620681</v>
      </c>
      <c r="I79" s="63" t="n">
        <v>444.829486379319</v>
      </c>
      <c r="J79" s="64" t="n">
        <v>0.0317919075144509</v>
      </c>
      <c r="L79" s="58"/>
      <c r="N79" s="59"/>
      <c r="O79" s="59" t="str">
        <f aca="false">IF(A79="","",IF(L79="","",A79-L79))</f>
        <v/>
      </c>
      <c r="P79" s="59" t="str">
        <f aca="false">IF(B79="","",IF(M79="","",B79-M79))</f>
        <v/>
      </c>
      <c r="Q79" s="59" t="str">
        <f aca="false">IF(C79="","",IF(N79="","",C79-N79))</f>
        <v/>
      </c>
      <c r="R79" s="65" t="str">
        <f aca="false">IF(COUNT(O79:Q79)&gt;0,AVERAGE(O79:Q79),"")</f>
        <v/>
      </c>
      <c r="S79" s="66"/>
      <c r="T79" s="63"/>
      <c r="U79" s="63"/>
      <c r="V79" s="63" t="str">
        <f aca="false">IF(R79="","",R79-U79)</f>
        <v/>
      </c>
      <c r="W79" s="63" t="str">
        <f aca="false">IF(R79="","",R79+U79)</f>
        <v/>
      </c>
      <c r="X79" s="87" t="str">
        <f aca="false">IF(D79="","",IF(V79="","",(V79-D79)/D79))</f>
        <v/>
      </c>
      <c r="Y79" s="87" t="str">
        <f aca="false">IF(D79="","",IF(W79="","",(W79-D79)/D79))</f>
        <v/>
      </c>
      <c r="Z79" s="87"/>
      <c r="AA79" s="87" t="str">
        <f aca="false">IF(D79="","",IF(R79="","",(R79-D79)/D79))</f>
        <v/>
      </c>
      <c r="AB79" s="64" t="str">
        <f aca="false">IF(NOT(AA79=""),ABS(AA79),"")</f>
        <v/>
      </c>
      <c r="AD79" s="65"/>
      <c r="AE79" s="66"/>
      <c r="AF79" s="63"/>
      <c r="AG79" s="63"/>
      <c r="AH79" s="63"/>
      <c r="AI79" s="63"/>
      <c r="AJ79" s="87" t="str">
        <f aca="false">IF(D79="","",IF(AH79="","",(AH79-D79)/D79))</f>
        <v/>
      </c>
      <c r="AK79" s="87" t="str">
        <f aca="false">IF(D79="","",IF(AI79="","",(AI79-D79)/D79))</f>
        <v/>
      </c>
      <c r="AL79" s="87"/>
      <c r="AM79" s="87" t="str">
        <f aca="false">IF(D79="","",IF(AD79="","",(AD79-D79)/D79))</f>
        <v/>
      </c>
      <c r="AN79" s="64" t="str">
        <f aca="false">IF(NOT(AM79=""),ABS(AM79),"")</f>
        <v/>
      </c>
      <c r="AP79" s="65"/>
      <c r="AQ79" s="66"/>
      <c r="AR79" s="63"/>
      <c r="AS79" s="63"/>
      <c r="AT79" s="63"/>
      <c r="AU79" s="63"/>
      <c r="AV79" s="87" t="str">
        <f aca="false">IF(D79="","",IF(AT79="","",(AT79-D79)/D79))</f>
        <v/>
      </c>
      <c r="AW79" s="87" t="str">
        <f aca="false">IF(D79="","",IF(AU79="","",(AU79-D79)/D79))</f>
        <v/>
      </c>
      <c r="AX79" s="87"/>
      <c r="AY79" s="45" t="str">
        <f aca="false">IF(D79="","",IF(AP79="","",(AP79-D79)/D79))</f>
        <v/>
      </c>
      <c r="AZ79" s="64" t="str">
        <f aca="false">IF(NOT(AY79=""),ABS(AY79),"")</f>
        <v/>
      </c>
    </row>
    <row r="80" customFormat="false" ht="12.8" hidden="false" customHeight="false" outlineLevel="0" collapsed="false">
      <c r="A80" s="56" t="n">
        <v>255</v>
      </c>
      <c r="B80" s="25"/>
      <c r="C80" s="57" t="n">
        <v>237</v>
      </c>
      <c r="D80" s="65" t="n">
        <v>246</v>
      </c>
      <c r="E80" s="66" t="n">
        <v>81</v>
      </c>
      <c r="F80" s="63" t="n">
        <v>9</v>
      </c>
      <c r="G80" s="63" t="n">
        <v>80.8604888558065</v>
      </c>
      <c r="H80" s="63" t="n">
        <v>165.139511144194</v>
      </c>
      <c r="I80" s="63" t="n">
        <v>326.860488855806</v>
      </c>
      <c r="J80" s="64" t="n">
        <v>0.0365853658536585</v>
      </c>
      <c r="L80" s="58"/>
      <c r="N80" s="59"/>
      <c r="O80" s="59" t="str">
        <f aca="false">IF(A80="","",IF(L80="","",A80-L80))</f>
        <v/>
      </c>
      <c r="P80" s="59" t="str">
        <f aca="false">IF(B80="","",IF(M80="","",B80-M80))</f>
        <v/>
      </c>
      <c r="Q80" s="59" t="str">
        <f aca="false">IF(C80="","",IF(N80="","",C80-N80))</f>
        <v/>
      </c>
      <c r="R80" s="65" t="str">
        <f aca="false">IF(COUNT(O80:Q80)&gt;0,AVERAGE(O80:Q80),"")</f>
        <v/>
      </c>
      <c r="S80" s="66"/>
      <c r="T80" s="63"/>
      <c r="U80" s="63"/>
      <c r="V80" s="63" t="str">
        <f aca="false">IF(R80="","",R80-U80)</f>
        <v/>
      </c>
      <c r="W80" s="63" t="str">
        <f aca="false">IF(R80="","",R80+U80)</f>
        <v/>
      </c>
      <c r="X80" s="87" t="str">
        <f aca="false">IF(D80="","",IF(V80="","",(V80-D80)/D80))</f>
        <v/>
      </c>
      <c r="Y80" s="87" t="str">
        <f aca="false">IF(D80="","",IF(W80="","",(W80-D80)/D80))</f>
        <v/>
      </c>
      <c r="Z80" s="87"/>
      <c r="AA80" s="87" t="str">
        <f aca="false">IF(D80="","",IF(R80="","",(R80-D80)/D80))</f>
        <v/>
      </c>
      <c r="AB80" s="64" t="str">
        <f aca="false">IF(NOT(AA80=""),ABS(AA80),"")</f>
        <v/>
      </c>
      <c r="AD80" s="65"/>
      <c r="AE80" s="66"/>
      <c r="AF80" s="63"/>
      <c r="AG80" s="63"/>
      <c r="AH80" s="63"/>
      <c r="AI80" s="63"/>
      <c r="AJ80" s="87" t="str">
        <f aca="false">IF(D80="","",IF(AH80="","",(AH80-D80)/D80))</f>
        <v/>
      </c>
      <c r="AK80" s="87" t="str">
        <f aca="false">IF(D80="","",IF(AI80="","",(AI80-D80)/D80))</f>
        <v/>
      </c>
      <c r="AL80" s="87"/>
      <c r="AM80" s="87" t="str">
        <f aca="false">IF(D80="","",IF(AD80="","",(AD80-D80)/D80))</f>
        <v/>
      </c>
      <c r="AN80" s="64" t="str">
        <f aca="false">IF(NOT(AM80=""),ABS(AM80),"")</f>
        <v/>
      </c>
      <c r="AP80" s="65"/>
      <c r="AQ80" s="66"/>
      <c r="AR80" s="63"/>
      <c r="AS80" s="63"/>
      <c r="AT80" s="63"/>
      <c r="AU80" s="63"/>
      <c r="AV80" s="87" t="str">
        <f aca="false">IF(D80="","",IF(AT80="","",(AT80-D80)/D80))</f>
        <v/>
      </c>
      <c r="AW80" s="87" t="str">
        <f aca="false">IF(D80="","",IF(AU80="","",(AU80-D80)/D80))</f>
        <v/>
      </c>
      <c r="AX80" s="87"/>
      <c r="AY80" s="45" t="str">
        <f aca="false">IF(D80="","",IF(AP80="","",(AP80-D80)/D80))</f>
        <v/>
      </c>
      <c r="AZ80" s="64" t="str">
        <f aca="false">IF(NOT(AY80=""),ABS(AY80),"")</f>
        <v/>
      </c>
    </row>
    <row r="81" customFormat="false" ht="12.8" hidden="false" customHeight="false" outlineLevel="0" collapsed="false">
      <c r="A81" s="56" t="n">
        <v>177</v>
      </c>
      <c r="B81" s="25"/>
      <c r="C81" s="57" t="n">
        <v>246</v>
      </c>
      <c r="D81" s="65" t="n">
        <v>211.5</v>
      </c>
      <c r="E81" s="66" t="n">
        <v>1190.25</v>
      </c>
      <c r="F81" s="63" t="n">
        <v>34.5</v>
      </c>
      <c r="G81" s="63" t="n">
        <v>309.965207280591</v>
      </c>
      <c r="H81" s="63" t="n">
        <v>-98.4652072805914</v>
      </c>
      <c r="I81" s="63" t="n">
        <v>521.465207280591</v>
      </c>
      <c r="J81" s="64" t="n">
        <v>0.163120567375887</v>
      </c>
      <c r="L81" s="58"/>
      <c r="N81" s="59"/>
      <c r="O81" s="59" t="str">
        <f aca="false">IF(A81="","",IF(L81="","",A81-L81))</f>
        <v/>
      </c>
      <c r="P81" s="59" t="str">
        <f aca="false">IF(B81="","",IF(M81="","",B81-M81))</f>
        <v/>
      </c>
      <c r="Q81" s="59" t="str">
        <f aca="false">IF(C81="","",IF(N81="","",C81-N81))</f>
        <v/>
      </c>
      <c r="R81" s="65" t="str">
        <f aca="false">IF(COUNT(O81:Q81)&gt;0,AVERAGE(O81:Q81),"")</f>
        <v/>
      </c>
      <c r="S81" s="66"/>
      <c r="T81" s="63"/>
      <c r="U81" s="63"/>
      <c r="V81" s="63" t="str">
        <f aca="false">IF(R81="","",R81-U81)</f>
        <v/>
      </c>
      <c r="W81" s="63" t="str">
        <f aca="false">IF(R81="","",R81+U81)</f>
        <v/>
      </c>
      <c r="X81" s="87" t="str">
        <f aca="false">IF(D81="","",IF(V81="","",(V81-D81)/D81))</f>
        <v/>
      </c>
      <c r="Y81" s="87" t="str">
        <f aca="false">IF(D81="","",IF(W81="","",(W81-D81)/D81))</f>
        <v/>
      </c>
      <c r="Z81" s="87"/>
      <c r="AA81" s="87" t="str">
        <f aca="false">IF(D81="","",IF(R81="","",(R81-D81)/D81))</f>
        <v/>
      </c>
      <c r="AB81" s="64" t="str">
        <f aca="false">IF(NOT(AA81=""),ABS(AA81),"")</f>
        <v/>
      </c>
      <c r="AD81" s="65"/>
      <c r="AE81" s="66"/>
      <c r="AF81" s="63"/>
      <c r="AG81" s="63"/>
      <c r="AH81" s="63"/>
      <c r="AI81" s="63"/>
      <c r="AJ81" s="87" t="str">
        <f aca="false">IF(D81="","",IF(AH81="","",(AH81-D81)/D81))</f>
        <v/>
      </c>
      <c r="AK81" s="87" t="str">
        <f aca="false">IF(D81="","",IF(AI81="","",(AI81-D81)/D81))</f>
        <v/>
      </c>
      <c r="AL81" s="87"/>
      <c r="AM81" s="87" t="str">
        <f aca="false">IF(D81="","",IF(AD81="","",(AD81-D81)/D81))</f>
        <v/>
      </c>
      <c r="AN81" s="64" t="str">
        <f aca="false">IF(NOT(AM81=""),ABS(AM81),"")</f>
        <v/>
      </c>
      <c r="AP81" s="65"/>
      <c r="AQ81" s="66"/>
      <c r="AR81" s="63"/>
      <c r="AS81" s="63"/>
      <c r="AT81" s="63"/>
      <c r="AU81" s="63"/>
      <c r="AV81" s="87" t="str">
        <f aca="false">IF(D81="","",IF(AT81="","",(AT81-D81)/D81))</f>
        <v/>
      </c>
      <c r="AW81" s="87" t="str">
        <f aca="false">IF(D81="","",IF(AU81="","",(AU81-D81)/D81))</f>
        <v/>
      </c>
      <c r="AX81" s="87"/>
      <c r="AY81" s="45" t="str">
        <f aca="false">IF(D81="","",IF(AP81="","",(AP81-D81)/D81))</f>
        <v/>
      </c>
      <c r="AZ81" s="64" t="str">
        <f aca="false">IF(NOT(AY81=""),ABS(AY81),"")</f>
        <v/>
      </c>
    </row>
    <row r="82" customFormat="false" ht="12.8" hidden="false" customHeight="false" outlineLevel="0" collapsed="false">
      <c r="A82" s="56" t="n">
        <v>178</v>
      </c>
      <c r="B82" s="25"/>
      <c r="C82" s="57" t="n">
        <v>192</v>
      </c>
      <c r="D82" s="65" t="n">
        <v>185</v>
      </c>
      <c r="E82" s="66" t="n">
        <v>49</v>
      </c>
      <c r="F82" s="63" t="n">
        <v>7</v>
      </c>
      <c r="G82" s="63" t="n">
        <v>62.8914913322939</v>
      </c>
      <c r="H82" s="63" t="n">
        <v>122.108508667706</v>
      </c>
      <c r="I82" s="63" t="n">
        <v>247.891491332294</v>
      </c>
      <c r="J82" s="64" t="n">
        <v>0.0378378378378378</v>
      </c>
      <c r="L82" s="58"/>
      <c r="N82" s="59"/>
      <c r="O82" s="59" t="str">
        <f aca="false">IF(A82="","",IF(L82="","",A82-L82))</f>
        <v/>
      </c>
      <c r="P82" s="59" t="str">
        <f aca="false">IF(B82="","",IF(M82="","",B82-M82))</f>
        <v/>
      </c>
      <c r="Q82" s="59" t="str">
        <f aca="false">IF(C82="","",IF(N82="","",C82-N82))</f>
        <v/>
      </c>
      <c r="R82" s="65" t="str">
        <f aca="false">IF(COUNT(O82:Q82)&gt;0,AVERAGE(O82:Q82),"")</f>
        <v/>
      </c>
      <c r="S82" s="66"/>
      <c r="T82" s="63"/>
      <c r="U82" s="63"/>
      <c r="V82" s="63" t="str">
        <f aca="false">IF(R82="","",R82-U82)</f>
        <v/>
      </c>
      <c r="W82" s="63" t="str">
        <f aca="false">IF(R82="","",R82+U82)</f>
        <v/>
      </c>
      <c r="X82" s="87" t="str">
        <f aca="false">IF(D82="","",IF(V82="","",(V82-D82)/D82))</f>
        <v/>
      </c>
      <c r="Y82" s="87" t="str">
        <f aca="false">IF(D82="","",IF(W82="","",(W82-D82)/D82))</f>
        <v/>
      </c>
      <c r="Z82" s="87"/>
      <c r="AA82" s="87" t="str">
        <f aca="false">IF(D82="","",IF(R82="","",(R82-D82)/D82))</f>
        <v/>
      </c>
      <c r="AB82" s="64" t="str">
        <f aca="false">IF(NOT(AA82=""),ABS(AA82),"")</f>
        <v/>
      </c>
      <c r="AD82" s="65"/>
      <c r="AE82" s="66"/>
      <c r="AF82" s="63"/>
      <c r="AG82" s="63"/>
      <c r="AH82" s="63"/>
      <c r="AI82" s="63"/>
      <c r="AJ82" s="87" t="str">
        <f aca="false">IF(D82="","",IF(AH82="","",(AH82-D82)/D82))</f>
        <v/>
      </c>
      <c r="AK82" s="87" t="str">
        <f aca="false">IF(D82="","",IF(AI82="","",(AI82-D82)/D82))</f>
        <v/>
      </c>
      <c r="AL82" s="87"/>
      <c r="AM82" s="87" t="str">
        <f aca="false">IF(D82="","",IF(AD82="","",(AD82-D82)/D82))</f>
        <v/>
      </c>
      <c r="AN82" s="64" t="str">
        <f aca="false">IF(NOT(AM82=""),ABS(AM82),"")</f>
        <v/>
      </c>
      <c r="AP82" s="65"/>
      <c r="AQ82" s="66"/>
      <c r="AR82" s="63"/>
      <c r="AS82" s="63"/>
      <c r="AT82" s="63"/>
      <c r="AU82" s="63"/>
      <c r="AV82" s="87" t="str">
        <f aca="false">IF(D82="","",IF(AT82="","",(AT82-D82)/D82))</f>
        <v/>
      </c>
      <c r="AW82" s="87" t="str">
        <f aca="false">IF(D82="","",IF(AU82="","",(AU82-D82)/D82))</f>
        <v/>
      </c>
      <c r="AX82" s="87"/>
      <c r="AY82" s="45" t="str">
        <f aca="false">IF(D82="","",IF(AP82="","",(AP82-D82)/D82))</f>
        <v/>
      </c>
      <c r="AZ82" s="64" t="str">
        <f aca="false">IF(NOT(AY82=""),ABS(AY82),"")</f>
        <v/>
      </c>
    </row>
    <row r="83" customFormat="false" ht="12.8" hidden="false" customHeight="false" outlineLevel="0" collapsed="false">
      <c r="A83" s="56" t="n">
        <v>182</v>
      </c>
      <c r="B83" s="25" t="n">
        <v>165</v>
      </c>
      <c r="C83" s="57" t="n">
        <v>174</v>
      </c>
      <c r="D83" s="65" t="n">
        <v>173.666666666667</v>
      </c>
      <c r="E83" s="66" t="n">
        <v>48.2222222222222</v>
      </c>
      <c r="F83" s="63" t="n">
        <v>6.94422221866655</v>
      </c>
      <c r="G83" s="63" t="n">
        <v>17.2517965849186</v>
      </c>
      <c r="H83" s="63" t="n">
        <v>156.414870081748</v>
      </c>
      <c r="I83" s="63" t="n">
        <v>190.918463251585</v>
      </c>
      <c r="J83" s="64" t="n">
        <v>0.0399859244836846</v>
      </c>
      <c r="L83" s="58" t="n">
        <v>167</v>
      </c>
      <c r="M83" s="0" t="n">
        <v>193</v>
      </c>
      <c r="N83" s="59" t="n">
        <v>192</v>
      </c>
      <c r="O83" s="59" t="n">
        <f aca="false">IF(A83="","",IF(L83="","",A83-L83))</f>
        <v>15</v>
      </c>
      <c r="P83" s="59" t="n">
        <f aca="false">IF(B83="","",IF(M83="","",B83-M83))</f>
        <v>-28</v>
      </c>
      <c r="Q83" s="59" t="n">
        <f aca="false">IF(C83="","",IF(N83="","",C83-N83))</f>
        <v>-18</v>
      </c>
      <c r="R83" s="65" t="n">
        <v>184</v>
      </c>
      <c r="S83" s="66" t="n">
        <v>144.666666666667</v>
      </c>
      <c r="T83" s="63" t="n">
        <v>12.0277457017791</v>
      </c>
      <c r="U83" s="63" t="n">
        <v>29.8809882069222</v>
      </c>
      <c r="V83" s="63" t="n">
        <v>154</v>
      </c>
      <c r="W83" s="63" t="n">
        <v>214</v>
      </c>
      <c r="X83" s="87" t="n">
        <f aca="false">IF(D83="","",IF(V83="","",(V83-D83)/D83))</f>
        <v>-0.113243761996163</v>
      </c>
      <c r="Y83" s="87" t="n">
        <f aca="false">IF(D83="","",IF(W83="","",(W83-D83)/D83))</f>
        <v>0.232245681381955</v>
      </c>
      <c r="Z83" s="87" t="n">
        <v>0.0653681831618432</v>
      </c>
      <c r="AA83" s="87" t="n">
        <f aca="false">IF(D83="","",IF(R83="","",(R83-D83)/D83))</f>
        <v>0.0595009596928962</v>
      </c>
      <c r="AB83" s="64" t="n">
        <f aca="false">IF(NOT(AA83=""),ABS(AA83),"")</f>
        <v>0.0595009596928962</v>
      </c>
      <c r="AD83" s="65" t="n">
        <v>149.666666666667</v>
      </c>
      <c r="AE83" s="66" t="n">
        <v>1184.88888888889</v>
      </c>
      <c r="AF83" s="63" t="n">
        <v>34.4222150491349</v>
      </c>
      <c r="AG83" s="63" t="n">
        <v>85.5164240616754</v>
      </c>
      <c r="AH83" s="63" t="n">
        <v>64.1502426049913</v>
      </c>
      <c r="AI83" s="63" t="n">
        <v>235.183090728342</v>
      </c>
      <c r="AJ83" s="87" t="n">
        <f aca="false">IF(D83="","",IF(AH83="","",(AH83-D83)/D83))</f>
        <v>-0.630612806497172</v>
      </c>
      <c r="AK83" s="87" t="n">
        <f aca="false">IF(D83="","",IF(AI83="","",(AI83-D83)/D83))</f>
        <v>0.354221251794673</v>
      </c>
      <c r="AL83" s="87" t="n">
        <v>0.229992528167939</v>
      </c>
      <c r="AM83" s="87" t="n">
        <f aca="false">IF(D83="","",IF(AD83="","",(AD83-D83)/D83))</f>
        <v>-0.138195777351247</v>
      </c>
      <c r="AN83" s="64" t="n">
        <f aca="false">IF(NOT(AM83=""),ABS(AM83),"")</f>
        <v>0.138195777351247</v>
      </c>
      <c r="AP83" s="65" t="n">
        <v>163</v>
      </c>
      <c r="AQ83" s="66" t="n">
        <v>4</v>
      </c>
      <c r="AR83" s="63" t="n">
        <v>2</v>
      </c>
      <c r="AS83" s="63" t="n">
        <v>17.9689975235125</v>
      </c>
      <c r="AT83" s="63" t="n">
        <v>145.031002476487</v>
      </c>
      <c r="AU83" s="63" t="n">
        <v>180.968997523513</v>
      </c>
      <c r="AV83" s="87" t="n">
        <f aca="false">IF(D83="","",IF(AT83="","",(AT83-D83)/D83))</f>
        <v>-0.1648886613638</v>
      </c>
      <c r="AW83" s="87" t="n">
        <f aca="false">IF(D83="","",IF(AU83="","",(AU83-D83)/D83))</f>
        <v>0.0420479703849097</v>
      </c>
      <c r="AX83" s="87" t="n">
        <v>0.0122699386503067</v>
      </c>
      <c r="AY83" s="45" t="n">
        <f aca="false">IF(D83="","",IF(AP83="","",(AP83-D83)/D83))</f>
        <v>-0.0614203454894452</v>
      </c>
      <c r="AZ83" s="64" t="n">
        <f aca="false">IF(NOT(AY83=""),ABS(AY83),"")</f>
        <v>0.0614203454894452</v>
      </c>
    </row>
    <row r="84" customFormat="false" ht="12.8" hidden="false" customHeight="false" outlineLevel="0" collapsed="false">
      <c r="A84" s="56" t="n">
        <v>95</v>
      </c>
      <c r="B84" s="25" t="n">
        <v>115</v>
      </c>
      <c r="C84" s="57" t="n">
        <v>109</v>
      </c>
      <c r="D84" s="65" t="n">
        <v>106.333333333333</v>
      </c>
      <c r="E84" s="66" t="n">
        <v>70.2222222222222</v>
      </c>
      <c r="F84" s="63" t="n">
        <v>8.37987005998436</v>
      </c>
      <c r="G84" s="63" t="n">
        <v>20.8184313708008</v>
      </c>
      <c r="H84" s="63" t="n">
        <v>85.5149019625326</v>
      </c>
      <c r="I84" s="63" t="n">
        <v>127.151764704134</v>
      </c>
      <c r="J84" s="64" t="n">
        <v>0.0788075554230504</v>
      </c>
      <c r="L84" s="58" t="n">
        <v>110</v>
      </c>
      <c r="M84" s="0" t="n">
        <v>101</v>
      </c>
      <c r="N84" s="59" t="n">
        <v>95</v>
      </c>
      <c r="O84" s="59" t="n">
        <f aca="false">IF(A84="","",IF(L84="","",A84-L84))</f>
        <v>-15</v>
      </c>
      <c r="P84" s="59" t="n">
        <f aca="false">IF(B84="","",IF(M84="","",B84-M84))</f>
        <v>14</v>
      </c>
      <c r="Q84" s="59" t="n">
        <f aca="false">IF(C84="","",IF(N84="","",C84-N84))</f>
        <v>14</v>
      </c>
      <c r="R84" s="65" t="n">
        <v>102</v>
      </c>
      <c r="S84" s="66" t="n">
        <v>38</v>
      </c>
      <c r="T84" s="63" t="n">
        <v>6.16441400296898</v>
      </c>
      <c r="U84" s="63" t="n">
        <v>15.3144892394969</v>
      </c>
      <c r="V84" s="63" t="n">
        <v>87</v>
      </c>
      <c r="W84" s="63" t="n">
        <v>117</v>
      </c>
      <c r="X84" s="87" t="n">
        <f aca="false">IF(D84="","",IF(V84="","",(V84-D84)/D84))</f>
        <v>-0.181818181818179</v>
      </c>
      <c r="Y84" s="87" t="n">
        <f aca="false">IF(D84="","",IF(W84="","",(W84-D84)/D84))</f>
        <v>0.100313479623828</v>
      </c>
      <c r="Z84" s="87" t="n">
        <v>0.0604354314016566</v>
      </c>
      <c r="AA84" s="87" t="n">
        <f aca="false">IF(D84="","",IF(R84="","",(R84-D84)/D84))</f>
        <v>-0.0407523510971757</v>
      </c>
      <c r="AB84" s="64" t="n">
        <f aca="false">IF(NOT(AA84=""),ABS(AA84),"")</f>
        <v>0.0407523510971757</v>
      </c>
      <c r="AD84" s="65" t="n">
        <v>88</v>
      </c>
      <c r="AE84" s="66" t="n">
        <v>146</v>
      </c>
      <c r="AF84" s="63" t="n">
        <v>12.0830459735946</v>
      </c>
      <c r="AG84" s="63" t="n">
        <v>30.0183727851239</v>
      </c>
      <c r="AH84" s="63" t="n">
        <v>57.9816272148761</v>
      </c>
      <c r="AI84" s="63" t="n">
        <v>118.018372785124</v>
      </c>
      <c r="AJ84" s="87" t="n">
        <f aca="false">IF(D84="","",IF(AH84="","",(AH84-D84)/D84))</f>
        <v>-0.45471823935853</v>
      </c>
      <c r="AK84" s="87" t="n">
        <f aca="false">IF(D84="","",IF(AI84="","",(AI84-D84)/D84))</f>
        <v>0.10989065315164</v>
      </c>
      <c r="AL84" s="87" t="n">
        <v>0.137307340609029</v>
      </c>
      <c r="AM84" s="87" t="n">
        <f aca="false">IF(D84="","",IF(AD84="","",(AD84-D84)/D84))</f>
        <v>-0.172413793103446</v>
      </c>
      <c r="AN84" s="64" t="n">
        <f aca="false">IF(NOT(AM84=""),ABS(AM84),"")</f>
        <v>0.172413793103446</v>
      </c>
      <c r="AP84" s="65" t="n">
        <v>101.5</v>
      </c>
      <c r="AQ84" s="66" t="n">
        <v>182.25</v>
      </c>
      <c r="AR84" s="63" t="n">
        <v>13.5</v>
      </c>
      <c r="AS84" s="63" t="n">
        <v>121.29073328371</v>
      </c>
      <c r="AT84" s="63" t="n">
        <v>-19.7907332837097</v>
      </c>
      <c r="AU84" s="63" t="n">
        <v>222.79073328371</v>
      </c>
      <c r="AV84" s="87" t="n">
        <f aca="false">IF(D84="","",IF(AT84="","",(AT84-D84)/D84))</f>
        <v>-1.18611974874962</v>
      </c>
      <c r="AW84" s="87" t="n">
        <f aca="false">IF(D84="","",IF(AU84="","",(AU84-D84)/D84))</f>
        <v>1.09521065784054</v>
      </c>
      <c r="AX84" s="87" t="n">
        <v>0.133004926108374</v>
      </c>
      <c r="AY84" s="45" t="n">
        <f aca="false">IF(D84="","",IF(AP84="","",(AP84-D84)/D84))</f>
        <v>-0.0454545454545425</v>
      </c>
      <c r="AZ84" s="64" t="n">
        <f aca="false">IF(NOT(AY84=""),ABS(AY84),"")</f>
        <v>0.0454545454545425</v>
      </c>
    </row>
    <row r="85" customFormat="false" ht="12.8" hidden="false" customHeight="false" outlineLevel="0" collapsed="false">
      <c r="A85" s="56" t="n">
        <v>78</v>
      </c>
      <c r="B85" s="25" t="n">
        <v>91</v>
      </c>
      <c r="C85" s="57" t="n">
        <v>79</v>
      </c>
      <c r="D85" s="65" t="n">
        <v>82.6666666666667</v>
      </c>
      <c r="E85" s="66" t="n">
        <v>34.8888888888889</v>
      </c>
      <c r="F85" s="63" t="n">
        <v>5.90668171555645</v>
      </c>
      <c r="G85" s="63" t="n">
        <v>14.6741950703595</v>
      </c>
      <c r="H85" s="63" t="n">
        <v>67.9924715963072</v>
      </c>
      <c r="I85" s="63" t="n">
        <v>97.3408617370262</v>
      </c>
      <c r="J85" s="64" t="n">
        <v>0.0714517949462474</v>
      </c>
      <c r="L85" s="58" t="n">
        <v>73</v>
      </c>
      <c r="M85" s="0" t="n">
        <v>68</v>
      </c>
      <c r="N85" s="59" t="n">
        <v>74</v>
      </c>
      <c r="O85" s="59" t="n">
        <f aca="false">IF(A85="","",IF(L85="","",A85-L85))</f>
        <v>5</v>
      </c>
      <c r="P85" s="59" t="n">
        <f aca="false">IF(B85="","",IF(M85="","",B85-M85))</f>
        <v>23</v>
      </c>
      <c r="Q85" s="59" t="n">
        <f aca="false">IF(C85="","",IF(N85="","",C85-N85))</f>
        <v>5</v>
      </c>
      <c r="R85" s="65" t="n">
        <v>72</v>
      </c>
      <c r="S85" s="66" t="n">
        <v>6.88888888888889</v>
      </c>
      <c r="T85" s="63" t="n">
        <v>2.62466929133727</v>
      </c>
      <c r="U85" s="63" t="n">
        <v>6.52056620468113</v>
      </c>
      <c r="V85" s="63" t="n">
        <v>65</v>
      </c>
      <c r="W85" s="63" t="n">
        <v>78</v>
      </c>
      <c r="X85" s="87" t="n">
        <f aca="false">IF(D85="","",IF(V85="","",(V85-D85)/D85))</f>
        <v>-0.213709677419355</v>
      </c>
      <c r="Y85" s="87" t="n">
        <f aca="false">IF(D85="","",IF(W85="","",(W85-D85)/D85))</f>
        <v>-0.0564516129032262</v>
      </c>
      <c r="Z85" s="87" t="n">
        <v>0.0366232924372642</v>
      </c>
      <c r="AA85" s="87" t="n">
        <f aca="false">IF(D85="","",IF(R85="","",(R85-D85)/D85))</f>
        <v>-0.129032258064517</v>
      </c>
      <c r="AB85" s="64" t="n">
        <f aca="false">IF(NOT(AA85=""),ABS(AA85),"")</f>
        <v>0.129032258064517</v>
      </c>
      <c r="AD85" s="65" t="n">
        <v>76.3333333333333</v>
      </c>
      <c r="AE85" s="66" t="n">
        <v>140.222222222222</v>
      </c>
      <c r="AF85" s="63" t="n">
        <v>11.8415464455544</v>
      </c>
      <c r="AG85" s="63" t="n">
        <v>29.4184062803218</v>
      </c>
      <c r="AH85" s="63" t="n">
        <v>46.9149270530116</v>
      </c>
      <c r="AI85" s="63" t="n">
        <v>105.751739613655</v>
      </c>
      <c r="AJ85" s="87" t="n">
        <f aca="false">IF(D85="","",IF(AH85="","",(AH85-D85)/D85))</f>
        <v>-0.432480721132924</v>
      </c>
      <c r="AK85" s="87" t="n">
        <f aca="false">IF(D85="","",IF(AI85="","",(AI85-D85)/D85))</f>
        <v>0.27925491468131</v>
      </c>
      <c r="AL85" s="87" t="n">
        <v>0.155129429417743</v>
      </c>
      <c r="AM85" s="87" t="n">
        <f aca="false">IF(D85="","",IF(AD85="","",(AD85-D85)/D85))</f>
        <v>-0.0766129032258072</v>
      </c>
      <c r="AN85" s="64" t="n">
        <f aca="false">IF(NOT(AM85=""),ABS(AM85),"")</f>
        <v>0.0766129032258072</v>
      </c>
      <c r="AP85" s="65" t="n">
        <v>87</v>
      </c>
      <c r="AQ85" s="66" t="n">
        <v>25</v>
      </c>
      <c r="AR85" s="63" t="n">
        <v>5</v>
      </c>
      <c r="AS85" s="63" t="n">
        <v>44.9224938087814</v>
      </c>
      <c r="AT85" s="63" t="n">
        <v>42.0775061912186</v>
      </c>
      <c r="AU85" s="63" t="n">
        <v>131.922493808781</v>
      </c>
      <c r="AV85" s="87" t="n">
        <f aca="false">IF(D85="","",IF(AT85="","",(AT85-D85)/D85))</f>
        <v>-0.490997908977195</v>
      </c>
      <c r="AW85" s="87" t="n">
        <f aca="false">IF(D85="","",IF(AU85="","",(AU85-D85)/D85))</f>
        <v>0.595836618654608</v>
      </c>
      <c r="AX85" s="87" t="n">
        <v>0.0574712643678161</v>
      </c>
      <c r="AY85" s="45" t="n">
        <f aca="false">IF(D85="","",IF(AP85="","",(AP85-D85)/D85))</f>
        <v>0.0524193548387093</v>
      </c>
      <c r="AZ85" s="64" t="n">
        <f aca="false">IF(NOT(AY85=""),ABS(AY85),"")</f>
        <v>0.0524193548387093</v>
      </c>
    </row>
    <row r="86" customFormat="false" ht="12.8" hidden="false" customHeight="false" outlineLevel="0" collapsed="false">
      <c r="A86" s="56" t="n">
        <v>61</v>
      </c>
      <c r="B86" s="25" t="n">
        <v>75</v>
      </c>
      <c r="C86" s="57" t="n">
        <v>62</v>
      </c>
      <c r="D86" s="65" t="n">
        <v>66</v>
      </c>
      <c r="E86" s="66" t="n">
        <v>40.6666666666667</v>
      </c>
      <c r="F86" s="63" t="n">
        <v>6.37704215656966</v>
      </c>
      <c r="G86" s="63" t="n">
        <v>15.8427294856523</v>
      </c>
      <c r="H86" s="63" t="n">
        <v>50.1572705143477</v>
      </c>
      <c r="I86" s="63" t="n">
        <v>81.8427294856523</v>
      </c>
      <c r="J86" s="64" t="n">
        <v>0.0966218508571161</v>
      </c>
      <c r="L86" s="58" t="n">
        <v>65</v>
      </c>
      <c r="M86" s="0" t="n">
        <v>68</v>
      </c>
      <c r="N86" s="59" t="n">
        <v>66</v>
      </c>
      <c r="O86" s="59" t="n">
        <f aca="false">IF(A86="","",IF(L86="","",A86-L86))</f>
        <v>-4</v>
      </c>
      <c r="P86" s="59" t="n">
        <f aca="false">IF(B86="","",IF(M86="","",B86-M86))</f>
        <v>7</v>
      </c>
      <c r="Q86" s="59" t="n">
        <f aca="false">IF(C86="","",IF(N86="","",C86-N86))</f>
        <v>-4</v>
      </c>
      <c r="R86" s="65" t="n">
        <v>66</v>
      </c>
      <c r="S86" s="66" t="n">
        <v>1.55555555555556</v>
      </c>
      <c r="T86" s="63" t="n">
        <v>1.24721912892465</v>
      </c>
      <c r="U86" s="63" t="n">
        <v>3.09851413613878</v>
      </c>
      <c r="V86" s="63" t="n">
        <v>63</v>
      </c>
      <c r="W86" s="63" t="n">
        <v>69</v>
      </c>
      <c r="X86" s="87" t="n">
        <f aca="false">IF(D86="","",IF(V86="","",(V86-D86)/D86))</f>
        <v>-0.0454545454545455</v>
      </c>
      <c r="Y86" s="87" t="n">
        <f aca="false">IF(D86="","",IF(W86="","",(W86-D86)/D86))</f>
        <v>0.0454545454545455</v>
      </c>
      <c r="Z86" s="87" t="n">
        <v>0.0188022984259997</v>
      </c>
      <c r="AA86" s="87" t="n">
        <f aca="false">IF(D86="","",IF(R86="","",(R86-D86)/D86))</f>
        <v>0</v>
      </c>
      <c r="AB86" s="64" t="n">
        <f aca="false">IF(NOT(AA86=""),ABS(AA86),"")</f>
        <v>0</v>
      </c>
      <c r="AD86" s="65" t="n">
        <v>65.6666666666667</v>
      </c>
      <c r="AE86" s="66" t="n">
        <v>80.8888888888889</v>
      </c>
      <c r="AF86" s="63" t="n">
        <v>8.9938250421547</v>
      </c>
      <c r="AG86" s="63" t="n">
        <v>22.3437031911968</v>
      </c>
      <c r="AH86" s="63" t="n">
        <v>43.3229634754699</v>
      </c>
      <c r="AI86" s="63" t="n">
        <v>88.0103698578634</v>
      </c>
      <c r="AJ86" s="87" t="n">
        <f aca="false">IF(D86="","",IF(AH86="","",(AH86-D86)/D86))</f>
        <v>-0.34359146249288</v>
      </c>
      <c r="AK86" s="87" t="n">
        <f aca="false">IF(D86="","",IF(AI86="","",(AI86-D86)/D86))</f>
        <v>0.33349045239187</v>
      </c>
      <c r="AL86" s="87" t="n">
        <v>0.136961802672407</v>
      </c>
      <c r="AM86" s="87" t="n">
        <f aca="false">IF(D86="","",IF(AD86="","",(AD86-D86)/D86))</f>
        <v>-0.00505050505050455</v>
      </c>
      <c r="AN86" s="64" t="n">
        <f aca="false">IF(NOT(AM86=""),ABS(AM86),"")</f>
        <v>0.00505050505050455</v>
      </c>
      <c r="AP86" s="65" t="n">
        <v>63</v>
      </c>
      <c r="AQ86" s="66" t="n">
        <v>16</v>
      </c>
      <c r="AR86" s="63" t="n">
        <v>4</v>
      </c>
      <c r="AS86" s="63" t="n">
        <v>35.9379950470251</v>
      </c>
      <c r="AT86" s="63" t="n">
        <v>27.0620049529749</v>
      </c>
      <c r="AU86" s="63" t="n">
        <v>98.9379950470251</v>
      </c>
      <c r="AV86" s="87" t="n">
        <f aca="false">IF(D86="","",IF(AT86="","",(AT86-D86)/D86))</f>
        <v>-0.589969621924623</v>
      </c>
      <c r="AW86" s="87" t="n">
        <f aca="false">IF(D86="","",IF(AU86="","",(AU86-D86)/D86))</f>
        <v>0.499060531015532</v>
      </c>
      <c r="AX86" s="87" t="n">
        <v>0.0634920634920635</v>
      </c>
      <c r="AY86" s="45" t="n">
        <f aca="false">IF(D86="","",IF(AP86="","",(AP86-D86)/D86))</f>
        <v>-0.0454545454545455</v>
      </c>
      <c r="AZ86" s="64" t="n">
        <f aca="false">IF(NOT(AY86=""),ABS(AY86),"")</f>
        <v>0.0454545454545455</v>
      </c>
    </row>
    <row r="87" customFormat="false" ht="12.8" hidden="false" customHeight="false" outlineLevel="0" collapsed="false">
      <c r="A87" s="56" t="n">
        <v>49</v>
      </c>
      <c r="B87" s="25" t="n">
        <v>57</v>
      </c>
      <c r="C87" s="57" t="n">
        <v>56</v>
      </c>
      <c r="D87" s="65" t="n">
        <v>54</v>
      </c>
      <c r="E87" s="66" t="n">
        <v>12.6666666666667</v>
      </c>
      <c r="F87" s="63" t="n">
        <v>3.55902608401044</v>
      </c>
      <c r="G87" s="63" t="n">
        <v>8.84182448492517</v>
      </c>
      <c r="H87" s="63" t="n">
        <v>45.1581755150748</v>
      </c>
      <c r="I87" s="63" t="n">
        <v>62.8418244849252</v>
      </c>
      <c r="J87" s="64" t="n">
        <v>0.0659078904446377</v>
      </c>
      <c r="L87" s="58" t="n">
        <v>52</v>
      </c>
      <c r="M87" s="0" t="n">
        <v>56</v>
      </c>
      <c r="N87" s="59" t="n">
        <v>46</v>
      </c>
      <c r="O87" s="59" t="n">
        <f aca="false">IF(A87="","",IF(L87="","",A87-L87))</f>
        <v>-3</v>
      </c>
      <c r="P87" s="59" t="n">
        <f aca="false">IF(B87="","",IF(M87="","",B87-M87))</f>
        <v>1</v>
      </c>
      <c r="Q87" s="59" t="n">
        <f aca="false">IF(C87="","",IF(N87="","",C87-N87))</f>
        <v>10</v>
      </c>
      <c r="R87" s="65" t="n">
        <v>51</v>
      </c>
      <c r="S87" s="66" t="n">
        <v>16.8888888888889</v>
      </c>
      <c r="T87" s="63" t="n">
        <v>4.10960933531265</v>
      </c>
      <c r="U87" s="63" t="n">
        <v>10.2096594929979</v>
      </c>
      <c r="V87" s="63" t="n">
        <v>41</v>
      </c>
      <c r="W87" s="63" t="n">
        <v>62</v>
      </c>
      <c r="X87" s="87" t="n">
        <f aca="false">IF(D87="","",IF(V87="","",(V87-D87)/D87))</f>
        <v>-0.240740740740741</v>
      </c>
      <c r="Y87" s="87" t="n">
        <f aca="false">IF(D87="","",IF(W87="","",(W87-D87)/D87))</f>
        <v>0.148148148148148</v>
      </c>
      <c r="Z87" s="87" t="n">
        <v>0.0800573247138828</v>
      </c>
      <c r="AA87" s="87" t="n">
        <f aca="false">IF(D87="","",IF(R87="","",(R87-D87)/D87))</f>
        <v>-0.0555555555555556</v>
      </c>
      <c r="AB87" s="64" t="n">
        <f aca="false">IF(NOT(AA87=""),ABS(AA87),"")</f>
        <v>0.0555555555555556</v>
      </c>
      <c r="AD87" s="65" t="n">
        <v>50.3333333333333</v>
      </c>
      <c r="AE87" s="66" t="n">
        <v>38.8888888888889</v>
      </c>
      <c r="AF87" s="63" t="n">
        <v>6.23609564462324</v>
      </c>
      <c r="AG87" s="63" t="n">
        <v>15.4925706806939</v>
      </c>
      <c r="AH87" s="63" t="n">
        <v>34.8407626526394</v>
      </c>
      <c r="AI87" s="63" t="n">
        <v>65.8259040140272</v>
      </c>
      <c r="AJ87" s="87" t="n">
        <f aca="false">IF(D87="","",IF(AH87="","",(AH87-D87)/D87))</f>
        <v>-0.354800691617789</v>
      </c>
      <c r="AK87" s="87" t="n">
        <f aca="false">IF(D87="","",IF(AI87="","",(AI87-D87)/D87))</f>
        <v>0.218998222481985</v>
      </c>
      <c r="AL87" s="87" t="n">
        <v>0.123895939959402</v>
      </c>
      <c r="AM87" s="87" t="n">
        <f aca="false">IF(D87="","",IF(AD87="","",(AD87-D87)/D87))</f>
        <v>-0.0679012345679019</v>
      </c>
      <c r="AN87" s="64" t="n">
        <f aca="false">IF(NOT(AM87=""),ABS(AM87),"")</f>
        <v>0.0679012345679019</v>
      </c>
      <c r="AP87" s="65" t="n">
        <v>52</v>
      </c>
      <c r="AQ87" s="66" t="n">
        <v>1</v>
      </c>
      <c r="AR87" s="63" t="n">
        <v>1</v>
      </c>
      <c r="AS87" s="63" t="n">
        <v>8.98449876175627</v>
      </c>
      <c r="AT87" s="63" t="n">
        <v>43.0155012382437</v>
      </c>
      <c r="AU87" s="63" t="n">
        <v>60.9844987617563</v>
      </c>
      <c r="AV87" s="87" t="n">
        <f aca="false">IF(D87="","",IF(AT87="","",(AT87-D87)/D87))</f>
        <v>-0.203416643736228</v>
      </c>
      <c r="AW87" s="87" t="n">
        <f aca="false">IF(D87="","",IF(AU87="","",(AU87-D87)/D87))</f>
        <v>0.129342569662154</v>
      </c>
      <c r="AX87" s="87" t="n">
        <v>0.0192307692307692</v>
      </c>
      <c r="AY87" s="45" t="n">
        <f aca="false">IF(D87="","",IF(AP87="","",(AP87-D87)/D87))</f>
        <v>-0.037037037037037</v>
      </c>
      <c r="AZ87" s="64" t="n">
        <f aca="false">IF(NOT(AY87=""),ABS(AY87),"")</f>
        <v>0.037037037037037</v>
      </c>
    </row>
    <row r="88" customFormat="false" ht="12.8" hidden="false" customHeight="false" outlineLevel="0" collapsed="false">
      <c r="A88" s="56" t="n">
        <v>55</v>
      </c>
      <c r="B88" s="25" t="n">
        <v>43</v>
      </c>
      <c r="C88" s="57" t="n">
        <v>44</v>
      </c>
      <c r="D88" s="65" t="n">
        <v>47.3333333333333</v>
      </c>
      <c r="E88" s="66" t="n">
        <v>29.5555555555556</v>
      </c>
      <c r="F88" s="63" t="n">
        <v>5.43650214343336</v>
      </c>
      <c r="G88" s="63" t="n">
        <v>13.5061099945612</v>
      </c>
      <c r="H88" s="63" t="n">
        <v>33.8272233387722</v>
      </c>
      <c r="I88" s="63" t="n">
        <v>60.8394433278945</v>
      </c>
      <c r="J88" s="64" t="n">
        <v>0.11485567908662</v>
      </c>
      <c r="L88" s="58" t="n">
        <v>41</v>
      </c>
      <c r="M88" s="0" t="n">
        <v>47</v>
      </c>
      <c r="N88" s="59" t="n">
        <v>41</v>
      </c>
      <c r="O88" s="59" t="n">
        <f aca="false">IF(A88="","",IF(L88="","",A88-L88))</f>
        <v>14</v>
      </c>
      <c r="P88" s="59" t="n">
        <f aca="false">IF(B88="","",IF(M88="","",B88-M88))</f>
        <v>-4</v>
      </c>
      <c r="Q88" s="59" t="n">
        <f aca="false">IF(C88="","",IF(N88="","",C88-N88))</f>
        <v>3</v>
      </c>
      <c r="R88" s="65" t="n">
        <v>43</v>
      </c>
      <c r="S88" s="66" t="n">
        <v>8</v>
      </c>
      <c r="T88" s="63" t="n">
        <v>2.82842712474619</v>
      </c>
      <c r="U88" s="63" t="n">
        <v>7.02676957546401</v>
      </c>
      <c r="V88" s="63" t="n">
        <v>36</v>
      </c>
      <c r="W88" s="63" t="n">
        <v>50</v>
      </c>
      <c r="X88" s="87" t="n">
        <f aca="false">IF(D88="","",IF(V88="","",(V88-D88)/D88))</f>
        <v>-0.239436619718309</v>
      </c>
      <c r="Y88" s="87" t="n">
        <f aca="false">IF(D88="","",IF(W88="","",(W88-D88)/D88))</f>
        <v>0.0563380281690148</v>
      </c>
      <c r="Z88" s="87" t="n">
        <v>0.0657773749940974</v>
      </c>
      <c r="AA88" s="87" t="n">
        <f aca="false">IF(D88="","",IF(R88="","",(R88-D88)/D88))</f>
        <v>-0.0915492957746473</v>
      </c>
      <c r="AB88" s="64" t="n">
        <f aca="false">IF(NOT(AA88=""),ABS(AA88),"")</f>
        <v>0.0915492957746473</v>
      </c>
      <c r="AD88" s="65" t="n">
        <v>42.3333333333333</v>
      </c>
      <c r="AE88" s="66" t="n">
        <v>5.55555555555555</v>
      </c>
      <c r="AF88" s="63" t="n">
        <v>2.35702260395516</v>
      </c>
      <c r="AG88" s="63" t="n">
        <v>5.85564131288667</v>
      </c>
      <c r="AH88" s="63" t="n">
        <v>36.4776920204467</v>
      </c>
      <c r="AI88" s="63" t="n">
        <v>48.18897464622</v>
      </c>
      <c r="AJ88" s="87" t="n">
        <f aca="false">IF(D88="","",IF(AH88="","",(AH88-D88)/D88))</f>
        <v>-0.229344534779294</v>
      </c>
      <c r="AK88" s="87" t="n">
        <f aca="false">IF(D88="","",IF(AI88="","",(AI88-D88)/D88))</f>
        <v>0.0180769291454936</v>
      </c>
      <c r="AL88" s="87" t="n">
        <v>0.0556776993060274</v>
      </c>
      <c r="AM88" s="87" t="n">
        <f aca="false">IF(D88="","",IF(AD88="","",(AD88-D88)/D88))</f>
        <v>-0.105633802816901</v>
      </c>
      <c r="AN88" s="64" t="n">
        <f aca="false">IF(NOT(AM88=""),ABS(AM88),"")</f>
        <v>0.105633802816901</v>
      </c>
      <c r="AP88" s="65" t="n">
        <v>39</v>
      </c>
      <c r="AQ88" s="66" t="n">
        <v>1</v>
      </c>
      <c r="AR88" s="63" t="n">
        <v>1</v>
      </c>
      <c r="AS88" s="63" t="n">
        <v>8.98449876175627</v>
      </c>
      <c r="AT88" s="63" t="n">
        <v>30.0155012382437</v>
      </c>
      <c r="AU88" s="63" t="n">
        <v>47.9844987617563</v>
      </c>
      <c r="AV88" s="87" t="n">
        <f aca="false">IF(D88="","",IF(AT88="","",(AT88-D88)/D88))</f>
        <v>-0.365869692149781</v>
      </c>
      <c r="AW88" s="87" t="n">
        <f aca="false">IF(D88="","",IF(AU88="","",(AU88-D88)/D88))</f>
        <v>0.0137570160934437</v>
      </c>
      <c r="AX88" s="87" t="n">
        <v>0.0256410256410256</v>
      </c>
      <c r="AY88" s="45" t="n">
        <f aca="false">IF(D88="","",IF(AP88="","",(AP88-D88)/D88))</f>
        <v>-0.176056338028168</v>
      </c>
      <c r="AZ88" s="64" t="n">
        <f aca="false">IF(NOT(AY88=""),ABS(AY88),"")</f>
        <v>0.176056338028168</v>
      </c>
    </row>
    <row r="89" customFormat="false" ht="12.8" hidden="false" customHeight="false" outlineLevel="0" collapsed="false">
      <c r="A89" s="56" t="n">
        <v>38</v>
      </c>
      <c r="B89" s="25" t="n">
        <v>31</v>
      </c>
      <c r="C89" s="57" t="n">
        <v>37</v>
      </c>
      <c r="D89" s="65" t="n">
        <v>35.3333333333333</v>
      </c>
      <c r="E89" s="66" t="n">
        <v>9.55555555555556</v>
      </c>
      <c r="F89" s="63" t="n">
        <v>3.09120616516524</v>
      </c>
      <c r="G89" s="63" t="n">
        <v>7.67960158592349</v>
      </c>
      <c r="H89" s="63" t="n">
        <v>27.6537317474099</v>
      </c>
      <c r="I89" s="63" t="n">
        <v>43.0129349192568</v>
      </c>
      <c r="J89" s="64" t="n">
        <v>0.0874869669386387</v>
      </c>
      <c r="L89" s="58" t="n">
        <v>34</v>
      </c>
      <c r="M89" s="0" t="n">
        <v>40</v>
      </c>
      <c r="N89" s="59" t="n">
        <v>37</v>
      </c>
      <c r="O89" s="59" t="n">
        <f aca="false">IF(A89="","",IF(L89="","",A89-L89))</f>
        <v>4</v>
      </c>
      <c r="P89" s="59" t="n">
        <f aca="false">IF(B89="","",IF(M89="","",B89-M89))</f>
        <v>-9</v>
      </c>
      <c r="Q89" s="59" t="n">
        <f aca="false">IF(C89="","",IF(N89="","",C89-N89))</f>
        <v>0</v>
      </c>
      <c r="R89" s="65" t="n">
        <v>37</v>
      </c>
      <c r="S89" s="66" t="n">
        <v>6</v>
      </c>
      <c r="T89" s="63" t="n">
        <v>2.44948974278318</v>
      </c>
      <c r="U89" s="63" t="n">
        <v>6.08536095889143</v>
      </c>
      <c r="V89" s="63" t="n">
        <v>31</v>
      </c>
      <c r="W89" s="63" t="n">
        <v>43</v>
      </c>
      <c r="X89" s="87" t="n">
        <f aca="false">IF(D89="","",IF(V89="","",(V89-D89)/D89))</f>
        <v>-0.122641509433961</v>
      </c>
      <c r="Y89" s="87" t="n">
        <f aca="false">IF(D89="","",IF(W89="","",(W89-D89)/D89))</f>
        <v>0.216981132075473</v>
      </c>
      <c r="Z89" s="87" t="n">
        <v>0.0662024254806264</v>
      </c>
      <c r="AA89" s="87" t="n">
        <f aca="false">IF(D89="","",IF(R89="","",(R89-D89)/D89))</f>
        <v>0.0471698113207557</v>
      </c>
      <c r="AB89" s="64" t="n">
        <f aca="false">IF(NOT(AA89=""),ABS(AA89),"")</f>
        <v>0.0471698113207557</v>
      </c>
      <c r="AD89" s="65" t="n">
        <v>40</v>
      </c>
      <c r="AE89" s="66" t="n">
        <v>26</v>
      </c>
      <c r="AF89" s="63" t="n">
        <v>5.09901951359278</v>
      </c>
      <c r="AG89" s="63" t="n">
        <v>12.6676890026029</v>
      </c>
      <c r="AH89" s="63" t="n">
        <v>27.3323109973971</v>
      </c>
      <c r="AI89" s="63" t="n">
        <v>52.6676890026029</v>
      </c>
      <c r="AJ89" s="87" t="n">
        <f aca="false">IF(D89="","",IF(AH89="","",(AH89-D89)/D89))</f>
        <v>-0.226444028375553</v>
      </c>
      <c r="AK89" s="87" t="n">
        <f aca="false">IF(D89="","",IF(AI89="","",(AI89-D89)/D89))</f>
        <v>0.490594971771782</v>
      </c>
      <c r="AL89" s="87" t="n">
        <v>0.12747548783982</v>
      </c>
      <c r="AM89" s="87" t="n">
        <f aca="false">IF(D89="","",IF(AD89="","",(AD89-D89)/D89))</f>
        <v>0.132075471698114</v>
      </c>
      <c r="AN89" s="64" t="n">
        <f aca="false">IF(NOT(AM89=""),ABS(AM89),"")</f>
        <v>0.132075471698114</v>
      </c>
      <c r="AP89" s="65" t="n">
        <v>31.5</v>
      </c>
      <c r="AQ89" s="66" t="n">
        <v>2.25</v>
      </c>
      <c r="AR89" s="63" t="n">
        <v>1.5</v>
      </c>
      <c r="AS89" s="63" t="n">
        <v>13.4767481426344</v>
      </c>
      <c r="AT89" s="63" t="n">
        <v>18.0232518573656</v>
      </c>
      <c r="AU89" s="63" t="n">
        <v>44.9767481426344</v>
      </c>
      <c r="AV89" s="87" t="n">
        <f aca="false">IF(D89="","",IF(AT89="","",(AT89-D89)/D89))</f>
        <v>-0.489907966300973</v>
      </c>
      <c r="AW89" s="87" t="n">
        <f aca="false">IF(D89="","",IF(AU89="","",(AU89-D89)/D89))</f>
        <v>0.272926834225503</v>
      </c>
      <c r="AX89" s="87" t="n">
        <v>0.0476190476190476</v>
      </c>
      <c r="AY89" s="45" t="n">
        <f aca="false">IF(D89="","",IF(AP89="","",(AP89-D89)/D89))</f>
        <v>-0.108490566037735</v>
      </c>
      <c r="AZ89" s="64" t="n">
        <f aca="false">IF(NOT(AY89=""),ABS(AY89),"")</f>
        <v>0.108490566037735</v>
      </c>
    </row>
    <row r="90" customFormat="false" ht="12.8" hidden="false" customHeight="false" outlineLevel="0" collapsed="false">
      <c r="A90" s="56" t="n">
        <v>39</v>
      </c>
      <c r="B90" s="25" t="n">
        <v>33</v>
      </c>
      <c r="C90" s="57" t="n">
        <v>37</v>
      </c>
      <c r="D90" s="65" t="n">
        <v>36.3333333333333</v>
      </c>
      <c r="E90" s="66" t="n">
        <v>6.22222222222222</v>
      </c>
      <c r="F90" s="63" t="n">
        <v>2.49443825784929</v>
      </c>
      <c r="G90" s="63" t="n">
        <v>6.19702827227756</v>
      </c>
      <c r="H90" s="63" t="n">
        <v>30.1363050610558</v>
      </c>
      <c r="I90" s="63" t="n">
        <v>42.5303616056109</v>
      </c>
      <c r="J90" s="64" t="n">
        <v>0.0686542639775035</v>
      </c>
      <c r="L90" s="58" t="n">
        <v>34</v>
      </c>
      <c r="M90" s="0" t="n">
        <v>36</v>
      </c>
      <c r="N90" s="59" t="n">
        <v>36</v>
      </c>
      <c r="O90" s="59" t="n">
        <f aca="false">IF(A90="","",IF(L90="","",A90-L90))</f>
        <v>5</v>
      </c>
      <c r="P90" s="59" t="n">
        <f aca="false">IF(B90="","",IF(M90="","",B90-M90))</f>
        <v>-3</v>
      </c>
      <c r="Q90" s="59" t="n">
        <f aca="false">IF(C90="","",IF(N90="","",C90-N90))</f>
        <v>1</v>
      </c>
      <c r="R90" s="65" t="n">
        <v>35</v>
      </c>
      <c r="S90" s="66" t="n">
        <v>0.888888888888889</v>
      </c>
      <c r="T90" s="63" t="n">
        <v>0.942809041582063</v>
      </c>
      <c r="U90" s="63" t="n">
        <v>2.34225652515467</v>
      </c>
      <c r="V90" s="63" t="n">
        <v>33</v>
      </c>
      <c r="W90" s="63" t="n">
        <v>38</v>
      </c>
      <c r="X90" s="87" t="n">
        <f aca="false">IF(D90="","",IF(V90="","",(V90-D90)/D90))</f>
        <v>-0.0917431192660542</v>
      </c>
      <c r="Y90" s="87" t="n">
        <f aca="false">IF(D90="","",IF(W90="","",(W90-D90)/D90))</f>
        <v>0.0458715596330285</v>
      </c>
      <c r="Z90" s="87" t="n">
        <v>0.0266832747617565</v>
      </c>
      <c r="AA90" s="87" t="n">
        <f aca="false">IF(D90="","",IF(R90="","",(R90-D90)/D90))</f>
        <v>-0.0366972477064211</v>
      </c>
      <c r="AB90" s="64" t="n">
        <f aca="false">IF(NOT(AA90=""),ABS(AA90),"")</f>
        <v>0.0366972477064211</v>
      </c>
      <c r="AD90" s="65" t="n">
        <v>30.6666666666667</v>
      </c>
      <c r="AE90" s="66" t="n">
        <v>3.55555555555556</v>
      </c>
      <c r="AF90" s="63" t="n">
        <v>1.88561808316413</v>
      </c>
      <c r="AG90" s="63" t="n">
        <v>4.68451305030934</v>
      </c>
      <c r="AH90" s="63" t="n">
        <v>25.9821536163573</v>
      </c>
      <c r="AI90" s="63" t="n">
        <v>35.351179716976</v>
      </c>
      <c r="AJ90" s="87" t="n">
        <f aca="false">IF(D90="","",IF(AH90="","",(AH90-D90)/D90))</f>
        <v>-0.28489485459567</v>
      </c>
      <c r="AK90" s="87" t="n">
        <f aca="false">IF(D90="","",IF(AI90="","",(AI90-D90)/D90))</f>
        <v>-0.0270317509089166</v>
      </c>
      <c r="AL90" s="87" t="n">
        <v>0.0614875461901346</v>
      </c>
      <c r="AM90" s="87" t="n">
        <f aca="false">IF(D90="","",IF(AD90="","",(AD90-D90)/D90))</f>
        <v>-0.155963302752292</v>
      </c>
      <c r="AN90" s="64" t="n">
        <f aca="false">IF(NOT(AM90=""),ABS(AM90),"")</f>
        <v>0.155963302752292</v>
      </c>
      <c r="AP90" s="65" t="n">
        <v>30.5</v>
      </c>
      <c r="AQ90" s="66" t="n">
        <v>2.25</v>
      </c>
      <c r="AR90" s="63" t="n">
        <v>1.5</v>
      </c>
      <c r="AS90" s="63" t="n">
        <v>13.4767481426344</v>
      </c>
      <c r="AT90" s="63" t="n">
        <v>17.0232518573656</v>
      </c>
      <c r="AU90" s="63" t="n">
        <v>43.9767481426344</v>
      </c>
      <c r="AV90" s="87" t="n">
        <f aca="false">IF(D90="","",IF(AT90="","",(AT90-D90)/D90))</f>
        <v>-0.531470132366084</v>
      </c>
      <c r="AW90" s="87" t="n">
        <f aca="false">IF(D90="","",IF(AU90="","",(AU90-D90)/D90))</f>
        <v>0.210369214934893</v>
      </c>
      <c r="AX90" s="87" t="n">
        <v>0.0491803278688525</v>
      </c>
      <c r="AY90" s="45" t="n">
        <f aca="false">IF(D90="","",IF(AP90="","",(AP90-D90)/D90))</f>
        <v>-0.160550458715596</v>
      </c>
      <c r="AZ90" s="64" t="n">
        <f aca="false">IF(NOT(AY90=""),ABS(AY90),"")</f>
        <v>0.160550458715596</v>
      </c>
    </row>
    <row r="91" customFormat="false" ht="12.8" hidden="false" customHeight="false" outlineLevel="0" collapsed="false">
      <c r="A91" s="56" t="n">
        <v>31</v>
      </c>
      <c r="B91" s="25" t="n">
        <v>30</v>
      </c>
      <c r="C91" s="57" t="n">
        <v>29</v>
      </c>
      <c r="D91" s="65" t="n">
        <v>30</v>
      </c>
      <c r="E91" s="66" t="n">
        <v>0.666666666666667</v>
      </c>
      <c r="F91" s="63" t="n">
        <v>0.816496580927726</v>
      </c>
      <c r="G91" s="63" t="n">
        <v>2.02845365296381</v>
      </c>
      <c r="H91" s="63" t="n">
        <v>27.9715463470362</v>
      </c>
      <c r="I91" s="63" t="n">
        <v>32.0284536529638</v>
      </c>
      <c r="J91" s="64" t="n">
        <v>0.0272165526975909</v>
      </c>
      <c r="L91" s="58" t="n">
        <v>28</v>
      </c>
      <c r="M91" s="0" t="n">
        <v>30</v>
      </c>
      <c r="N91" s="59" t="n">
        <v>27</v>
      </c>
      <c r="O91" s="59" t="n">
        <f aca="false">IF(A91="","",IF(L91="","",A91-L91))</f>
        <v>3</v>
      </c>
      <c r="P91" s="59" t="n">
        <f aca="false">IF(B91="","",IF(M91="","",B91-M91))</f>
        <v>0</v>
      </c>
      <c r="Q91" s="59" t="n">
        <f aca="false">IF(C91="","",IF(N91="","",C91-N91))</f>
        <v>2</v>
      </c>
      <c r="R91" s="65" t="n">
        <v>28</v>
      </c>
      <c r="S91" s="66" t="n">
        <v>1.55555555555556</v>
      </c>
      <c r="T91" s="63" t="n">
        <v>1.24721912892465</v>
      </c>
      <c r="U91" s="63" t="n">
        <v>3.09851413613878</v>
      </c>
      <c r="V91" s="63" t="n">
        <v>25</v>
      </c>
      <c r="W91" s="63" t="n">
        <v>31</v>
      </c>
      <c r="X91" s="87" t="n">
        <f aca="false">IF(D91="","",IF(V91="","",(V91-D91)/D91))</f>
        <v>-0.166666666666667</v>
      </c>
      <c r="Y91" s="87" t="n">
        <f aca="false">IF(D91="","",IF(W91="","",(W91-D91)/D91))</f>
        <v>0.0333333333333333</v>
      </c>
      <c r="Z91" s="87" t="n">
        <v>0.0440194986679287</v>
      </c>
      <c r="AA91" s="87" t="n">
        <f aca="false">IF(D91="","",IF(R91="","",(R91-D91)/D91))</f>
        <v>-0.0666666666666667</v>
      </c>
      <c r="AB91" s="64" t="n">
        <f aca="false">IF(NOT(AA91=""),ABS(AA91),"")</f>
        <v>0.0666666666666667</v>
      </c>
      <c r="AD91" s="65" t="n">
        <v>30.6666666666667</v>
      </c>
      <c r="AE91" s="66" t="n">
        <v>4.22222222222222</v>
      </c>
      <c r="AF91" s="63" t="n">
        <v>2.05480466765633</v>
      </c>
      <c r="AG91" s="63" t="n">
        <v>5.10482974649897</v>
      </c>
      <c r="AH91" s="63" t="n">
        <v>25.5618369201677</v>
      </c>
      <c r="AI91" s="63" t="n">
        <v>35.7714964131656</v>
      </c>
      <c r="AJ91" s="87" t="n">
        <f aca="false">IF(D91="","",IF(AH91="","",(AH91-D91)/D91))</f>
        <v>-0.147938769327743</v>
      </c>
      <c r="AK91" s="87" t="n">
        <f aca="false">IF(D91="","",IF(AI91="","",(AI91-D91)/D91))</f>
        <v>0.192383213772187</v>
      </c>
      <c r="AL91" s="87" t="n">
        <v>0.0670045000322715</v>
      </c>
      <c r="AM91" s="87" t="n">
        <f aca="false">IF(D91="","",IF(AD91="","",(AD91-D91)/D91))</f>
        <v>0.0222222222222233</v>
      </c>
      <c r="AN91" s="64" t="n">
        <f aca="false">IF(NOT(AM91=""),ABS(AM91),"")</f>
        <v>0.0222222222222233</v>
      </c>
      <c r="AP91" s="65" t="n">
        <v>28</v>
      </c>
      <c r="AQ91" s="66" t="n">
        <v>1</v>
      </c>
      <c r="AR91" s="63" t="n">
        <v>1</v>
      </c>
      <c r="AS91" s="63" t="n">
        <v>8.98449876175627</v>
      </c>
      <c r="AT91" s="63" t="n">
        <v>19.0155012382437</v>
      </c>
      <c r="AU91" s="63" t="n">
        <v>36.9844987617563</v>
      </c>
      <c r="AV91" s="87" t="n">
        <f aca="false">IF(D91="","",IF(AT91="","",(AT91-D91)/D91))</f>
        <v>-0.36614995872521</v>
      </c>
      <c r="AW91" s="87" t="n">
        <f aca="false">IF(D91="","",IF(AU91="","",(AU91-D91)/D91))</f>
        <v>0.232816625391877</v>
      </c>
      <c r="AX91" s="87" t="n">
        <v>0.0357142857142857</v>
      </c>
      <c r="AY91" s="45" t="n">
        <f aca="false">IF(D91="","",IF(AP91="","",(AP91-D91)/D91))</f>
        <v>-0.0666666666666667</v>
      </c>
      <c r="AZ91" s="64" t="n">
        <f aca="false">IF(NOT(AY91=""),ABS(AY91),"")</f>
        <v>0.0666666666666667</v>
      </c>
    </row>
    <row r="92" customFormat="false" ht="12.8" hidden="false" customHeight="false" outlineLevel="0" collapsed="false">
      <c r="A92" s="56" t="n">
        <v>31</v>
      </c>
      <c r="B92" s="25" t="n">
        <v>29</v>
      </c>
      <c r="C92" s="57" t="n">
        <v>27</v>
      </c>
      <c r="D92" s="65" t="n">
        <v>29</v>
      </c>
      <c r="E92" s="66" t="n">
        <v>2.66666666666667</v>
      </c>
      <c r="F92" s="63" t="n">
        <v>1.63299316185545</v>
      </c>
      <c r="G92" s="63" t="n">
        <v>4.05690730592762</v>
      </c>
      <c r="H92" s="63" t="n">
        <v>24.9430926940724</v>
      </c>
      <c r="I92" s="63" t="n">
        <v>33.0569073059276</v>
      </c>
      <c r="J92" s="64" t="n">
        <v>0.0563101090294983</v>
      </c>
      <c r="L92" s="58" t="n">
        <v>28</v>
      </c>
      <c r="M92" s="0" t="n">
        <v>28</v>
      </c>
      <c r="N92" s="59" t="n">
        <v>33</v>
      </c>
      <c r="O92" s="59" t="n">
        <f aca="false">IF(A92="","",IF(L92="","",A92-L92))</f>
        <v>3</v>
      </c>
      <c r="P92" s="59" t="n">
        <f aca="false">IF(B92="","",IF(M92="","",B92-M92))</f>
        <v>1</v>
      </c>
      <c r="Q92" s="59" t="n">
        <f aca="false">IF(C92="","",IF(N92="","",C92-N92))</f>
        <v>-6</v>
      </c>
      <c r="R92" s="65" t="n">
        <v>30</v>
      </c>
      <c r="S92" s="66" t="n">
        <v>5.55555555555556</v>
      </c>
      <c r="T92" s="63" t="n">
        <v>2.35702260395516</v>
      </c>
      <c r="U92" s="63" t="n">
        <v>5.85564131288668</v>
      </c>
      <c r="V92" s="63" t="n">
        <v>24</v>
      </c>
      <c r="W92" s="63" t="n">
        <v>36</v>
      </c>
      <c r="X92" s="87" t="n">
        <f aca="false">IF(D92="","",IF(V92="","",(V92-D92)/D92))</f>
        <v>-0.172413793103448</v>
      </c>
      <c r="Y92" s="87" t="n">
        <f aca="false">IF(D92="","",IF(W92="","",(W92-D92)/D92))</f>
        <v>0.241379310344828</v>
      </c>
      <c r="Z92" s="87" t="n">
        <v>0.07945020013332</v>
      </c>
      <c r="AA92" s="87" t="n">
        <f aca="false">IF(D92="","",IF(R92="","",(R92-D92)/D92))</f>
        <v>0.0344827586206897</v>
      </c>
      <c r="AB92" s="64" t="n">
        <f aca="false">IF(NOT(AA92=""),ABS(AA92),"")</f>
        <v>0.0344827586206897</v>
      </c>
      <c r="AD92" s="65" t="n">
        <v>28.5</v>
      </c>
      <c r="AE92" s="66" t="n">
        <v>2.25</v>
      </c>
      <c r="AF92" s="63" t="n">
        <v>1.5</v>
      </c>
      <c r="AG92" s="63" t="n">
        <v>13.4767481426344</v>
      </c>
      <c r="AH92" s="63" t="n">
        <v>15.0232518573656</v>
      </c>
      <c r="AI92" s="63" t="n">
        <v>41.9767481426344</v>
      </c>
      <c r="AJ92" s="87" t="n">
        <f aca="false">IF(D92="","",IF(AH92="","",(AH92-D92)/D92))</f>
        <v>-0.481956832504634</v>
      </c>
      <c r="AK92" s="87" t="n">
        <f aca="false">IF(D92="","",IF(AI92="","",(AI92-D92)/D92))</f>
        <v>0.447474073883945</v>
      </c>
      <c r="AL92" s="87" t="n">
        <v>0.0526315789473684</v>
      </c>
      <c r="AM92" s="87" t="n">
        <f aca="false">IF(D92="","",IF(AD92="","",(AD92-D92)/D92))</f>
        <v>-0.0172413793103448</v>
      </c>
      <c r="AN92" s="64" t="n">
        <f aca="false">IF(NOT(AM92=""),ABS(AM92),"")</f>
        <v>0.0172413793103448</v>
      </c>
      <c r="AP92" s="65" t="n">
        <v>29.5</v>
      </c>
      <c r="AQ92" s="66" t="n">
        <v>6.25</v>
      </c>
      <c r="AR92" s="63" t="n">
        <v>2.5</v>
      </c>
      <c r="AS92" s="63" t="n">
        <v>22.4612469043907</v>
      </c>
      <c r="AT92" s="63" t="n">
        <v>7.03875309560932</v>
      </c>
      <c r="AU92" s="63" t="n">
        <v>51.9612469043907</v>
      </c>
      <c r="AV92" s="87" t="n">
        <f aca="false">IF(D92="","",IF(AT92="","",(AT92-D92)/D92))</f>
        <v>-0.757284376013472</v>
      </c>
      <c r="AW92" s="87" t="n">
        <f aca="false">IF(D92="","",IF(AU92="","",(AU92-D92)/D92))</f>
        <v>0.791767134634162</v>
      </c>
      <c r="AX92" s="87" t="n">
        <v>0.0847457627118644</v>
      </c>
      <c r="AY92" s="45" t="n">
        <f aca="false">IF(D92="","",IF(AP92="","",(AP92-D92)/D92))</f>
        <v>0.0172413793103448</v>
      </c>
      <c r="AZ92" s="64" t="n">
        <f aca="false">IF(NOT(AY92=""),ABS(AY92),"")</f>
        <v>0.0172413793103448</v>
      </c>
    </row>
    <row r="93" customFormat="false" ht="12.8" hidden="false" customHeight="false" outlineLevel="0" collapsed="false">
      <c r="A93" s="56"/>
      <c r="B93" s="25"/>
      <c r="C93" s="57"/>
      <c r="D93" s="65"/>
      <c r="E93" s="66"/>
      <c r="F93" s="63"/>
      <c r="G93" s="63"/>
      <c r="H93" s="63"/>
      <c r="I93" s="63"/>
      <c r="J93" s="64"/>
      <c r="L93" s="58"/>
      <c r="N93" s="59"/>
      <c r="O93" s="59" t="str">
        <f aca="false">IF(A93="","",IF(L93="","",A93-L93))</f>
        <v/>
      </c>
      <c r="P93" s="59" t="str">
        <f aca="false">IF(B93="","",IF(M93="","",B93-M93))</f>
        <v/>
      </c>
      <c r="Q93" s="59" t="str">
        <f aca="false">IF(C93="","",IF(N93="","",C93-N93))</f>
        <v/>
      </c>
      <c r="R93" s="65" t="str">
        <f aca="false">IF(COUNT(O93:Q93)&gt;0,AVERAGE(O93:Q93),"")</f>
        <v/>
      </c>
      <c r="S93" s="66"/>
      <c r="T93" s="63"/>
      <c r="U93" s="63"/>
      <c r="V93" s="63" t="str">
        <f aca="false">IF(R93="","",R93-U93)</f>
        <v/>
      </c>
      <c r="W93" s="63" t="str">
        <f aca="false">IF(R93="","",R93+U93)</f>
        <v/>
      </c>
      <c r="X93" s="87" t="str">
        <f aca="false">IF(D93="","",IF(V93="","",(V93-D93)/D93))</f>
        <v/>
      </c>
      <c r="Y93" s="87" t="str">
        <f aca="false">IF(D93="","",IF(W93="","",(W93-D93)/D93))</f>
        <v/>
      </c>
      <c r="Z93" s="87"/>
      <c r="AA93" s="87" t="str">
        <f aca="false">IF(D93="","",IF(R93="","",(R93-D93)/D93))</f>
        <v/>
      </c>
      <c r="AB93" s="64" t="str">
        <f aca="false">IF(NOT(AA93=""),ABS(AA93),"")</f>
        <v/>
      </c>
      <c r="AD93" s="65" t="n">
        <v>483</v>
      </c>
      <c r="AE93" s="66" t="n">
        <v>0</v>
      </c>
      <c r="AF93" s="63" t="n">
        <v>0</v>
      </c>
      <c r="AG93" s="63" t="n">
        <v>0</v>
      </c>
      <c r="AH93" s="63" t="n">
        <v>483</v>
      </c>
      <c r="AI93" s="63" t="n">
        <v>483</v>
      </c>
      <c r="AJ93" s="87" t="str">
        <f aca="false">IF(D93="","",IF(AH93="","",(AH93-D93)/D93))</f>
        <v/>
      </c>
      <c r="AK93" s="87" t="str">
        <f aca="false">IF(D93="","",IF(AI93="","",(AI93-D93)/D93))</f>
        <v/>
      </c>
      <c r="AL93" s="87" t="n">
        <v>0</v>
      </c>
      <c r="AM93" s="87" t="str">
        <f aca="false">IF(D93="","",IF(AD93="","",(AD93-D93)/D93))</f>
        <v/>
      </c>
      <c r="AN93" s="64" t="str">
        <f aca="false">IF(NOT(AM93=""),ABS(AM93),"")</f>
        <v/>
      </c>
      <c r="AP93" s="65"/>
      <c r="AQ93" s="66"/>
      <c r="AR93" s="63"/>
      <c r="AS93" s="63"/>
      <c r="AT93" s="63"/>
      <c r="AU93" s="63"/>
      <c r="AV93" s="87" t="str">
        <f aca="false">IF(D93="","",IF(AT93="","",(AT93-D93)/D93))</f>
        <v/>
      </c>
      <c r="AW93" s="87" t="str">
        <f aca="false">IF(D93="","",IF(AU93="","",(AU93-D93)/D93))</f>
        <v/>
      </c>
      <c r="AX93" s="87"/>
      <c r="AY93" s="45" t="str">
        <f aca="false">IF(D93="","",IF(AP93="","",(AP93-D93)/D93))</f>
        <v/>
      </c>
      <c r="AZ93" s="64" t="str">
        <f aca="false">IF(NOT(AY93=""),ABS(AY93),"")</f>
        <v/>
      </c>
    </row>
    <row r="94" customFormat="false" ht="12.8" hidden="false" customHeight="false" outlineLevel="0" collapsed="false">
      <c r="A94" s="56" t="n">
        <v>488</v>
      </c>
      <c r="B94" s="25" t="n">
        <v>449</v>
      </c>
      <c r="C94" s="57" t="n">
        <v>730</v>
      </c>
      <c r="D94" s="65" t="n">
        <v>555.666666666667</v>
      </c>
      <c r="E94" s="66" t="n">
        <v>15449.5555555556</v>
      </c>
      <c r="F94" s="63" t="n">
        <v>124.296241115955</v>
      </c>
      <c r="G94" s="63" t="n">
        <v>308.79390095529</v>
      </c>
      <c r="H94" s="63" t="n">
        <v>246.872765711377</v>
      </c>
      <c r="I94" s="63" t="n">
        <v>864.460567621956</v>
      </c>
      <c r="J94" s="64" t="n">
        <v>0.223688496309457</v>
      </c>
      <c r="L94" s="58" t="n">
        <v>512</v>
      </c>
      <c r="N94" s="59" t="n">
        <v>490</v>
      </c>
      <c r="O94" s="59" t="n">
        <f aca="false">IF(A94="","",IF(L94="","",A94-L94))</f>
        <v>-24</v>
      </c>
      <c r="P94" s="59" t="str">
        <f aca="false">IF(B94="","",IF(M94="","",B94-M94))</f>
        <v/>
      </c>
      <c r="Q94" s="59" t="n">
        <f aca="false">IF(C94="","",IF(N94="","",C94-N94))</f>
        <v>240</v>
      </c>
      <c r="R94" s="65" t="n">
        <v>501</v>
      </c>
      <c r="S94" s="66" t="n">
        <v>121</v>
      </c>
      <c r="T94" s="63" t="n">
        <v>11</v>
      </c>
      <c r="U94" s="63" t="n">
        <v>98.829486379319</v>
      </c>
      <c r="V94" s="63" t="n">
        <v>402</v>
      </c>
      <c r="W94" s="63" t="n">
        <v>600</v>
      </c>
      <c r="X94" s="87" t="n">
        <f aca="false">IF(D94="","",IF(V94="","",(V94-D94)/D94))</f>
        <v>-0.276544691061788</v>
      </c>
      <c r="Y94" s="87" t="n">
        <f aca="false">IF(D94="","",IF(W94="","",(W94-D94)/D94))</f>
        <v>0.0797840431913611</v>
      </c>
      <c r="Z94" s="87" t="n">
        <v>0.0219560878243513</v>
      </c>
      <c r="AA94" s="87" t="n">
        <f aca="false">IF(D94="","",IF(R94="","",(R94-D94)/D94))</f>
        <v>-0.0983803239352135</v>
      </c>
      <c r="AB94" s="64" t="n">
        <f aca="false">IF(NOT(AA94=""),ABS(AA94),"")</f>
        <v>0.0983803239352135</v>
      </c>
      <c r="AD94" s="65" t="n">
        <v>411</v>
      </c>
      <c r="AE94" s="66" t="n">
        <v>3584.66666666667</v>
      </c>
      <c r="AF94" s="63" t="n">
        <v>59.8720858720211</v>
      </c>
      <c r="AG94" s="63" t="n">
        <v>148.742510543855</v>
      </c>
      <c r="AH94" s="63" t="n">
        <v>262.257489456145</v>
      </c>
      <c r="AI94" s="63" t="n">
        <v>559.742510543855</v>
      </c>
      <c r="AJ94" s="87" t="n">
        <f aca="false">IF(D94="","",IF(AH94="","",(AH94-D94)/D94))</f>
        <v>-0.52803091279638</v>
      </c>
      <c r="AK94" s="87" t="n">
        <f aca="false">IF(D94="","",IF(AI94="","",(AI94-D94)/D94))</f>
        <v>0.00733505196854478</v>
      </c>
      <c r="AL94" s="87" t="n">
        <v>0.145674174871098</v>
      </c>
      <c r="AM94" s="87" t="n">
        <f aca="false">IF(D94="","",IF(AD94="","",(AD94-D94)/D94))</f>
        <v>-0.260347930413918</v>
      </c>
      <c r="AN94" s="64" t="n">
        <f aca="false">IF(NOT(AM94=""),ABS(AM94),"")</f>
        <v>0.260347930413918</v>
      </c>
      <c r="AP94" s="65" t="n">
        <v>481.5</v>
      </c>
      <c r="AQ94" s="66" t="n">
        <v>1056.25</v>
      </c>
      <c r="AR94" s="63" t="n">
        <v>32.5</v>
      </c>
      <c r="AS94" s="63" t="n">
        <v>291.996209757079</v>
      </c>
      <c r="AT94" s="63" t="n">
        <v>189.503790242921</v>
      </c>
      <c r="AU94" s="63" t="n">
        <v>773.496209757079</v>
      </c>
      <c r="AV94" s="87" t="n">
        <f aca="false">IF(D94="","",IF(AT94="","",(AT94-D94)/D94))</f>
        <v>-0.658961385285685</v>
      </c>
      <c r="AW94" s="87" t="n">
        <f aca="false">IF(D94="","",IF(AU94="","",(AU94-D94)/D94))</f>
        <v>0.39201477460782</v>
      </c>
      <c r="AX94" s="87" t="n">
        <v>0.0674974039460021</v>
      </c>
      <c r="AY94" s="45" t="n">
        <f aca="false">IF(D94="","",IF(AP94="","",(AP94-D94)/D94))</f>
        <v>-0.133473305338933</v>
      </c>
      <c r="AZ94" s="64" t="n">
        <f aca="false">IF(NOT(AY94=""),ABS(AY94),"")</f>
        <v>0.133473305338933</v>
      </c>
    </row>
    <row r="95" customFormat="false" ht="12.8" hidden="false" customHeight="false" outlineLevel="0" collapsed="false">
      <c r="A95" s="56" t="n">
        <v>365</v>
      </c>
      <c r="B95" s="25" t="n">
        <v>403</v>
      </c>
      <c r="C95" s="57" t="n">
        <v>357</v>
      </c>
      <c r="D95" s="65" t="n">
        <v>375</v>
      </c>
      <c r="E95" s="66" t="n">
        <v>402.666666666667</v>
      </c>
      <c r="F95" s="63" t="n">
        <v>20.0665559243899</v>
      </c>
      <c r="G95" s="63" t="n">
        <v>49.8521115924112</v>
      </c>
      <c r="H95" s="63" t="n">
        <v>325.147888407589</v>
      </c>
      <c r="I95" s="63" t="n">
        <v>424.852111592411</v>
      </c>
      <c r="J95" s="64" t="n">
        <v>0.053510815798373</v>
      </c>
      <c r="L95" s="58" t="n">
        <v>340</v>
      </c>
      <c r="M95" s="0" t="n">
        <v>340</v>
      </c>
      <c r="N95" s="59" t="n">
        <v>368</v>
      </c>
      <c r="O95" s="59" t="n">
        <f aca="false">IF(A95="","",IF(L95="","",A95-L95))</f>
        <v>25</v>
      </c>
      <c r="P95" s="59" t="n">
        <f aca="false">IF(B95="","",IF(M95="","",B95-M95))</f>
        <v>63</v>
      </c>
      <c r="Q95" s="59" t="n">
        <f aca="false">IF(C95="","",IF(N95="","",C95-N95))</f>
        <v>-11</v>
      </c>
      <c r="R95" s="65" t="n">
        <v>349</v>
      </c>
      <c r="S95" s="66" t="n">
        <v>174.222222222222</v>
      </c>
      <c r="T95" s="63" t="n">
        <v>13.1993265821489</v>
      </c>
      <c r="U95" s="63" t="n">
        <v>32.7915913521654</v>
      </c>
      <c r="V95" s="63" t="n">
        <v>317</v>
      </c>
      <c r="W95" s="63" t="n">
        <v>382</v>
      </c>
      <c r="X95" s="87" t="n">
        <f aca="false">IF(D95="","",IF(V95="","",(V95-D95)/D95))</f>
        <v>-0.154666666666667</v>
      </c>
      <c r="Y95" s="87" t="n">
        <f aca="false">IF(D95="","",IF(W95="","",(W95-D95)/D95))</f>
        <v>0.0186666666666667</v>
      </c>
      <c r="Z95" s="87" t="n">
        <v>0.0377843318191285</v>
      </c>
      <c r="AA95" s="87" t="n">
        <f aca="false">IF(D95="","",IF(R95="","",(R95-D95)/D95))</f>
        <v>-0.0693333333333333</v>
      </c>
      <c r="AB95" s="64" t="n">
        <f aca="false">IF(NOT(AA95=""),ABS(AA95),"")</f>
        <v>0.0693333333333333</v>
      </c>
      <c r="AD95" s="65" t="n">
        <v>326.666666666667</v>
      </c>
      <c r="AE95" s="66" t="n">
        <v>304.888888888889</v>
      </c>
      <c r="AF95" s="63" t="n">
        <v>17.4610678049451</v>
      </c>
      <c r="AG95" s="63" t="n">
        <v>43.3791979059429</v>
      </c>
      <c r="AH95" s="63" t="n">
        <v>283.287468760724</v>
      </c>
      <c r="AI95" s="63" t="n">
        <v>370.04586457261</v>
      </c>
      <c r="AJ95" s="87" t="n">
        <f aca="false">IF(D95="","",IF(AH95="","",(AH95-D95)/D95))</f>
        <v>-0.244566749971403</v>
      </c>
      <c r="AK95" s="87" t="n">
        <f aca="false">IF(D95="","",IF(AI95="","",(AI95-D95)/D95))</f>
        <v>-0.0132110278063733</v>
      </c>
      <c r="AL95" s="87" t="n">
        <v>0.0534522483824849</v>
      </c>
      <c r="AM95" s="87" t="n">
        <f aca="false">IF(D95="","",IF(AD95="","",(AD95-D95)/D95))</f>
        <v>-0.128888888888888</v>
      </c>
      <c r="AN95" s="64" t="n">
        <f aca="false">IF(NOT(AM95=""),ABS(AM95),"")</f>
        <v>0.128888888888888</v>
      </c>
      <c r="AP95" s="65" t="n">
        <v>375</v>
      </c>
      <c r="AQ95" s="66" t="n">
        <v>324</v>
      </c>
      <c r="AR95" s="63" t="n">
        <v>18</v>
      </c>
      <c r="AS95" s="63" t="n">
        <v>161.720977711613</v>
      </c>
      <c r="AT95" s="63" t="n">
        <v>213.279022288387</v>
      </c>
      <c r="AU95" s="63" t="n">
        <v>536.720977711613</v>
      </c>
      <c r="AV95" s="87" t="n">
        <f aca="false">IF(D95="","",IF(AT95="","",(AT95-D95)/D95))</f>
        <v>-0.431255940564301</v>
      </c>
      <c r="AW95" s="87" t="n">
        <f aca="false">IF(D95="","",IF(AU95="","",(AU95-D95)/D95))</f>
        <v>0.431255940564301</v>
      </c>
      <c r="AX95" s="87" t="n">
        <v>0.048</v>
      </c>
      <c r="AY95" s="45" t="n">
        <f aca="false">IF(D95="","",IF(AP95="","",(AP95-D95)/D95))</f>
        <v>0</v>
      </c>
      <c r="AZ95" s="64" t="n">
        <f aca="false">IF(NOT(AY95=""),ABS(AY95),"")</f>
        <v>0</v>
      </c>
    </row>
    <row r="96" customFormat="false" ht="12.8" hidden="false" customHeight="false" outlineLevel="0" collapsed="false">
      <c r="A96" s="56" t="n">
        <v>276</v>
      </c>
      <c r="B96" s="25" t="n">
        <v>272</v>
      </c>
      <c r="C96" s="57" t="n">
        <v>296</v>
      </c>
      <c r="D96" s="65" t="n">
        <v>281.333333333333</v>
      </c>
      <c r="E96" s="66" t="n">
        <v>110.222222222222</v>
      </c>
      <c r="F96" s="63" t="n">
        <v>10.4986771653491</v>
      </c>
      <c r="G96" s="63" t="n">
        <v>26.0822648187245</v>
      </c>
      <c r="H96" s="63" t="n">
        <v>255.251068514609</v>
      </c>
      <c r="I96" s="63" t="n">
        <v>307.415598152058</v>
      </c>
      <c r="J96" s="64" t="n">
        <v>0.0373175728626152</v>
      </c>
      <c r="L96" s="58" t="n">
        <v>233</v>
      </c>
      <c r="M96" s="0" t="n">
        <v>311</v>
      </c>
      <c r="N96" s="59" t="n">
        <v>233</v>
      </c>
      <c r="O96" s="59" t="n">
        <f aca="false">IF(A96="","",IF(L96="","",A96-L96))</f>
        <v>43</v>
      </c>
      <c r="P96" s="59" t="n">
        <f aca="false">IF(B96="","",IF(M96="","",B96-M96))</f>
        <v>-39</v>
      </c>
      <c r="Q96" s="59" t="n">
        <f aca="false">IF(C96="","",IF(N96="","",C96-N96))</f>
        <v>63</v>
      </c>
      <c r="R96" s="65" t="n">
        <v>259</v>
      </c>
      <c r="S96" s="66" t="n">
        <v>1352</v>
      </c>
      <c r="T96" s="63" t="n">
        <v>36.7695526217005</v>
      </c>
      <c r="U96" s="63" t="n">
        <v>91.3480044810321</v>
      </c>
      <c r="V96" s="63" t="n">
        <v>168</v>
      </c>
      <c r="W96" s="63" t="n">
        <v>350</v>
      </c>
      <c r="X96" s="87" t="n">
        <f aca="false">IF(D96="","",IF(V96="","",(V96-D96)/D96))</f>
        <v>-0.402843601895734</v>
      </c>
      <c r="Y96" s="87" t="n">
        <f aca="false">IF(D96="","",IF(W96="","",(W96-D96)/D96))</f>
        <v>0.244075829383888</v>
      </c>
      <c r="Z96" s="87" t="n">
        <v>0.14196738463977</v>
      </c>
      <c r="AA96" s="87" t="n">
        <f aca="false">IF(D96="","",IF(R96="","",(R96-D96)/D96))</f>
        <v>-0.079383886255923</v>
      </c>
      <c r="AB96" s="64" t="n">
        <f aca="false">IF(NOT(AA96=""),ABS(AA96),"")</f>
        <v>0.079383886255923</v>
      </c>
      <c r="AD96" s="65" t="n">
        <v>270</v>
      </c>
      <c r="AE96" s="66" t="n">
        <v>1948.66666666667</v>
      </c>
      <c r="AF96" s="63" t="n">
        <v>44.1437047229463</v>
      </c>
      <c r="AG96" s="63" t="n">
        <v>109.667892300142</v>
      </c>
      <c r="AH96" s="63" t="n">
        <v>160.332107699858</v>
      </c>
      <c r="AI96" s="63" t="n">
        <v>379.667892300142</v>
      </c>
      <c r="AJ96" s="87" t="n">
        <f aca="false">IF(D96="","",IF(AH96="","",(AH96-D96)/D96))</f>
        <v>-0.43009914324695</v>
      </c>
      <c r="AK96" s="87" t="n">
        <f aca="false">IF(D96="","",IF(AI96="","",(AI96-D96)/D96))</f>
        <v>0.349530422867805</v>
      </c>
      <c r="AL96" s="87" t="n">
        <v>0.163495202677579</v>
      </c>
      <c r="AM96" s="87" t="n">
        <f aca="false">IF(D96="","",IF(AD96="","",(AD96-D96)/D96))</f>
        <v>-0.0402843601895722</v>
      </c>
      <c r="AN96" s="64" t="n">
        <f aca="false">IF(NOT(AM96=""),ABS(AM96),"")</f>
        <v>0.0402843601895722</v>
      </c>
      <c r="AP96" s="65" t="n">
        <v>275</v>
      </c>
      <c r="AQ96" s="66" t="n">
        <v>9</v>
      </c>
      <c r="AR96" s="63" t="n">
        <v>3</v>
      </c>
      <c r="AS96" s="63" t="n">
        <v>26.9534962852688</v>
      </c>
      <c r="AT96" s="63" t="n">
        <v>248.046503714731</v>
      </c>
      <c r="AU96" s="63" t="n">
        <v>301.953496285269</v>
      </c>
      <c r="AV96" s="87" t="n">
        <f aca="false">IF(D96="","",IF(AT96="","",(AT96-D96)/D96))</f>
        <v>-0.118318114758064</v>
      </c>
      <c r="AW96" s="87" t="n">
        <f aca="false">IF(D96="","",IF(AU96="","",(AU96-D96)/D96))</f>
        <v>0.0732944180756021</v>
      </c>
      <c r="AX96" s="87" t="n">
        <v>0.0109090909090909</v>
      </c>
      <c r="AY96" s="45" t="n">
        <f aca="false">IF(D96="","",IF(AP96="","",(AP96-D96)/D96))</f>
        <v>-0.022511848341231</v>
      </c>
      <c r="AZ96" s="64" t="n">
        <f aca="false">IF(NOT(AY96=""),ABS(AY96),"")</f>
        <v>0.022511848341231</v>
      </c>
    </row>
    <row r="97" customFormat="false" ht="12.8" hidden="false" customHeight="false" outlineLevel="0" collapsed="false">
      <c r="A97" s="56" t="n">
        <v>247</v>
      </c>
      <c r="B97" s="25" t="n">
        <v>212</v>
      </c>
      <c r="C97" s="57" t="n">
        <v>233</v>
      </c>
      <c r="D97" s="65" t="n">
        <v>230.666666666667</v>
      </c>
      <c r="E97" s="66" t="n">
        <v>206.888888888889</v>
      </c>
      <c r="F97" s="63" t="n">
        <v>14.3836326735943</v>
      </c>
      <c r="G97" s="63" t="n">
        <v>35.7338082254928</v>
      </c>
      <c r="H97" s="63" t="n">
        <v>194.932858441174</v>
      </c>
      <c r="I97" s="63" t="n">
        <v>266.400474892159</v>
      </c>
      <c r="J97" s="64" t="n">
        <v>0.062356789047374</v>
      </c>
      <c r="L97" s="58" t="n">
        <v>224</v>
      </c>
      <c r="M97" s="0" t="n">
        <v>222</v>
      </c>
      <c r="N97" s="59" t="n">
        <v>195</v>
      </c>
      <c r="O97" s="59" t="n">
        <f aca="false">IF(A97="","",IF(L97="","",A97-L97))</f>
        <v>23</v>
      </c>
      <c r="P97" s="59" t="n">
        <f aca="false">IF(B97="","",IF(M97="","",B97-M97))</f>
        <v>-10</v>
      </c>
      <c r="Q97" s="59" t="n">
        <f aca="false">IF(C97="","",IF(N97="","",C97-N97))</f>
        <v>38</v>
      </c>
      <c r="R97" s="65" t="n">
        <v>214</v>
      </c>
      <c r="S97" s="66" t="n">
        <v>174.888888888889</v>
      </c>
      <c r="T97" s="63" t="n">
        <v>13.2245562832516</v>
      </c>
      <c r="U97" s="63" t="n">
        <v>32.8542704625994</v>
      </c>
      <c r="V97" s="63" t="n">
        <v>181</v>
      </c>
      <c r="W97" s="63" t="n">
        <v>247</v>
      </c>
      <c r="X97" s="87" t="n">
        <f aca="false">IF(D97="","",IF(V97="","",(V97-D97)/D97))</f>
        <v>-0.215317919075146</v>
      </c>
      <c r="Y97" s="87" t="n">
        <f aca="false">IF(D97="","",IF(W97="","",(W97-D97)/D97))</f>
        <v>0.0708092485549118</v>
      </c>
      <c r="Z97" s="87" t="n">
        <v>0.0618933991415831</v>
      </c>
      <c r="AA97" s="87" t="n">
        <f aca="false">IF(D97="","",IF(R97="","",(R97-D97)/D97))</f>
        <v>-0.0722543352601169</v>
      </c>
      <c r="AB97" s="64" t="n">
        <f aca="false">IF(NOT(AA97=""),ABS(AA97),"")</f>
        <v>0.0722543352601169</v>
      </c>
      <c r="AD97" s="65" t="n">
        <v>209</v>
      </c>
      <c r="AE97" s="66" t="n">
        <v>162</v>
      </c>
      <c r="AF97" s="63" t="n">
        <v>12.7279220613579</v>
      </c>
      <c r="AG97" s="63" t="n">
        <v>31.620463089588</v>
      </c>
      <c r="AH97" s="63" t="n">
        <v>177.379536910412</v>
      </c>
      <c r="AI97" s="63" t="n">
        <v>240.620463089588</v>
      </c>
      <c r="AJ97" s="87" t="n">
        <f aca="false">IF(D97="","",IF(AH97="","",(AH97-D97)/D97))</f>
        <v>-0.231013568307463</v>
      </c>
      <c r="AK97" s="87" t="n">
        <f aca="false">IF(D97="","",IF(AI97="","",(AI97-D97)/D97))</f>
        <v>0.0431522966311603</v>
      </c>
      <c r="AL97" s="87" t="n">
        <v>0.0608991486189371</v>
      </c>
      <c r="AM97" s="87" t="n">
        <f aca="false">IF(D97="","",IF(AD97="","",(AD97-D97)/D97))</f>
        <v>-0.0939306358381516</v>
      </c>
      <c r="AN97" s="64" t="n">
        <f aca="false">IF(NOT(AM97=""),ABS(AM97),"")</f>
        <v>0.0939306358381516</v>
      </c>
      <c r="AP97" s="65" t="n">
        <v>211</v>
      </c>
      <c r="AQ97" s="66" t="n">
        <v>49</v>
      </c>
      <c r="AR97" s="63" t="n">
        <v>7</v>
      </c>
      <c r="AS97" s="63" t="n">
        <v>62.8914913322939</v>
      </c>
      <c r="AT97" s="63" t="n">
        <v>148.108508667706</v>
      </c>
      <c r="AU97" s="63" t="n">
        <v>273.891491332294</v>
      </c>
      <c r="AV97" s="87" t="n">
        <f aca="false">IF(D97="","",IF(AT97="","",(AT97-D97)/D97))</f>
        <v>-0.357911089590871</v>
      </c>
      <c r="AW97" s="87" t="n">
        <f aca="false">IF(D97="","",IF(AU97="","",(AU97-D97)/D97))</f>
        <v>0.187390858376995</v>
      </c>
      <c r="AX97" s="87" t="n">
        <v>0.033175355450237</v>
      </c>
      <c r="AY97" s="45" t="n">
        <f aca="false">IF(D97="","",IF(AP97="","",(AP97-D97)/D97))</f>
        <v>-0.0852601156069377</v>
      </c>
      <c r="AZ97" s="64" t="n">
        <f aca="false">IF(NOT(AY97=""),ABS(AY97),"")</f>
        <v>0.0852601156069377</v>
      </c>
    </row>
    <row r="98" customFormat="false" ht="12.8" hidden="false" customHeight="false" outlineLevel="0" collapsed="false">
      <c r="A98" s="56" t="n">
        <v>187</v>
      </c>
      <c r="B98" s="25" t="n">
        <v>190</v>
      </c>
      <c r="C98" s="57" t="n">
        <v>162</v>
      </c>
      <c r="D98" s="65" t="n">
        <v>179.666666666667</v>
      </c>
      <c r="E98" s="66" t="n">
        <v>157.555555555556</v>
      </c>
      <c r="F98" s="63" t="n">
        <v>12.5521135891752</v>
      </c>
      <c r="G98" s="63" t="n">
        <v>31.1836953847977</v>
      </c>
      <c r="H98" s="63" t="n">
        <v>148.482971281869</v>
      </c>
      <c r="I98" s="63" t="n">
        <v>210.850362051464</v>
      </c>
      <c r="J98" s="64" t="n">
        <v>0.0698633409416057</v>
      </c>
      <c r="L98" s="58" t="n">
        <v>189</v>
      </c>
      <c r="M98" s="0" t="n">
        <v>186</v>
      </c>
      <c r="N98" s="59" t="n">
        <v>210</v>
      </c>
      <c r="O98" s="59" t="n">
        <f aca="false">IF(A98="","",IF(L98="","",A98-L98))</f>
        <v>-2</v>
      </c>
      <c r="P98" s="59" t="n">
        <f aca="false">IF(B98="","",IF(M98="","",B98-M98))</f>
        <v>4</v>
      </c>
      <c r="Q98" s="59" t="n">
        <f aca="false">IF(C98="","",IF(N98="","",C98-N98))</f>
        <v>-48</v>
      </c>
      <c r="R98" s="65" t="n">
        <v>195</v>
      </c>
      <c r="S98" s="66" t="n">
        <v>114</v>
      </c>
      <c r="T98" s="63" t="n">
        <v>10.6770782520313</v>
      </c>
      <c r="U98" s="63" t="n">
        <v>26.5254734547755</v>
      </c>
      <c r="V98" s="63" t="n">
        <v>168</v>
      </c>
      <c r="W98" s="63" t="n">
        <v>222</v>
      </c>
      <c r="X98" s="87" t="n">
        <f aca="false">IF(D98="","",IF(V98="","",(V98-D98)/D98))</f>
        <v>-0.0649350649350667</v>
      </c>
      <c r="Y98" s="87" t="n">
        <f aca="false">IF(D98="","",IF(W98="","",(W98-D98)/D98))</f>
        <v>0.235621521335805</v>
      </c>
      <c r="Z98" s="87" t="n">
        <v>0.0547542474463144</v>
      </c>
      <c r="AA98" s="87" t="n">
        <f aca="false">IF(D98="","",IF(R98="","",(R98-D98)/D98))</f>
        <v>0.0853432282003691</v>
      </c>
      <c r="AB98" s="64" t="n">
        <f aca="false">IF(NOT(AA98=""),ABS(AA98),"")</f>
        <v>0.0853432282003691</v>
      </c>
      <c r="AD98" s="65" t="n">
        <v>183</v>
      </c>
      <c r="AE98" s="66" t="n">
        <v>0.666666666666667</v>
      </c>
      <c r="AF98" s="63" t="n">
        <v>0.816496580927726</v>
      </c>
      <c r="AG98" s="63" t="n">
        <v>2.02845365296381</v>
      </c>
      <c r="AH98" s="63" t="n">
        <v>180.971546347036</v>
      </c>
      <c r="AI98" s="63" t="n">
        <v>185.028453652964</v>
      </c>
      <c r="AJ98" s="87" t="n">
        <f aca="false">IF(D98="","",IF(AH98="","",(AH98-D98)/D98))</f>
        <v>0.00726278115233207</v>
      </c>
      <c r="AK98" s="87" t="n">
        <f aca="false">IF(D98="","",IF(AI98="","",(AI98-D98)/D98))</f>
        <v>0.0298429702391298</v>
      </c>
      <c r="AL98" s="87" t="n">
        <v>0.00446172995042473</v>
      </c>
      <c r="AM98" s="87" t="n">
        <f aca="false">IF(D98="","",IF(AD98="","",(AD98-D98)/D98))</f>
        <v>0.018552875695731</v>
      </c>
      <c r="AN98" s="64" t="n">
        <f aca="false">IF(NOT(AM98=""),ABS(AM98),"")</f>
        <v>0.018552875695731</v>
      </c>
      <c r="AP98" s="65" t="n">
        <v>168.5</v>
      </c>
      <c r="AQ98" s="66" t="n">
        <v>72.25</v>
      </c>
      <c r="AR98" s="63" t="n">
        <v>8.5</v>
      </c>
      <c r="AS98" s="63" t="n">
        <v>76.3682394749283</v>
      </c>
      <c r="AT98" s="63" t="n">
        <v>92.1317605250717</v>
      </c>
      <c r="AU98" s="63" t="n">
        <v>244.868239474928</v>
      </c>
      <c r="AV98" s="87" t="n">
        <f aca="false">IF(D98="","",IF(AT98="","",(AT98-D98)/D98))</f>
        <v>-0.487207269804797</v>
      </c>
      <c r="AW98" s="87" t="n">
        <f aca="false">IF(D98="","",IF(AU98="","",(AU98-D98)/D98))</f>
        <v>0.362903002643382</v>
      </c>
      <c r="AX98" s="87" t="n">
        <v>0.0504451038575668</v>
      </c>
      <c r="AY98" s="45" t="n">
        <f aca="false">IF(D98="","",IF(AP98="","",(AP98-D98)/D98))</f>
        <v>-0.0621521335807067</v>
      </c>
      <c r="AZ98" s="64" t="n">
        <f aca="false">IF(NOT(AY98=""),ABS(AY98),"")</f>
        <v>0.0621521335807067</v>
      </c>
    </row>
    <row r="99" customFormat="false" ht="12.8" hidden="false" customHeight="false" outlineLevel="0" collapsed="false">
      <c r="A99" s="56" t="n">
        <v>179</v>
      </c>
      <c r="B99" s="25" t="n">
        <v>156</v>
      </c>
      <c r="C99" s="57" t="n">
        <v>168</v>
      </c>
      <c r="D99" s="65" t="n">
        <v>167.666666666667</v>
      </c>
      <c r="E99" s="66" t="n">
        <v>88.2222222222222</v>
      </c>
      <c r="F99" s="63" t="n">
        <v>9.39266853573692</v>
      </c>
      <c r="G99" s="63" t="n">
        <v>23.3345653214441</v>
      </c>
      <c r="H99" s="63" t="n">
        <v>144.332101345223</v>
      </c>
      <c r="I99" s="63" t="n">
        <v>191.001231988111</v>
      </c>
      <c r="J99" s="64" t="n">
        <v>0.056019891863242</v>
      </c>
      <c r="L99" s="58" t="n">
        <v>182</v>
      </c>
      <c r="M99" s="0" t="n">
        <v>172</v>
      </c>
      <c r="N99" s="59" t="n">
        <v>151</v>
      </c>
      <c r="O99" s="59" t="n">
        <f aca="false">IF(A99="","",IF(L99="","",A99-L99))</f>
        <v>-3</v>
      </c>
      <c r="P99" s="59" t="n">
        <f aca="false">IF(B99="","",IF(M99="","",B99-M99))</f>
        <v>-16</v>
      </c>
      <c r="Q99" s="59" t="n">
        <f aca="false">IF(C99="","",IF(N99="","",C99-N99))</f>
        <v>17</v>
      </c>
      <c r="R99" s="65" t="n">
        <v>168</v>
      </c>
      <c r="S99" s="66" t="n">
        <v>166.888888888889</v>
      </c>
      <c r="T99" s="63" t="n">
        <v>12.9185482500507</v>
      </c>
      <c r="U99" s="63" t="n">
        <v>32.0940430136647</v>
      </c>
      <c r="V99" s="63" t="n">
        <v>136</v>
      </c>
      <c r="W99" s="63" t="n">
        <v>200</v>
      </c>
      <c r="X99" s="87" t="n">
        <f aca="false">IF(D99="","",IF(V99="","",(V99-D99)/D99))</f>
        <v>-0.188866799204773</v>
      </c>
      <c r="Y99" s="87" t="n">
        <f aca="false">IF(D99="","",IF(W99="","",(W99-D99)/D99))</f>
        <v>0.192842942345922</v>
      </c>
      <c r="Z99" s="87" t="n">
        <v>0.0767438509904004</v>
      </c>
      <c r="AA99" s="87" t="n">
        <f aca="false">IF(D99="","",IF(R99="","",(R99-D99)/D99))</f>
        <v>0.00198807157057456</v>
      </c>
      <c r="AB99" s="64" t="n">
        <f aca="false">IF(NOT(AA99=""),ABS(AA99),"")</f>
        <v>0.00198807157057456</v>
      </c>
      <c r="AD99" s="65" t="n">
        <v>159.333333333333</v>
      </c>
      <c r="AE99" s="66" t="n">
        <v>306.888888888889</v>
      </c>
      <c r="AF99" s="63" t="n">
        <v>17.5182444579612</v>
      </c>
      <c r="AG99" s="63" t="n">
        <v>43.521244049655</v>
      </c>
      <c r="AH99" s="63" t="n">
        <v>115.812089283678</v>
      </c>
      <c r="AI99" s="63" t="n">
        <v>202.854577382988</v>
      </c>
      <c r="AJ99" s="87" t="n">
        <f aca="false">IF(D99="","",IF(AH99="","",(AH99-D99)/D99))</f>
        <v>-0.309271833298144</v>
      </c>
      <c r="AK99" s="87" t="n">
        <f aca="false">IF(D99="","",IF(AI99="","",(AI99-D99)/D99))</f>
        <v>0.20986825476931</v>
      </c>
      <c r="AL99" s="87" t="n">
        <v>0.109947140949547</v>
      </c>
      <c r="AM99" s="87" t="n">
        <f aca="false">IF(D99="","",IF(AD99="","",(AD99-D99)/D99))</f>
        <v>-0.0497017892644174</v>
      </c>
      <c r="AN99" s="64" t="n">
        <f aca="false">IF(NOT(AM99=""),ABS(AM99),"")</f>
        <v>0.0497017892644174</v>
      </c>
      <c r="AP99" s="65" t="n">
        <v>173</v>
      </c>
      <c r="AQ99" s="66" t="n">
        <v>81</v>
      </c>
      <c r="AR99" s="63" t="n">
        <v>9</v>
      </c>
      <c r="AS99" s="63" t="n">
        <v>80.8604888558065</v>
      </c>
      <c r="AT99" s="63" t="n">
        <v>92.1395111441936</v>
      </c>
      <c r="AU99" s="63" t="n">
        <v>253.860488855806</v>
      </c>
      <c r="AV99" s="87" t="n">
        <f aca="false">IF(D99="","",IF(AT99="","",(AT99-D99)/D99))</f>
        <v>-0.450460172102226</v>
      </c>
      <c r="AW99" s="87" t="n">
        <f aca="false">IF(D99="","",IF(AU99="","",(AU99-D99)/D99))</f>
        <v>0.514078462360669</v>
      </c>
      <c r="AX99" s="87" t="n">
        <v>0.0520231213872832</v>
      </c>
      <c r="AY99" s="45" t="n">
        <f aca="false">IF(D99="","",IF(AP99="","",(AP99-D99)/D99))</f>
        <v>0.0318091451292226</v>
      </c>
      <c r="AZ99" s="64" t="n">
        <f aca="false">IF(NOT(AY99=""),ABS(AY99),"")</f>
        <v>0.0318091451292226</v>
      </c>
    </row>
    <row r="100" customFormat="false" ht="12.8" hidden="false" customHeight="false" outlineLevel="0" collapsed="false">
      <c r="A100" s="56" t="n">
        <v>140</v>
      </c>
      <c r="B100" s="25" t="n">
        <v>147</v>
      </c>
      <c r="C100" s="57" t="n">
        <v>139</v>
      </c>
      <c r="D100" s="65" t="n">
        <v>142</v>
      </c>
      <c r="E100" s="66" t="n">
        <v>12.6666666666667</v>
      </c>
      <c r="F100" s="63" t="n">
        <v>3.55902608401044</v>
      </c>
      <c r="G100" s="63" t="n">
        <v>8.84182448492517</v>
      </c>
      <c r="H100" s="63" t="n">
        <v>133.158175515075</v>
      </c>
      <c r="I100" s="63" t="n">
        <v>150.841824484925</v>
      </c>
      <c r="J100" s="64" t="n">
        <v>0.0250635639719045</v>
      </c>
      <c r="L100" s="58" t="n">
        <v>132</v>
      </c>
      <c r="M100" s="0" t="n">
        <v>148</v>
      </c>
      <c r="N100" s="59" t="n">
        <v>128</v>
      </c>
      <c r="O100" s="59" t="n">
        <f aca="false">IF(A100="","",IF(L100="","",A100-L100))</f>
        <v>8</v>
      </c>
      <c r="P100" s="59" t="n">
        <f aca="false">IF(B100="","",IF(M100="","",B100-M100))</f>
        <v>-1</v>
      </c>
      <c r="Q100" s="59" t="n">
        <f aca="false">IF(C100="","",IF(N100="","",C100-N100))</f>
        <v>11</v>
      </c>
      <c r="R100" s="65" t="n">
        <v>136</v>
      </c>
      <c r="S100" s="66" t="n">
        <v>74.6666666666667</v>
      </c>
      <c r="T100" s="63" t="n">
        <v>8.64098759787715</v>
      </c>
      <c r="U100" s="63" t="n">
        <v>21.467135647051</v>
      </c>
      <c r="V100" s="63" t="n">
        <v>115</v>
      </c>
      <c r="W100" s="63" t="n">
        <v>157</v>
      </c>
      <c r="X100" s="87" t="n">
        <f aca="false">IF(D100="","",IF(V100="","",(V100-D100)/D100))</f>
        <v>-0.190140845070423</v>
      </c>
      <c r="Y100" s="87" t="n">
        <f aca="false">IF(D100="","",IF(W100="","",(W100-D100)/D100))</f>
        <v>0.105633802816901</v>
      </c>
      <c r="Z100" s="87" t="n">
        <v>0.0635366735138026</v>
      </c>
      <c r="AA100" s="87" t="n">
        <f aca="false">IF(D100="","",IF(R100="","",(R100-D100)/D100))</f>
        <v>-0.0422535211267606</v>
      </c>
      <c r="AB100" s="64" t="n">
        <f aca="false">IF(NOT(AA100=""),ABS(AA100),"")</f>
        <v>0.0422535211267606</v>
      </c>
      <c r="AD100" s="65" t="n">
        <v>129</v>
      </c>
      <c r="AE100" s="66" t="n">
        <v>170.666666666667</v>
      </c>
      <c r="AF100" s="63" t="n">
        <v>13.0639452948436</v>
      </c>
      <c r="AG100" s="63" t="n">
        <v>32.455258447421</v>
      </c>
      <c r="AH100" s="63" t="n">
        <v>96.544741552579</v>
      </c>
      <c r="AI100" s="63" t="n">
        <v>161.455258447421</v>
      </c>
      <c r="AJ100" s="87" t="n">
        <f aca="false">IF(D100="","",IF(AH100="","",(AH100-D100)/D100))</f>
        <v>-0.320107453855078</v>
      </c>
      <c r="AK100" s="87" t="n">
        <f aca="false">IF(D100="","",IF(AI100="","",(AI100-D100)/D100))</f>
        <v>0.137008862305782</v>
      </c>
      <c r="AL100" s="87" t="n">
        <v>0.101270893758478</v>
      </c>
      <c r="AM100" s="87" t="n">
        <f aca="false">IF(D100="","",IF(AD100="","",(AD100-D100)/D100))</f>
        <v>-0.0915492957746479</v>
      </c>
      <c r="AN100" s="64" t="n">
        <f aca="false">IF(NOT(AM100=""),ABS(AM100),"")</f>
        <v>0.0915492957746479</v>
      </c>
      <c r="AP100" s="65" t="n">
        <v>147.5</v>
      </c>
      <c r="AQ100" s="66" t="n">
        <v>0.25</v>
      </c>
      <c r="AR100" s="63" t="n">
        <v>0.5</v>
      </c>
      <c r="AS100" s="63" t="n">
        <v>4.49224938087814</v>
      </c>
      <c r="AT100" s="63" t="n">
        <v>143.007750619122</v>
      </c>
      <c r="AU100" s="63" t="n">
        <v>151.992249380878</v>
      </c>
      <c r="AV100" s="87" t="n">
        <f aca="false">IF(D100="","",IF(AT100="","",(AT100-D100)/D100))</f>
        <v>0.00709683534592953</v>
      </c>
      <c r="AW100" s="87" t="n">
        <f aca="false">IF(D100="","",IF(AU100="","",(AU100-D100)/D100))</f>
        <v>0.0703679533864648</v>
      </c>
      <c r="AX100" s="87" t="n">
        <v>0.00338983050847458</v>
      </c>
      <c r="AY100" s="45" t="n">
        <f aca="false">IF(D100="","",IF(AP100="","",(AP100-D100)/D100))</f>
        <v>0.0387323943661972</v>
      </c>
      <c r="AZ100" s="64" t="n">
        <f aca="false">IF(NOT(AY100=""),ABS(AY100),"")</f>
        <v>0.0387323943661972</v>
      </c>
    </row>
    <row r="101" customFormat="false" ht="12.8" hidden="false" customHeight="false" outlineLevel="0" collapsed="false">
      <c r="A101" s="56" t="n">
        <v>131</v>
      </c>
      <c r="B101" s="25" t="n">
        <v>131</v>
      </c>
      <c r="C101" s="57" t="n">
        <v>153</v>
      </c>
      <c r="D101" s="65" t="n">
        <v>138.333333333333</v>
      </c>
      <c r="E101" s="66" t="n">
        <v>107.555555555556</v>
      </c>
      <c r="F101" s="63" t="n">
        <v>10.3708994574027</v>
      </c>
      <c r="G101" s="63" t="n">
        <v>25.7648217767014</v>
      </c>
      <c r="H101" s="63" t="n">
        <v>112.568511556632</v>
      </c>
      <c r="I101" s="63" t="n">
        <v>164.098155110035</v>
      </c>
      <c r="J101" s="64" t="n">
        <v>0.074970357523393</v>
      </c>
      <c r="L101" s="58" t="n">
        <v>118</v>
      </c>
      <c r="M101" s="0" t="n">
        <v>132</v>
      </c>
      <c r="N101" s="59" t="n">
        <v>136</v>
      </c>
      <c r="O101" s="59" t="n">
        <f aca="false">IF(A101="","",IF(L101="","",A101-L101))</f>
        <v>13</v>
      </c>
      <c r="P101" s="59" t="n">
        <f aca="false">IF(B101="","",IF(M101="","",B101-M101))</f>
        <v>-1</v>
      </c>
      <c r="Q101" s="59" t="n">
        <f aca="false">IF(C101="","",IF(N101="","",C101-N101))</f>
        <v>17</v>
      </c>
      <c r="R101" s="65" t="n">
        <v>129</v>
      </c>
      <c r="S101" s="66" t="n">
        <v>59.5555555555556</v>
      </c>
      <c r="T101" s="63" t="n">
        <v>7.71722460186015</v>
      </c>
      <c r="U101" s="63" t="n">
        <v>19.1721959406111</v>
      </c>
      <c r="V101" s="63" t="n">
        <v>109</v>
      </c>
      <c r="W101" s="63" t="n">
        <v>148</v>
      </c>
      <c r="X101" s="87" t="n">
        <f aca="false">IF(D101="","",IF(V101="","",(V101-D101)/D101))</f>
        <v>-0.212048192771082</v>
      </c>
      <c r="Y101" s="87" t="n">
        <f aca="false">IF(D101="","",IF(W101="","",(W101-D101)/D101))</f>
        <v>0.0698795180722917</v>
      </c>
      <c r="Z101" s="87" t="n">
        <v>0.0599784295481359</v>
      </c>
      <c r="AA101" s="87" t="n">
        <f aca="false">IF(D101="","",IF(R101="","",(R101-D101)/D101))</f>
        <v>-0.0674698795180701</v>
      </c>
      <c r="AB101" s="64" t="n">
        <f aca="false">IF(NOT(AA101=""),ABS(AA101),"")</f>
        <v>0.0674698795180701</v>
      </c>
      <c r="AD101" s="65" t="n">
        <v>136</v>
      </c>
      <c r="AE101" s="66" t="n">
        <v>68.6666666666667</v>
      </c>
      <c r="AF101" s="63" t="n">
        <v>8.28653526310404</v>
      </c>
      <c r="AG101" s="63" t="n">
        <v>20.5865561687449</v>
      </c>
      <c r="AH101" s="63" t="n">
        <v>115.413443831255</v>
      </c>
      <c r="AI101" s="63" t="n">
        <v>156.586556168745</v>
      </c>
      <c r="AJ101" s="87" t="n">
        <f aca="false">IF(D101="","",IF(AH101="","",(AH101-D101)/D101))</f>
        <v>-0.165685948207793</v>
      </c>
      <c r="AK101" s="87" t="n">
        <f aca="false">IF(D101="","",IF(AI101="","",(AI101-D101)/D101))</f>
        <v>0.131951008448762</v>
      </c>
      <c r="AL101" s="87" t="n">
        <v>0.0609304063463532</v>
      </c>
      <c r="AM101" s="87" t="n">
        <f aca="false">IF(D101="","",IF(AD101="","",(AD101-D101)/D101))</f>
        <v>-0.0168674698795157</v>
      </c>
      <c r="AN101" s="64" t="n">
        <f aca="false">IF(NOT(AM101=""),ABS(AM101),"")</f>
        <v>0.0168674698795157</v>
      </c>
      <c r="AP101" s="65" t="n">
        <v>121.5</v>
      </c>
      <c r="AQ101" s="66" t="n">
        <v>182.25</v>
      </c>
      <c r="AR101" s="63" t="n">
        <v>13.5</v>
      </c>
      <c r="AS101" s="63" t="n">
        <v>121.29073328371</v>
      </c>
      <c r="AT101" s="63" t="n">
        <v>0.20926671629033</v>
      </c>
      <c r="AU101" s="63" t="n">
        <v>242.79073328371</v>
      </c>
      <c r="AV101" s="87" t="n">
        <f aca="false">IF(D101="","",IF(AT101="","",(AT101-D101)/D101))</f>
        <v>-0.998487228556937</v>
      </c>
      <c r="AW101" s="87" t="n">
        <f aca="false">IF(D101="","",IF(AU101="","",(AU101-D101)/D101))</f>
        <v>0.755113734581041</v>
      </c>
      <c r="AX101" s="87" t="n">
        <v>0.111111111111111</v>
      </c>
      <c r="AY101" s="45" t="n">
        <f aca="false">IF(D101="","",IF(AP101="","",(AP101-D101)/D101))</f>
        <v>-0.12168674698795</v>
      </c>
      <c r="AZ101" s="64" t="n">
        <f aca="false">IF(NOT(AY101=""),ABS(AY101),"")</f>
        <v>0.12168674698795</v>
      </c>
    </row>
    <row r="102" customFormat="false" ht="12.8" hidden="false" customHeight="false" outlineLevel="0" collapsed="false">
      <c r="A102" s="56" t="n">
        <v>100</v>
      </c>
      <c r="B102" s="25" t="n">
        <v>85</v>
      </c>
      <c r="C102" s="57" t="n">
        <v>108</v>
      </c>
      <c r="D102" s="65" t="n">
        <v>97.6666666666667</v>
      </c>
      <c r="E102" s="66" t="n">
        <v>90.8888888888889</v>
      </c>
      <c r="F102" s="63" t="n">
        <v>9.53356643071673</v>
      </c>
      <c r="G102" s="63" t="n">
        <v>23.6846033454147</v>
      </c>
      <c r="H102" s="63" t="n">
        <v>73.982063321252</v>
      </c>
      <c r="I102" s="63" t="n">
        <v>121.351270012081</v>
      </c>
      <c r="J102" s="64" t="n">
        <v>0.0976133081643351</v>
      </c>
      <c r="L102" s="58" t="n">
        <v>126</v>
      </c>
      <c r="M102" s="0" t="n">
        <v>114</v>
      </c>
      <c r="N102" s="59" t="n">
        <v>93</v>
      </c>
      <c r="O102" s="59" t="n">
        <f aca="false">IF(A102="","",IF(L102="","",A102-L102))</f>
        <v>-26</v>
      </c>
      <c r="P102" s="59" t="n">
        <f aca="false">IF(B102="","",IF(M102="","",B102-M102))</f>
        <v>-29</v>
      </c>
      <c r="Q102" s="59" t="n">
        <f aca="false">IF(C102="","",IF(N102="","",C102-N102))</f>
        <v>15</v>
      </c>
      <c r="R102" s="65" t="n">
        <v>111</v>
      </c>
      <c r="S102" s="66" t="n">
        <v>186</v>
      </c>
      <c r="T102" s="63" t="n">
        <v>13.6381816969859</v>
      </c>
      <c r="U102" s="63" t="n">
        <v>33.8818558818728</v>
      </c>
      <c r="V102" s="63" t="n">
        <v>77</v>
      </c>
      <c r="W102" s="63" t="n">
        <v>145</v>
      </c>
      <c r="X102" s="87" t="n">
        <f aca="false">IF(D102="","",IF(V102="","",(V102-D102)/D102))</f>
        <v>-0.21160409556314</v>
      </c>
      <c r="Y102" s="87" t="n">
        <f aca="false">IF(D102="","",IF(W102="","",(W102-D102)/D102))</f>
        <v>0.484641638225255</v>
      </c>
      <c r="Z102" s="87" t="n">
        <v>0.122866501774647</v>
      </c>
      <c r="AA102" s="87" t="n">
        <f aca="false">IF(D102="","",IF(R102="","",(R102-D102)/D102))</f>
        <v>0.136518771331058</v>
      </c>
      <c r="AB102" s="64" t="n">
        <f aca="false">IF(NOT(AA102=""),ABS(AA102),"")</f>
        <v>0.136518771331058</v>
      </c>
      <c r="AD102" s="65" t="n">
        <v>337.666666666667</v>
      </c>
      <c r="AE102" s="66" t="n">
        <v>91547.5555555556</v>
      </c>
      <c r="AF102" s="63" t="n">
        <v>302.568265942672</v>
      </c>
      <c r="AG102" s="63" t="n">
        <v>751.681903707403</v>
      </c>
      <c r="AH102" s="63" t="n">
        <v>-414.015237040736</v>
      </c>
      <c r="AI102" s="63" t="n">
        <v>1089.34857037407</v>
      </c>
      <c r="AJ102" s="87" t="n">
        <f aca="false">IF(D102="","",IF(AH102="","",(AH102-D102)/D102))</f>
        <v>-5.23906386048535</v>
      </c>
      <c r="AK102" s="87" t="n">
        <f aca="false">IF(D102="","",IF(AI102="","",(AI102-D102)/D102))</f>
        <v>10.1537396284034</v>
      </c>
      <c r="AL102" s="87" t="n">
        <v>0.896056068931902</v>
      </c>
      <c r="AM102" s="87" t="n">
        <f aca="false">IF(D102="","",IF(AD102="","",(AD102-D102)/D102))</f>
        <v>2.45733788395905</v>
      </c>
      <c r="AN102" s="64" t="n">
        <f aca="false">IF(NOT(AM102=""),ABS(AM102),"")</f>
        <v>2.45733788395905</v>
      </c>
      <c r="AP102" s="65" t="n">
        <v>107</v>
      </c>
      <c r="AQ102" s="66" t="n">
        <v>361</v>
      </c>
      <c r="AR102" s="63" t="n">
        <v>19</v>
      </c>
      <c r="AS102" s="63" t="n">
        <v>170.705476473369</v>
      </c>
      <c r="AT102" s="63" t="n">
        <v>-63.7054764733691</v>
      </c>
      <c r="AU102" s="63" t="n">
        <v>277.705476473369</v>
      </c>
      <c r="AV102" s="87" t="n">
        <f aca="false">IF(D102="","",IF(AT102="","",(AT102-D102)/D102))</f>
        <v>-1.6522745031403</v>
      </c>
      <c r="AW102" s="87" t="n">
        <f aca="false">IF(D102="","",IF(AU102="","",(AU102-D102)/D102))</f>
        <v>1.84340078300378</v>
      </c>
      <c r="AX102" s="87" t="n">
        <v>0.177570093457944</v>
      </c>
      <c r="AY102" s="45" t="n">
        <f aca="false">IF(D102="","",IF(AP102="","",(AP102-D102)/D102))</f>
        <v>0.0955631399317403</v>
      </c>
      <c r="AZ102" s="64" t="n">
        <f aca="false">IF(NOT(AY102=""),ABS(AY102),"")</f>
        <v>0.0955631399317403</v>
      </c>
    </row>
    <row r="103" customFormat="false" ht="12.8" hidden="false" customHeight="false" outlineLevel="0" collapsed="false">
      <c r="A103" s="56"/>
      <c r="B103" s="25"/>
      <c r="C103" s="57"/>
      <c r="D103" s="65"/>
      <c r="E103" s="66"/>
      <c r="F103" s="63"/>
      <c r="G103" s="63"/>
      <c r="H103" s="63"/>
      <c r="I103" s="63"/>
      <c r="J103" s="64"/>
      <c r="L103" s="58"/>
      <c r="N103" s="59"/>
      <c r="O103" s="59" t="str">
        <f aca="false">IF(A103="","",IF(L103="","",A103-L103))</f>
        <v/>
      </c>
      <c r="P103" s="59" t="str">
        <f aca="false">IF(B103="","",IF(M103="","",B103-M103))</f>
        <v/>
      </c>
      <c r="Q103" s="59" t="str">
        <f aca="false">IF(C103="","",IF(N103="","",C103-N103))</f>
        <v/>
      </c>
      <c r="R103" s="65" t="str">
        <f aca="false">IF(COUNT(O103:Q103)&gt;0,AVERAGE(O103:Q103),"")</f>
        <v/>
      </c>
      <c r="S103" s="66"/>
      <c r="T103" s="63"/>
      <c r="U103" s="63"/>
      <c r="V103" s="63" t="str">
        <f aca="false">IF(R103="","",R103-U103)</f>
        <v/>
      </c>
      <c r="W103" s="63" t="str">
        <f aca="false">IF(R103="","",R103+U103)</f>
        <v/>
      </c>
      <c r="X103" s="87" t="str">
        <f aca="false">IF(D103="","",IF(V103="","",(V103-D103)/D103))</f>
        <v/>
      </c>
      <c r="Y103" s="87" t="str">
        <f aca="false">IF(D103="","",IF(W103="","",(W103-D103)/D103))</f>
        <v/>
      </c>
      <c r="Z103" s="87"/>
      <c r="AA103" s="87" t="str">
        <f aca="false">IF(D103="","",IF(R103="","",(R103-D103)/D103))</f>
        <v/>
      </c>
      <c r="AB103" s="64" t="str">
        <f aca="false">IF(NOT(AA103=""),ABS(AA103),"")</f>
        <v/>
      </c>
      <c r="AD103" s="65"/>
      <c r="AE103" s="66"/>
      <c r="AF103" s="63"/>
      <c r="AG103" s="63"/>
      <c r="AH103" s="63"/>
      <c r="AI103" s="63"/>
      <c r="AJ103" s="87" t="str">
        <f aca="false">IF(D103="","",IF(AH103="","",(AH103-D103)/D103))</f>
        <v/>
      </c>
      <c r="AK103" s="87" t="str">
        <f aca="false">IF(D103="","",IF(AI103="","",(AI103-D103)/D103))</f>
        <v/>
      </c>
      <c r="AL103" s="87"/>
      <c r="AM103" s="87" t="str">
        <f aca="false">IF(D103="","",IF(AD103="","",(AD103-D103)/D103))</f>
        <v/>
      </c>
      <c r="AN103" s="64" t="str">
        <f aca="false">IF(NOT(AM103=""),ABS(AM103),"")</f>
        <v/>
      </c>
      <c r="AP103" s="65"/>
      <c r="AQ103" s="66"/>
      <c r="AR103" s="63"/>
      <c r="AS103" s="63"/>
      <c r="AT103" s="63"/>
      <c r="AU103" s="63"/>
      <c r="AV103" s="87" t="str">
        <f aca="false">IF(D103="","",IF(AT103="","",(AT103-D103)/D103))</f>
        <v/>
      </c>
      <c r="AW103" s="87" t="str">
        <f aca="false">IF(D103="","",IF(AU103="","",(AU103-D103)/D103))</f>
        <v/>
      </c>
      <c r="AX103" s="87"/>
      <c r="AY103" s="45" t="str">
        <f aca="false">IF(D103="","",IF(AP103="","",(AP103-D103)/D103))</f>
        <v/>
      </c>
      <c r="AZ103" s="64" t="str">
        <f aca="false">IF(NOT(AY103=""),ABS(AY103),"")</f>
        <v/>
      </c>
    </row>
    <row r="104" customFormat="false" ht="12.8" hidden="false" customHeight="false" outlineLevel="0" collapsed="false">
      <c r="A104" s="56"/>
      <c r="B104" s="25"/>
      <c r="C104" s="57" t="n">
        <v>2035</v>
      </c>
      <c r="D104" s="65" t="n">
        <v>2035</v>
      </c>
      <c r="E104" s="66" t="n">
        <v>0</v>
      </c>
      <c r="F104" s="63" t="n">
        <v>0</v>
      </c>
      <c r="G104" s="63" t="n">
        <v>0</v>
      </c>
      <c r="H104" s="63" t="n">
        <v>2035</v>
      </c>
      <c r="I104" s="63" t="n">
        <v>2035</v>
      </c>
      <c r="J104" s="64" t="n">
        <v>0</v>
      </c>
      <c r="L104" s="58"/>
      <c r="N104" s="59"/>
      <c r="O104" s="59" t="str">
        <f aca="false">IF(A104="","",IF(L104="","",A104-L104))</f>
        <v/>
      </c>
      <c r="P104" s="59" t="str">
        <f aca="false">IF(B104="","",IF(M104="","",B104-M104))</f>
        <v/>
      </c>
      <c r="Q104" s="59" t="str">
        <f aca="false">IF(C104="","",IF(N104="","",C104-N104))</f>
        <v/>
      </c>
      <c r="R104" s="65" t="str">
        <f aca="false">IF(COUNT(O104:Q104)&gt;0,AVERAGE(O104:Q104),"")</f>
        <v/>
      </c>
      <c r="S104" s="66"/>
      <c r="T104" s="63"/>
      <c r="U104" s="63"/>
      <c r="V104" s="63" t="str">
        <f aca="false">IF(R104="","",R104-U104)</f>
        <v/>
      </c>
      <c r="W104" s="63" t="str">
        <f aca="false">IF(R104="","",R104+U104)</f>
        <v/>
      </c>
      <c r="X104" s="87" t="str">
        <f aca="false">IF(D104="","",IF(V104="","",(V104-D104)/D104))</f>
        <v/>
      </c>
      <c r="Y104" s="87" t="str">
        <f aca="false">IF(D104="","",IF(W104="","",(W104-D104)/D104))</f>
        <v/>
      </c>
      <c r="Z104" s="87"/>
      <c r="AA104" s="87" t="str">
        <f aca="false">IF(D104="","",IF(R104="","",(R104-D104)/D104))</f>
        <v/>
      </c>
      <c r="AB104" s="64" t="str">
        <f aca="false">IF(NOT(AA104=""),ABS(AA104),"")</f>
        <v/>
      </c>
      <c r="AD104" s="65"/>
      <c r="AE104" s="66"/>
      <c r="AF104" s="63"/>
      <c r="AG104" s="63"/>
      <c r="AH104" s="63"/>
      <c r="AI104" s="63"/>
      <c r="AJ104" s="87" t="str">
        <f aca="false">IF(D104="","",IF(AH104="","",(AH104-D104)/D104))</f>
        <v/>
      </c>
      <c r="AK104" s="87" t="str">
        <f aca="false">IF(D104="","",IF(AI104="","",(AI104-D104)/D104))</f>
        <v/>
      </c>
      <c r="AL104" s="87"/>
      <c r="AM104" s="87" t="str">
        <f aca="false">IF(D104="","",IF(AD104="","",(AD104-D104)/D104))</f>
        <v/>
      </c>
      <c r="AN104" s="64" t="str">
        <f aca="false">IF(NOT(AM104=""),ABS(AM104),"")</f>
        <v/>
      </c>
      <c r="AP104" s="65"/>
      <c r="AQ104" s="66"/>
      <c r="AR104" s="63"/>
      <c r="AS104" s="63"/>
      <c r="AT104" s="63"/>
      <c r="AU104" s="63"/>
      <c r="AV104" s="87" t="str">
        <f aca="false">IF(D104="","",IF(AT104="","",(AT104-D104)/D104))</f>
        <v/>
      </c>
      <c r="AW104" s="87" t="str">
        <f aca="false">IF(D104="","",IF(AU104="","",(AU104-D104)/D104))</f>
        <v/>
      </c>
      <c r="AX104" s="87"/>
      <c r="AY104" s="45" t="str">
        <f aca="false">IF(D104="","",IF(AP104="","",(AP104-D104)/D104))</f>
        <v/>
      </c>
      <c r="AZ104" s="64" t="str">
        <f aca="false">IF(NOT(AY104=""),ABS(AY104),"")</f>
        <v/>
      </c>
    </row>
    <row r="105" customFormat="false" ht="12.8" hidden="false" customHeight="false" outlineLevel="0" collapsed="false">
      <c r="A105" s="56" t="n">
        <v>1552</v>
      </c>
      <c r="B105" s="25"/>
      <c r="C105" s="57"/>
      <c r="D105" s="65" t="n">
        <v>1552</v>
      </c>
      <c r="E105" s="66" t="n">
        <v>0</v>
      </c>
      <c r="F105" s="63" t="n">
        <v>0</v>
      </c>
      <c r="G105" s="63" t="n">
        <v>0</v>
      </c>
      <c r="H105" s="63" t="n">
        <v>1552</v>
      </c>
      <c r="I105" s="63" t="n">
        <v>1552</v>
      </c>
      <c r="J105" s="64" t="n">
        <v>0</v>
      </c>
      <c r="L105" s="58"/>
      <c r="N105" s="59"/>
      <c r="O105" s="59" t="str">
        <f aca="false">IF(A105="","",IF(L105="","",A105-L105))</f>
        <v/>
      </c>
      <c r="P105" s="59" t="str">
        <f aca="false">IF(B105="","",IF(M105="","",B105-M105))</f>
        <v/>
      </c>
      <c r="Q105" s="59" t="str">
        <f aca="false">IF(C105="","",IF(N105="","",C105-N105))</f>
        <v/>
      </c>
      <c r="R105" s="65" t="str">
        <f aca="false">IF(COUNT(O105:Q105)&gt;0,AVERAGE(O105:Q105),"")</f>
        <v/>
      </c>
      <c r="S105" s="66"/>
      <c r="T105" s="63"/>
      <c r="U105" s="63"/>
      <c r="V105" s="63" t="str">
        <f aca="false">IF(R105="","",R105-U105)</f>
        <v/>
      </c>
      <c r="W105" s="63" t="str">
        <f aca="false">IF(R105="","",R105+U105)</f>
        <v/>
      </c>
      <c r="X105" s="87" t="str">
        <f aca="false">IF(D105="","",IF(V105="","",(V105-D105)/D105))</f>
        <v/>
      </c>
      <c r="Y105" s="87" t="str">
        <f aca="false">IF(D105="","",IF(W105="","",(W105-D105)/D105))</f>
        <v/>
      </c>
      <c r="Z105" s="87"/>
      <c r="AA105" s="87" t="str">
        <f aca="false">IF(D105="","",IF(R105="","",(R105-D105)/D105))</f>
        <v/>
      </c>
      <c r="AB105" s="64" t="str">
        <f aca="false">IF(NOT(AA105=""),ABS(AA105),"")</f>
        <v/>
      </c>
      <c r="AD105" s="65"/>
      <c r="AE105" s="66"/>
      <c r="AF105" s="63"/>
      <c r="AG105" s="63"/>
      <c r="AH105" s="63"/>
      <c r="AI105" s="63"/>
      <c r="AJ105" s="87" t="str">
        <f aca="false">IF(D105="","",IF(AH105="","",(AH105-D105)/D105))</f>
        <v/>
      </c>
      <c r="AK105" s="87" t="str">
        <f aca="false">IF(D105="","",IF(AI105="","",(AI105-D105)/D105))</f>
        <v/>
      </c>
      <c r="AL105" s="87"/>
      <c r="AM105" s="87" t="str">
        <f aca="false">IF(D105="","",IF(AD105="","",(AD105-D105)/D105))</f>
        <v/>
      </c>
      <c r="AN105" s="64" t="str">
        <f aca="false">IF(NOT(AM105=""),ABS(AM105),"")</f>
        <v/>
      </c>
      <c r="AP105" s="65"/>
      <c r="AQ105" s="66"/>
      <c r="AR105" s="63"/>
      <c r="AS105" s="63"/>
      <c r="AT105" s="63"/>
      <c r="AU105" s="63"/>
      <c r="AV105" s="87" t="str">
        <f aca="false">IF(D105="","",IF(AT105="","",(AT105-D105)/D105))</f>
        <v/>
      </c>
      <c r="AW105" s="87" t="str">
        <f aca="false">IF(D105="","",IF(AU105="","",(AU105-D105)/D105))</f>
        <v/>
      </c>
      <c r="AX105" s="87"/>
      <c r="AY105" s="45" t="str">
        <f aca="false">IF(D105="","",IF(AP105="","",(AP105-D105)/D105))</f>
        <v/>
      </c>
      <c r="AZ105" s="64" t="str">
        <f aca="false">IF(NOT(AY105=""),ABS(AY105),"")</f>
        <v/>
      </c>
    </row>
    <row r="106" customFormat="false" ht="12.8" hidden="false" customHeight="false" outlineLevel="0" collapsed="false">
      <c r="A106" s="56" t="n">
        <v>1081</v>
      </c>
      <c r="B106" s="25"/>
      <c r="C106" s="57" t="n">
        <v>1136</v>
      </c>
      <c r="D106" s="65" t="n">
        <v>1108.5</v>
      </c>
      <c r="E106" s="66" t="n">
        <v>756.25</v>
      </c>
      <c r="F106" s="63" t="n">
        <v>27.5</v>
      </c>
      <c r="G106" s="63" t="n">
        <v>247.073715948297</v>
      </c>
      <c r="H106" s="63" t="n">
        <v>861.426284051703</v>
      </c>
      <c r="I106" s="63" t="n">
        <v>1355.5737159483</v>
      </c>
      <c r="J106" s="64" t="n">
        <v>0.024808299503834</v>
      </c>
      <c r="L106" s="58"/>
      <c r="N106" s="59"/>
      <c r="O106" s="59" t="str">
        <f aca="false">IF(A106="","",IF(L106="","",A106-L106))</f>
        <v/>
      </c>
      <c r="P106" s="59" t="str">
        <f aca="false">IF(B106="","",IF(M106="","",B106-M106))</f>
        <v/>
      </c>
      <c r="Q106" s="59" t="str">
        <f aca="false">IF(C106="","",IF(N106="","",C106-N106))</f>
        <v/>
      </c>
      <c r="R106" s="65" t="str">
        <f aca="false">IF(COUNT(O106:Q106)&gt;0,AVERAGE(O106:Q106),"")</f>
        <v/>
      </c>
      <c r="S106" s="66"/>
      <c r="T106" s="63"/>
      <c r="U106" s="63"/>
      <c r="V106" s="63" t="str">
        <f aca="false">IF(R106="","",R106-U106)</f>
        <v/>
      </c>
      <c r="W106" s="63" t="str">
        <f aca="false">IF(R106="","",R106+U106)</f>
        <v/>
      </c>
      <c r="X106" s="87" t="str">
        <f aca="false">IF(D106="","",IF(V106="","",(V106-D106)/D106))</f>
        <v/>
      </c>
      <c r="Y106" s="87" t="str">
        <f aca="false">IF(D106="","",IF(W106="","",(W106-D106)/D106))</f>
        <v/>
      </c>
      <c r="Z106" s="87"/>
      <c r="AA106" s="87" t="str">
        <f aca="false">IF(D106="","",IF(R106="","",(R106-D106)/D106))</f>
        <v/>
      </c>
      <c r="AB106" s="64" t="str">
        <f aca="false">IF(NOT(AA106=""),ABS(AA106),"")</f>
        <v/>
      </c>
      <c r="AD106" s="65"/>
      <c r="AE106" s="66"/>
      <c r="AF106" s="63"/>
      <c r="AG106" s="63"/>
      <c r="AH106" s="63"/>
      <c r="AI106" s="63"/>
      <c r="AJ106" s="87" t="str">
        <f aca="false">IF(D106="","",IF(AH106="","",(AH106-D106)/D106))</f>
        <v/>
      </c>
      <c r="AK106" s="87" t="str">
        <f aca="false">IF(D106="","",IF(AI106="","",(AI106-D106)/D106))</f>
        <v/>
      </c>
      <c r="AL106" s="87"/>
      <c r="AM106" s="87" t="str">
        <f aca="false">IF(D106="","",IF(AD106="","",(AD106-D106)/D106))</f>
        <v/>
      </c>
      <c r="AN106" s="64" t="str">
        <f aca="false">IF(NOT(AM106=""),ABS(AM106),"")</f>
        <v/>
      </c>
      <c r="AP106" s="65"/>
      <c r="AQ106" s="66"/>
      <c r="AR106" s="63"/>
      <c r="AS106" s="63"/>
      <c r="AT106" s="63"/>
      <c r="AU106" s="63"/>
      <c r="AV106" s="87" t="str">
        <f aca="false">IF(D106="","",IF(AT106="","",(AT106-D106)/D106))</f>
        <v/>
      </c>
      <c r="AW106" s="87" t="str">
        <f aca="false">IF(D106="","",IF(AU106="","",(AU106-D106)/D106))</f>
        <v/>
      </c>
      <c r="AX106" s="87"/>
      <c r="AY106" s="45" t="str">
        <f aca="false">IF(D106="","",IF(AP106="","",(AP106-D106)/D106))</f>
        <v/>
      </c>
      <c r="AZ106" s="64" t="str">
        <f aca="false">IF(NOT(AY106=""),ABS(AY106),"")</f>
        <v/>
      </c>
    </row>
    <row r="107" customFormat="false" ht="12.8" hidden="false" customHeight="false" outlineLevel="0" collapsed="false">
      <c r="A107" s="56" t="n">
        <v>774</v>
      </c>
      <c r="B107" s="25"/>
      <c r="C107" s="57" t="n">
        <v>787</v>
      </c>
      <c r="D107" s="65" t="n">
        <v>780.5</v>
      </c>
      <c r="E107" s="66" t="n">
        <v>42.25</v>
      </c>
      <c r="F107" s="63" t="n">
        <v>6.5</v>
      </c>
      <c r="G107" s="63" t="n">
        <v>58.3992419514158</v>
      </c>
      <c r="H107" s="63" t="n">
        <v>722.100758048584</v>
      </c>
      <c r="I107" s="63" t="n">
        <v>838.899241951416</v>
      </c>
      <c r="J107" s="64" t="n">
        <v>0.00832799487508008</v>
      </c>
      <c r="L107" s="58"/>
      <c r="N107" s="59"/>
      <c r="O107" s="59" t="str">
        <f aca="false">IF(A107="","",IF(L107="","",A107-L107))</f>
        <v/>
      </c>
      <c r="P107" s="59" t="str">
        <f aca="false">IF(B107="","",IF(M107="","",B107-M107))</f>
        <v/>
      </c>
      <c r="Q107" s="59" t="str">
        <f aca="false">IF(C107="","",IF(N107="","",C107-N107))</f>
        <v/>
      </c>
      <c r="R107" s="65" t="str">
        <f aca="false">IF(COUNT(O107:Q107)&gt;0,AVERAGE(O107:Q107),"")</f>
        <v/>
      </c>
      <c r="S107" s="66"/>
      <c r="T107" s="63"/>
      <c r="U107" s="63"/>
      <c r="V107" s="63" t="str">
        <f aca="false">IF(R107="","",R107-U107)</f>
        <v/>
      </c>
      <c r="W107" s="63" t="str">
        <f aca="false">IF(R107="","",R107+U107)</f>
        <v/>
      </c>
      <c r="X107" s="87" t="str">
        <f aca="false">IF(D107="","",IF(V107="","",(V107-D107)/D107))</f>
        <v/>
      </c>
      <c r="Y107" s="87" t="str">
        <f aca="false">IF(D107="","",IF(W107="","",(W107-D107)/D107))</f>
        <v/>
      </c>
      <c r="Z107" s="87"/>
      <c r="AA107" s="87" t="str">
        <f aca="false">IF(D107="","",IF(R107="","",(R107-D107)/D107))</f>
        <v/>
      </c>
      <c r="AB107" s="64" t="str">
        <f aca="false">IF(NOT(AA107=""),ABS(AA107),"")</f>
        <v/>
      </c>
      <c r="AD107" s="65"/>
      <c r="AE107" s="66"/>
      <c r="AF107" s="63"/>
      <c r="AG107" s="63"/>
      <c r="AH107" s="63"/>
      <c r="AI107" s="63"/>
      <c r="AJ107" s="87" t="str">
        <f aca="false">IF(D107="","",IF(AH107="","",(AH107-D107)/D107))</f>
        <v/>
      </c>
      <c r="AK107" s="87" t="str">
        <f aca="false">IF(D107="","",IF(AI107="","",(AI107-D107)/D107))</f>
        <v/>
      </c>
      <c r="AL107" s="87"/>
      <c r="AM107" s="87" t="str">
        <f aca="false">IF(D107="","",IF(AD107="","",(AD107-D107)/D107))</f>
        <v/>
      </c>
      <c r="AN107" s="64" t="str">
        <f aca="false">IF(NOT(AM107=""),ABS(AM107),"")</f>
        <v/>
      </c>
      <c r="AP107" s="65"/>
      <c r="AQ107" s="66"/>
      <c r="AR107" s="63"/>
      <c r="AS107" s="63"/>
      <c r="AT107" s="63"/>
      <c r="AU107" s="63"/>
      <c r="AV107" s="87" t="str">
        <f aca="false">IF(D107="","",IF(AT107="","",(AT107-D107)/D107))</f>
        <v/>
      </c>
      <c r="AW107" s="87" t="str">
        <f aca="false">IF(D107="","",IF(AU107="","",(AU107-D107)/D107))</f>
        <v/>
      </c>
      <c r="AX107" s="87"/>
      <c r="AY107" s="45" t="str">
        <f aca="false">IF(D107="","",IF(AP107="","",(AP107-D107)/D107))</f>
        <v/>
      </c>
      <c r="AZ107" s="64" t="str">
        <f aca="false">IF(NOT(AY107=""),ABS(AY107),"")</f>
        <v/>
      </c>
    </row>
    <row r="108" customFormat="false" ht="12.8" hidden="false" customHeight="false" outlineLevel="0" collapsed="false">
      <c r="A108" s="56" t="n">
        <v>680</v>
      </c>
      <c r="B108" s="25"/>
      <c r="C108" s="57" t="n">
        <v>572</v>
      </c>
      <c r="D108" s="65" t="n">
        <v>626</v>
      </c>
      <c r="E108" s="66" t="n">
        <v>2916</v>
      </c>
      <c r="F108" s="63" t="n">
        <v>54</v>
      </c>
      <c r="G108" s="63" t="n">
        <v>485.162933134839</v>
      </c>
      <c r="H108" s="63" t="n">
        <v>140.837066865161</v>
      </c>
      <c r="I108" s="63" t="n">
        <v>1111.16293313484</v>
      </c>
      <c r="J108" s="64" t="n">
        <v>0.0862619808306709</v>
      </c>
      <c r="L108" s="58"/>
      <c r="N108" s="59"/>
      <c r="O108" s="59" t="str">
        <f aca="false">IF(A108="","",IF(L108="","",A108-L108))</f>
        <v/>
      </c>
      <c r="P108" s="59" t="str">
        <f aca="false">IF(B108="","",IF(M108="","",B108-M108))</f>
        <v/>
      </c>
      <c r="Q108" s="59" t="str">
        <f aca="false">IF(C108="","",IF(N108="","",C108-N108))</f>
        <v/>
      </c>
      <c r="R108" s="65" t="str">
        <f aca="false">IF(COUNT(O108:Q108)&gt;0,AVERAGE(O108:Q108),"")</f>
        <v/>
      </c>
      <c r="S108" s="66"/>
      <c r="T108" s="63"/>
      <c r="U108" s="63"/>
      <c r="V108" s="63" t="str">
        <f aca="false">IF(R108="","",R108-U108)</f>
        <v/>
      </c>
      <c r="W108" s="63" t="str">
        <f aca="false">IF(R108="","",R108+U108)</f>
        <v/>
      </c>
      <c r="X108" s="87" t="str">
        <f aca="false">IF(D108="","",IF(V108="","",(V108-D108)/D108))</f>
        <v/>
      </c>
      <c r="Y108" s="87" t="str">
        <f aca="false">IF(D108="","",IF(W108="","",(W108-D108)/D108))</f>
        <v/>
      </c>
      <c r="Z108" s="87"/>
      <c r="AA108" s="87" t="str">
        <f aca="false">IF(D108="","",IF(R108="","",(R108-D108)/D108))</f>
        <v/>
      </c>
      <c r="AB108" s="64" t="str">
        <f aca="false">IF(NOT(AA108=""),ABS(AA108),"")</f>
        <v/>
      </c>
      <c r="AD108" s="65"/>
      <c r="AE108" s="66"/>
      <c r="AF108" s="63"/>
      <c r="AG108" s="63"/>
      <c r="AH108" s="63"/>
      <c r="AI108" s="63"/>
      <c r="AJ108" s="87" t="str">
        <f aca="false">IF(D108="","",IF(AH108="","",(AH108-D108)/D108))</f>
        <v/>
      </c>
      <c r="AK108" s="87" t="str">
        <f aca="false">IF(D108="","",IF(AI108="","",(AI108-D108)/D108))</f>
        <v/>
      </c>
      <c r="AL108" s="87"/>
      <c r="AM108" s="87" t="str">
        <f aca="false">IF(D108="","",IF(AD108="","",(AD108-D108)/D108))</f>
        <v/>
      </c>
      <c r="AN108" s="64" t="str">
        <f aca="false">IF(NOT(AM108=""),ABS(AM108),"")</f>
        <v/>
      </c>
      <c r="AP108" s="65"/>
      <c r="AQ108" s="66"/>
      <c r="AR108" s="63"/>
      <c r="AS108" s="63"/>
      <c r="AT108" s="63"/>
      <c r="AU108" s="63"/>
      <c r="AV108" s="87" t="str">
        <f aca="false">IF(D108="","",IF(AT108="","",(AT108-D108)/D108))</f>
        <v/>
      </c>
      <c r="AW108" s="87" t="str">
        <f aca="false">IF(D108="","",IF(AU108="","",(AU108-D108)/D108))</f>
        <v/>
      </c>
      <c r="AX108" s="87"/>
      <c r="AY108" s="45" t="str">
        <f aca="false">IF(D108="","",IF(AP108="","",(AP108-D108)/D108))</f>
        <v/>
      </c>
      <c r="AZ108" s="64" t="str">
        <f aca="false">IF(NOT(AY108=""),ABS(AY108),"")</f>
        <v/>
      </c>
    </row>
    <row r="109" customFormat="false" ht="12.8" hidden="false" customHeight="false" outlineLevel="0" collapsed="false">
      <c r="A109" s="56" t="n">
        <v>537</v>
      </c>
      <c r="B109" s="25"/>
      <c r="C109" s="57" t="n">
        <v>505</v>
      </c>
      <c r="D109" s="65" t="n">
        <v>521</v>
      </c>
      <c r="E109" s="66" t="n">
        <v>256</v>
      </c>
      <c r="F109" s="63" t="n">
        <v>16</v>
      </c>
      <c r="G109" s="63" t="n">
        <v>143.7519801881</v>
      </c>
      <c r="H109" s="63" t="n">
        <v>377.2480198119</v>
      </c>
      <c r="I109" s="63" t="n">
        <v>664.7519801881</v>
      </c>
      <c r="J109" s="64" t="n">
        <v>0.0307101727447217</v>
      </c>
      <c r="L109" s="58"/>
      <c r="N109" s="59"/>
      <c r="O109" s="59" t="str">
        <f aca="false">IF(A109="","",IF(L109="","",A109-L109))</f>
        <v/>
      </c>
      <c r="P109" s="59" t="str">
        <f aca="false">IF(B109="","",IF(M109="","",B109-M109))</f>
        <v/>
      </c>
      <c r="Q109" s="59" t="str">
        <f aca="false">IF(C109="","",IF(N109="","",C109-N109))</f>
        <v/>
      </c>
      <c r="R109" s="65" t="str">
        <f aca="false">IF(COUNT(O109:Q109)&gt;0,AVERAGE(O109:Q109),"")</f>
        <v/>
      </c>
      <c r="S109" s="66"/>
      <c r="T109" s="63"/>
      <c r="U109" s="63"/>
      <c r="V109" s="63" t="str">
        <f aca="false">IF(R109="","",R109-U109)</f>
        <v/>
      </c>
      <c r="W109" s="63" t="str">
        <f aca="false">IF(R109="","",R109+U109)</f>
        <v/>
      </c>
      <c r="X109" s="87" t="str">
        <f aca="false">IF(D109="","",IF(V109="","",(V109-D109)/D109))</f>
        <v/>
      </c>
      <c r="Y109" s="87" t="str">
        <f aca="false">IF(D109="","",IF(W109="","",(W109-D109)/D109))</f>
        <v/>
      </c>
      <c r="Z109" s="87"/>
      <c r="AA109" s="87" t="str">
        <f aca="false">IF(D109="","",IF(R109="","",(R109-D109)/D109))</f>
        <v/>
      </c>
      <c r="AB109" s="64" t="str">
        <f aca="false">IF(NOT(AA109=""),ABS(AA109),"")</f>
        <v/>
      </c>
      <c r="AD109" s="65"/>
      <c r="AE109" s="66"/>
      <c r="AF109" s="63"/>
      <c r="AG109" s="63"/>
      <c r="AH109" s="63"/>
      <c r="AI109" s="63"/>
      <c r="AJ109" s="87" t="str">
        <f aca="false">IF(D109="","",IF(AH109="","",(AH109-D109)/D109))</f>
        <v/>
      </c>
      <c r="AK109" s="87" t="str">
        <f aca="false">IF(D109="","",IF(AI109="","",(AI109-D109)/D109))</f>
        <v/>
      </c>
      <c r="AL109" s="87"/>
      <c r="AM109" s="87" t="str">
        <f aca="false">IF(D109="","",IF(AD109="","",(AD109-D109)/D109))</f>
        <v/>
      </c>
      <c r="AN109" s="64" t="str">
        <f aca="false">IF(NOT(AM109=""),ABS(AM109),"")</f>
        <v/>
      </c>
      <c r="AP109" s="65"/>
      <c r="AQ109" s="66"/>
      <c r="AR109" s="63"/>
      <c r="AS109" s="63"/>
      <c r="AT109" s="63"/>
      <c r="AU109" s="63"/>
      <c r="AV109" s="87" t="str">
        <f aca="false">IF(D109="","",IF(AT109="","",(AT109-D109)/D109))</f>
        <v/>
      </c>
      <c r="AW109" s="87" t="str">
        <f aca="false">IF(D109="","",IF(AU109="","",(AU109-D109)/D109))</f>
        <v/>
      </c>
      <c r="AX109" s="87"/>
      <c r="AY109" s="45" t="str">
        <f aca="false">IF(D109="","",IF(AP109="","",(AP109-D109)/D109))</f>
        <v/>
      </c>
      <c r="AZ109" s="64" t="str">
        <f aca="false">IF(NOT(AY109=""),ABS(AY109),"")</f>
        <v/>
      </c>
    </row>
    <row r="110" customFormat="false" ht="12.8" hidden="false" customHeight="false" outlineLevel="0" collapsed="false">
      <c r="A110" s="56" t="n">
        <v>463</v>
      </c>
      <c r="B110" s="25"/>
      <c r="C110" s="57" t="n">
        <v>420</v>
      </c>
      <c r="D110" s="65" t="n">
        <v>441.5</v>
      </c>
      <c r="E110" s="66" t="n">
        <v>462.25</v>
      </c>
      <c r="F110" s="63" t="n">
        <v>21.5</v>
      </c>
      <c r="G110" s="63" t="n">
        <v>193.16672337776</v>
      </c>
      <c r="H110" s="63" t="n">
        <v>248.33327662224</v>
      </c>
      <c r="I110" s="63" t="n">
        <v>634.66672337776</v>
      </c>
      <c r="J110" s="64" t="n">
        <v>0.0486976217440544</v>
      </c>
      <c r="L110" s="58"/>
      <c r="N110" s="59"/>
      <c r="O110" s="59" t="str">
        <f aca="false">IF(A110="","",IF(L110="","",A110-L110))</f>
        <v/>
      </c>
      <c r="P110" s="59" t="str">
        <f aca="false">IF(B110="","",IF(M110="","",B110-M110))</f>
        <v/>
      </c>
      <c r="Q110" s="59" t="str">
        <f aca="false">IF(C110="","",IF(N110="","",C110-N110))</f>
        <v/>
      </c>
      <c r="R110" s="65" t="str">
        <f aca="false">IF(COUNT(O110:Q110)&gt;0,AVERAGE(O110:Q110),"")</f>
        <v/>
      </c>
      <c r="S110" s="66"/>
      <c r="T110" s="63"/>
      <c r="U110" s="63"/>
      <c r="V110" s="63" t="str">
        <f aca="false">IF(R110="","",R110-U110)</f>
        <v/>
      </c>
      <c r="W110" s="63" t="str">
        <f aca="false">IF(R110="","",R110+U110)</f>
        <v/>
      </c>
      <c r="X110" s="87" t="str">
        <f aca="false">IF(D110="","",IF(V110="","",(V110-D110)/D110))</f>
        <v/>
      </c>
      <c r="Y110" s="87" t="str">
        <f aca="false">IF(D110="","",IF(W110="","",(W110-D110)/D110))</f>
        <v/>
      </c>
      <c r="Z110" s="87"/>
      <c r="AA110" s="87" t="str">
        <f aca="false">IF(D110="","",IF(R110="","",(R110-D110)/D110))</f>
        <v/>
      </c>
      <c r="AB110" s="64" t="str">
        <f aca="false">IF(NOT(AA110=""),ABS(AA110),"")</f>
        <v/>
      </c>
      <c r="AD110" s="65"/>
      <c r="AE110" s="66"/>
      <c r="AF110" s="63"/>
      <c r="AG110" s="63"/>
      <c r="AH110" s="63"/>
      <c r="AI110" s="63"/>
      <c r="AJ110" s="87" t="str">
        <f aca="false">IF(D110="","",IF(AH110="","",(AH110-D110)/D110))</f>
        <v/>
      </c>
      <c r="AK110" s="87" t="str">
        <f aca="false">IF(D110="","",IF(AI110="","",(AI110-D110)/D110))</f>
        <v/>
      </c>
      <c r="AL110" s="87"/>
      <c r="AM110" s="87" t="str">
        <f aca="false">IF(D110="","",IF(AD110="","",(AD110-D110)/D110))</f>
        <v/>
      </c>
      <c r="AN110" s="64" t="str">
        <f aca="false">IF(NOT(AM110=""),ABS(AM110),"")</f>
        <v/>
      </c>
      <c r="AP110" s="65"/>
      <c r="AQ110" s="66"/>
      <c r="AR110" s="63"/>
      <c r="AS110" s="63"/>
      <c r="AT110" s="63"/>
      <c r="AU110" s="63"/>
      <c r="AV110" s="87" t="str">
        <f aca="false">IF(D110="","",IF(AT110="","",(AT110-D110)/D110))</f>
        <v/>
      </c>
      <c r="AW110" s="87" t="str">
        <f aca="false">IF(D110="","",IF(AU110="","",(AU110-D110)/D110))</f>
        <v/>
      </c>
      <c r="AX110" s="87"/>
      <c r="AY110" s="45" t="str">
        <f aca="false">IF(D110="","",IF(AP110="","",(AP110-D110)/D110))</f>
        <v/>
      </c>
      <c r="AZ110" s="64" t="str">
        <f aca="false">IF(NOT(AY110=""),ABS(AY110),"")</f>
        <v/>
      </c>
    </row>
    <row r="111" customFormat="false" ht="12.8" hidden="false" customHeight="false" outlineLevel="0" collapsed="false">
      <c r="A111" s="56" t="n">
        <v>327</v>
      </c>
      <c r="B111" s="25"/>
      <c r="C111" s="57" t="n">
        <v>342</v>
      </c>
      <c r="D111" s="65" t="n">
        <v>334.5</v>
      </c>
      <c r="E111" s="66" t="n">
        <v>56.25</v>
      </c>
      <c r="F111" s="63" t="n">
        <v>7.5</v>
      </c>
      <c r="G111" s="63" t="n">
        <v>67.383740713172</v>
      </c>
      <c r="H111" s="63" t="n">
        <v>267.116259286828</v>
      </c>
      <c r="I111" s="63" t="n">
        <v>401.883740713172</v>
      </c>
      <c r="J111" s="64" t="n">
        <v>0.0224215246636771</v>
      </c>
      <c r="L111" s="58"/>
      <c r="N111" s="59"/>
      <c r="O111" s="59" t="str">
        <f aca="false">IF(A111="","",IF(L111="","",A111-L111))</f>
        <v/>
      </c>
      <c r="P111" s="59" t="str">
        <f aca="false">IF(B111="","",IF(M111="","",B111-M111))</f>
        <v/>
      </c>
      <c r="Q111" s="59" t="str">
        <f aca="false">IF(C111="","",IF(N111="","",C111-N111))</f>
        <v/>
      </c>
      <c r="R111" s="65" t="str">
        <f aca="false">IF(COUNT(O111:Q111)&gt;0,AVERAGE(O111:Q111),"")</f>
        <v/>
      </c>
      <c r="S111" s="66"/>
      <c r="T111" s="63"/>
      <c r="U111" s="63"/>
      <c r="V111" s="63" t="str">
        <f aca="false">IF(R111="","",R111-U111)</f>
        <v/>
      </c>
      <c r="W111" s="63" t="str">
        <f aca="false">IF(R111="","",R111+U111)</f>
        <v/>
      </c>
      <c r="X111" s="87" t="str">
        <f aca="false">IF(D111="","",IF(V111="","",(V111-D111)/D111))</f>
        <v/>
      </c>
      <c r="Y111" s="87" t="str">
        <f aca="false">IF(D111="","",IF(W111="","",(W111-D111)/D111))</f>
        <v/>
      </c>
      <c r="Z111" s="87"/>
      <c r="AA111" s="87" t="str">
        <f aca="false">IF(D111="","",IF(R111="","",(R111-D111)/D111))</f>
        <v/>
      </c>
      <c r="AB111" s="64" t="str">
        <f aca="false">IF(NOT(AA111=""),ABS(AA111),"")</f>
        <v/>
      </c>
      <c r="AD111" s="65"/>
      <c r="AE111" s="66"/>
      <c r="AF111" s="63"/>
      <c r="AG111" s="63"/>
      <c r="AH111" s="63"/>
      <c r="AI111" s="63"/>
      <c r="AJ111" s="87" t="str">
        <f aca="false">IF(D111="","",IF(AH111="","",(AH111-D111)/D111))</f>
        <v/>
      </c>
      <c r="AK111" s="87" t="str">
        <f aca="false">IF(D111="","",IF(AI111="","",(AI111-D111)/D111))</f>
        <v/>
      </c>
      <c r="AL111" s="87"/>
      <c r="AM111" s="87" t="str">
        <f aca="false">IF(D111="","",IF(AD111="","",(AD111-D111)/D111))</f>
        <v/>
      </c>
      <c r="AN111" s="64" t="str">
        <f aca="false">IF(NOT(AM111=""),ABS(AM111),"")</f>
        <v/>
      </c>
      <c r="AP111" s="65"/>
      <c r="AQ111" s="66"/>
      <c r="AR111" s="63"/>
      <c r="AS111" s="63"/>
      <c r="AT111" s="63"/>
      <c r="AU111" s="63"/>
      <c r="AV111" s="87" t="str">
        <f aca="false">IF(D111="","",IF(AT111="","",(AT111-D111)/D111))</f>
        <v/>
      </c>
      <c r="AW111" s="87" t="str">
        <f aca="false">IF(D111="","",IF(AU111="","",(AU111-D111)/D111))</f>
        <v/>
      </c>
      <c r="AX111" s="87"/>
      <c r="AY111" s="45" t="str">
        <f aca="false">IF(D111="","",IF(AP111="","",(AP111-D111)/D111))</f>
        <v/>
      </c>
      <c r="AZ111" s="64" t="str">
        <f aca="false">IF(NOT(AY111=""),ABS(AY111),"")</f>
        <v/>
      </c>
    </row>
    <row r="112" customFormat="false" ht="12.8" hidden="false" customHeight="false" outlineLevel="0" collapsed="false">
      <c r="A112" s="56"/>
      <c r="B112" s="25"/>
      <c r="C112" s="57" t="n">
        <v>348</v>
      </c>
      <c r="D112" s="65" t="n">
        <v>348</v>
      </c>
      <c r="E112" s="66" t="n">
        <v>0</v>
      </c>
      <c r="F112" s="63" t="n">
        <v>0</v>
      </c>
      <c r="G112" s="63" t="n">
        <v>0</v>
      </c>
      <c r="H112" s="63" t="n">
        <v>348</v>
      </c>
      <c r="I112" s="63" t="n">
        <v>348</v>
      </c>
      <c r="J112" s="64" t="n">
        <v>0</v>
      </c>
      <c r="L112" s="58"/>
      <c r="N112" s="59"/>
      <c r="O112" s="59" t="str">
        <f aca="false">IF(A112="","",IF(L112="","",A112-L112))</f>
        <v/>
      </c>
      <c r="P112" s="59" t="str">
        <f aca="false">IF(B112="","",IF(M112="","",B112-M112))</f>
        <v/>
      </c>
      <c r="Q112" s="59" t="str">
        <f aca="false">IF(C112="","",IF(N112="","",C112-N112))</f>
        <v/>
      </c>
      <c r="R112" s="65" t="str">
        <f aca="false">IF(COUNT(O112:Q112)&gt;0,AVERAGE(O112:Q112),"")</f>
        <v/>
      </c>
      <c r="S112" s="66"/>
      <c r="T112" s="63"/>
      <c r="U112" s="63"/>
      <c r="V112" s="63" t="str">
        <f aca="false">IF(R112="","",R112-U112)</f>
        <v/>
      </c>
      <c r="W112" s="63" t="str">
        <f aca="false">IF(R112="","",R112+U112)</f>
        <v/>
      </c>
      <c r="X112" s="87" t="str">
        <f aca="false">IF(D112="","",IF(V112="","",(V112-D112)/D112))</f>
        <v/>
      </c>
      <c r="Y112" s="87" t="str">
        <f aca="false">IF(D112="","",IF(W112="","",(W112-D112)/D112))</f>
        <v/>
      </c>
      <c r="Z112" s="87"/>
      <c r="AA112" s="87" t="str">
        <f aca="false">IF(D112="","",IF(R112="","",(R112-D112)/D112))</f>
        <v/>
      </c>
      <c r="AB112" s="64" t="str">
        <f aca="false">IF(NOT(AA112=""),ABS(AA112),"")</f>
        <v/>
      </c>
      <c r="AD112" s="65"/>
      <c r="AE112" s="66"/>
      <c r="AF112" s="63"/>
      <c r="AG112" s="63"/>
      <c r="AH112" s="63"/>
      <c r="AI112" s="63"/>
      <c r="AJ112" s="87" t="str">
        <f aca="false">IF(D112="","",IF(AH112="","",(AH112-D112)/D112))</f>
        <v/>
      </c>
      <c r="AK112" s="87" t="str">
        <f aca="false">IF(D112="","",IF(AI112="","",(AI112-D112)/D112))</f>
        <v/>
      </c>
      <c r="AL112" s="87"/>
      <c r="AM112" s="87" t="str">
        <f aca="false">IF(D112="","",IF(AD112="","",(AD112-D112)/D112))</f>
        <v/>
      </c>
      <c r="AN112" s="64" t="str">
        <f aca="false">IF(NOT(AM112=""),ABS(AM112),"")</f>
        <v/>
      </c>
      <c r="AP112" s="65"/>
      <c r="AQ112" s="66"/>
      <c r="AR112" s="63"/>
      <c r="AS112" s="63"/>
      <c r="AT112" s="63"/>
      <c r="AU112" s="63"/>
      <c r="AV112" s="87" t="str">
        <f aca="false">IF(D112="","",IF(AT112="","",(AT112-D112)/D112))</f>
        <v/>
      </c>
      <c r="AW112" s="87" t="str">
        <f aca="false">IF(D112="","",IF(AU112="","",(AU112-D112)/D112))</f>
        <v/>
      </c>
      <c r="AX112" s="87"/>
      <c r="AY112" s="45" t="str">
        <f aca="false">IF(D112="","",IF(AP112="","",(AP112-D112)/D112))</f>
        <v/>
      </c>
      <c r="AZ112" s="64" t="str">
        <f aca="false">IF(NOT(AY112=""),ABS(AY112),"")</f>
        <v/>
      </c>
    </row>
    <row r="113" customFormat="false" ht="12.8" hidden="false" customHeight="false" outlineLevel="0" collapsed="false">
      <c r="A113" s="56"/>
      <c r="B113" s="25"/>
      <c r="C113" s="57"/>
      <c r="D113" s="65"/>
      <c r="E113" s="66"/>
      <c r="F113" s="63"/>
      <c r="G113" s="63"/>
      <c r="H113" s="63"/>
      <c r="I113" s="63"/>
      <c r="J113" s="64"/>
      <c r="L113" s="58"/>
      <c r="N113" s="59"/>
      <c r="O113" s="59" t="str">
        <f aca="false">IF(A113="","",IF(L113="","",A113-L113))</f>
        <v/>
      </c>
      <c r="P113" s="59" t="str">
        <f aca="false">IF(B113="","",IF(M113="","",B113-M113))</f>
        <v/>
      </c>
      <c r="Q113" s="59" t="str">
        <f aca="false">IF(C113="","",IF(N113="","",C113-N113))</f>
        <v/>
      </c>
      <c r="R113" s="65" t="str">
        <f aca="false">IF(COUNT(O113:Q113)&gt;0,AVERAGE(O113:Q113),"")</f>
        <v/>
      </c>
      <c r="S113" s="66"/>
      <c r="T113" s="63"/>
      <c r="U113" s="63"/>
      <c r="V113" s="63" t="str">
        <f aca="false">IF(R113="","",R113-U113)</f>
        <v/>
      </c>
      <c r="W113" s="63" t="str">
        <f aca="false">IF(R113="","",R113+U113)</f>
        <v/>
      </c>
      <c r="X113" s="87" t="str">
        <f aca="false">IF(D113="","",IF(V113="","",(V113-D113)/D113))</f>
        <v/>
      </c>
      <c r="Y113" s="87" t="str">
        <f aca="false">IF(D113="","",IF(W113="","",(W113-D113)/D113))</f>
        <v/>
      </c>
      <c r="Z113" s="87"/>
      <c r="AA113" s="87" t="str">
        <f aca="false">IF(D113="","",IF(R113="","",(R113-D113)/D113))</f>
        <v/>
      </c>
      <c r="AB113" s="64" t="str">
        <f aca="false">IF(NOT(AA113=""),ABS(AA113),"")</f>
        <v/>
      </c>
      <c r="AD113" s="65"/>
      <c r="AE113" s="66"/>
      <c r="AF113" s="63"/>
      <c r="AG113" s="63"/>
      <c r="AH113" s="63"/>
      <c r="AI113" s="63"/>
      <c r="AJ113" s="87" t="str">
        <f aca="false">IF(D113="","",IF(AH113="","",(AH113-D113)/D113))</f>
        <v/>
      </c>
      <c r="AK113" s="87" t="str">
        <f aca="false">IF(D113="","",IF(AI113="","",(AI113-D113)/D113))</f>
        <v/>
      </c>
      <c r="AL113" s="87"/>
      <c r="AM113" s="87" t="str">
        <f aca="false">IF(D113="","",IF(AD113="","",(AD113-D113)/D113))</f>
        <v/>
      </c>
      <c r="AN113" s="64" t="str">
        <f aca="false">IF(NOT(AM113=""),ABS(AM113),"")</f>
        <v/>
      </c>
      <c r="AP113" s="65"/>
      <c r="AQ113" s="66"/>
      <c r="AR113" s="63"/>
      <c r="AS113" s="63"/>
      <c r="AT113" s="63"/>
      <c r="AU113" s="63"/>
      <c r="AV113" s="87" t="str">
        <f aca="false">IF(D113="","",IF(AT113="","",(AT113-D113)/D113))</f>
        <v/>
      </c>
      <c r="AW113" s="87" t="str">
        <f aca="false">IF(D113="","",IF(AU113="","",(AU113-D113)/D113))</f>
        <v/>
      </c>
      <c r="AX113" s="87"/>
      <c r="AY113" s="45" t="str">
        <f aca="false">IF(D113="","",IF(AP113="","",(AP113-D113)/D113))</f>
        <v/>
      </c>
      <c r="AZ113" s="64" t="str">
        <f aca="false">IF(NOT(AY113=""),ABS(AY113),"")</f>
        <v/>
      </c>
    </row>
    <row r="114" customFormat="false" ht="12.8" hidden="false" customHeight="false" outlineLevel="0" collapsed="false">
      <c r="A114" s="56"/>
      <c r="B114" s="25"/>
      <c r="C114" s="57"/>
      <c r="D114" s="65"/>
      <c r="E114" s="66"/>
      <c r="F114" s="63"/>
      <c r="G114" s="63"/>
      <c r="H114" s="63"/>
      <c r="I114" s="63"/>
      <c r="J114" s="64"/>
      <c r="L114" s="58"/>
      <c r="N114" s="59"/>
      <c r="O114" s="59" t="str">
        <f aca="false">IF(A114="","",IF(L114="","",A114-L114))</f>
        <v/>
      </c>
      <c r="P114" s="59" t="str">
        <f aca="false">IF(B114="","",IF(M114="","",B114-M114))</f>
        <v/>
      </c>
      <c r="Q114" s="59" t="str">
        <f aca="false">IF(C114="","",IF(N114="","",C114-N114))</f>
        <v/>
      </c>
      <c r="R114" s="65" t="str">
        <f aca="false">IF(COUNT(O114:Q114)&gt;0,AVERAGE(O114:Q114),"")</f>
        <v/>
      </c>
      <c r="S114" s="66"/>
      <c r="T114" s="63"/>
      <c r="U114" s="63"/>
      <c r="V114" s="63" t="str">
        <f aca="false">IF(R114="","",R114-U114)</f>
        <v/>
      </c>
      <c r="W114" s="63" t="str">
        <f aca="false">IF(R114="","",R114+U114)</f>
        <v/>
      </c>
      <c r="X114" s="87" t="str">
        <f aca="false">IF(D114="","",IF(V114="","",(V114-D114)/D114))</f>
        <v/>
      </c>
      <c r="Y114" s="87" t="str">
        <f aca="false">IF(D114="","",IF(W114="","",(W114-D114)/D114))</f>
        <v/>
      </c>
      <c r="Z114" s="87"/>
      <c r="AA114" s="87" t="str">
        <f aca="false">IF(D114="","",IF(R114="","",(R114-D114)/D114))</f>
        <v/>
      </c>
      <c r="AB114" s="64" t="str">
        <f aca="false">IF(NOT(AA114=""),ABS(AA114),"")</f>
        <v/>
      </c>
      <c r="AD114" s="65"/>
      <c r="AE114" s="66"/>
      <c r="AF114" s="63"/>
      <c r="AG114" s="63"/>
      <c r="AH114" s="63"/>
      <c r="AI114" s="63"/>
      <c r="AJ114" s="87" t="str">
        <f aca="false">IF(D114="","",IF(AH114="","",(AH114-D114)/D114))</f>
        <v/>
      </c>
      <c r="AK114" s="87" t="str">
        <f aca="false">IF(D114="","",IF(AI114="","",(AI114-D114)/D114))</f>
        <v/>
      </c>
      <c r="AL114" s="87"/>
      <c r="AM114" s="87" t="str">
        <f aca="false">IF(D114="","",IF(AD114="","",(AD114-D114)/D114))</f>
        <v/>
      </c>
      <c r="AN114" s="64" t="str">
        <f aca="false">IF(NOT(AM114=""),ABS(AM114),"")</f>
        <v/>
      </c>
      <c r="AP114" s="65"/>
      <c r="AQ114" s="66"/>
      <c r="AR114" s="63"/>
      <c r="AS114" s="63"/>
      <c r="AT114" s="63"/>
      <c r="AU114" s="63"/>
      <c r="AV114" s="87" t="str">
        <f aca="false">IF(D114="","",IF(AT114="","",(AT114-D114)/D114))</f>
        <v/>
      </c>
      <c r="AW114" s="87" t="str">
        <f aca="false">IF(D114="","",IF(AU114="","",(AU114-D114)/D114))</f>
        <v/>
      </c>
      <c r="AX114" s="87"/>
      <c r="AY114" s="45" t="str">
        <f aca="false">IF(D114="","",IF(AP114="","",(AP114-D114)/D114))</f>
        <v/>
      </c>
      <c r="AZ114" s="64" t="str">
        <f aca="false">IF(NOT(AY114=""),ABS(AY114),"")</f>
        <v/>
      </c>
    </row>
    <row r="115" customFormat="false" ht="12.8" hidden="false" customHeight="false" outlineLevel="0" collapsed="false">
      <c r="A115" s="56"/>
      <c r="B115" s="25"/>
      <c r="C115" s="57"/>
      <c r="D115" s="65"/>
      <c r="E115" s="66"/>
      <c r="F115" s="63"/>
      <c r="G115" s="63"/>
      <c r="H115" s="63"/>
      <c r="I115" s="63"/>
      <c r="J115" s="64"/>
      <c r="L115" s="58"/>
      <c r="N115" s="59"/>
      <c r="O115" s="59" t="str">
        <f aca="false">IF(A115="","",IF(L115="","",A115-L115))</f>
        <v/>
      </c>
      <c r="P115" s="59" t="str">
        <f aca="false">IF(B115="","",IF(M115="","",B115-M115))</f>
        <v/>
      </c>
      <c r="Q115" s="59" t="str">
        <f aca="false">IF(C115="","",IF(N115="","",C115-N115))</f>
        <v/>
      </c>
      <c r="R115" s="65" t="str">
        <f aca="false">IF(COUNT(O115:Q115)&gt;0,AVERAGE(O115:Q115),"")</f>
        <v/>
      </c>
      <c r="S115" s="66"/>
      <c r="T115" s="63"/>
      <c r="U115" s="63"/>
      <c r="V115" s="63" t="str">
        <f aca="false">IF(R115="","",R115-U115)</f>
        <v/>
      </c>
      <c r="W115" s="63" t="str">
        <f aca="false">IF(R115="","",R115+U115)</f>
        <v/>
      </c>
      <c r="X115" s="87" t="str">
        <f aca="false">IF(D115="","",IF(V115="","",(V115-D115)/D115))</f>
        <v/>
      </c>
      <c r="Y115" s="87" t="str">
        <f aca="false">IF(D115="","",IF(W115="","",(W115-D115)/D115))</f>
        <v/>
      </c>
      <c r="Z115" s="87"/>
      <c r="AA115" s="87" t="str">
        <f aca="false">IF(D115="","",IF(R115="","",(R115-D115)/D115))</f>
        <v/>
      </c>
      <c r="AB115" s="64" t="str">
        <f aca="false">IF(NOT(AA115=""),ABS(AA115),"")</f>
        <v/>
      </c>
      <c r="AD115" s="65"/>
      <c r="AE115" s="66"/>
      <c r="AF115" s="63"/>
      <c r="AG115" s="63"/>
      <c r="AH115" s="63"/>
      <c r="AI115" s="63"/>
      <c r="AJ115" s="87" t="str">
        <f aca="false">IF(D115="","",IF(AH115="","",(AH115-D115)/D115))</f>
        <v/>
      </c>
      <c r="AK115" s="87" t="str">
        <f aca="false">IF(D115="","",IF(AI115="","",(AI115-D115)/D115))</f>
        <v/>
      </c>
      <c r="AL115" s="87"/>
      <c r="AM115" s="87" t="str">
        <f aca="false">IF(D115="","",IF(AD115="","",(AD115-D115)/D115))</f>
        <v/>
      </c>
      <c r="AN115" s="64" t="str">
        <f aca="false">IF(NOT(AM115=""),ABS(AM115),"")</f>
        <v/>
      </c>
      <c r="AP115" s="65"/>
      <c r="AQ115" s="66"/>
      <c r="AR115" s="63"/>
      <c r="AS115" s="63"/>
      <c r="AT115" s="63"/>
      <c r="AU115" s="63"/>
      <c r="AV115" s="87" t="str">
        <f aca="false">IF(D115="","",IF(AT115="","",(AT115-D115)/D115))</f>
        <v/>
      </c>
      <c r="AW115" s="87" t="str">
        <f aca="false">IF(D115="","",IF(AU115="","",(AU115-D115)/D115))</f>
        <v/>
      </c>
      <c r="AX115" s="87"/>
      <c r="AY115" s="45" t="str">
        <f aca="false">IF(D115="","",IF(AP115="","",(AP115-D115)/D115))</f>
        <v/>
      </c>
      <c r="AZ115" s="64" t="str">
        <f aca="false">IF(NOT(AY115=""),ABS(AY115),"")</f>
        <v/>
      </c>
    </row>
    <row r="116" customFormat="false" ht="12.8" hidden="false" customHeight="false" outlineLevel="0" collapsed="false">
      <c r="A116" s="56"/>
      <c r="B116" s="25"/>
      <c r="C116" s="57"/>
      <c r="D116" s="65"/>
      <c r="E116" s="66"/>
      <c r="F116" s="63"/>
      <c r="G116" s="63"/>
      <c r="H116" s="63"/>
      <c r="I116" s="63"/>
      <c r="J116" s="64"/>
      <c r="L116" s="58"/>
      <c r="N116" s="59"/>
      <c r="O116" s="59" t="str">
        <f aca="false">IF(A116="","",IF(L116="","",A116-L116))</f>
        <v/>
      </c>
      <c r="P116" s="59" t="str">
        <f aca="false">IF(B116="","",IF(M116="","",B116-M116))</f>
        <v/>
      </c>
      <c r="Q116" s="59" t="str">
        <f aca="false">IF(C116="","",IF(N116="","",C116-N116))</f>
        <v/>
      </c>
      <c r="R116" s="65" t="str">
        <f aca="false">IF(COUNT(O116:Q116)&gt;0,AVERAGE(O116:Q116),"")</f>
        <v/>
      </c>
      <c r="S116" s="66"/>
      <c r="T116" s="63"/>
      <c r="U116" s="63"/>
      <c r="V116" s="63" t="str">
        <f aca="false">IF(R116="","",R116-U116)</f>
        <v/>
      </c>
      <c r="W116" s="63" t="str">
        <f aca="false">IF(R116="","",R116+U116)</f>
        <v/>
      </c>
      <c r="X116" s="87" t="str">
        <f aca="false">IF(D116="","",IF(V116="","",(V116-D116)/D116))</f>
        <v/>
      </c>
      <c r="Y116" s="87" t="str">
        <f aca="false">IF(D116="","",IF(W116="","",(W116-D116)/D116))</f>
        <v/>
      </c>
      <c r="Z116" s="87"/>
      <c r="AA116" s="87" t="str">
        <f aca="false">IF(D116="","",IF(R116="","",(R116-D116)/D116))</f>
        <v/>
      </c>
      <c r="AB116" s="64" t="str">
        <f aca="false">IF(NOT(AA116=""),ABS(AA116),"")</f>
        <v/>
      </c>
      <c r="AD116" s="65"/>
      <c r="AE116" s="66"/>
      <c r="AF116" s="63"/>
      <c r="AG116" s="63"/>
      <c r="AH116" s="63"/>
      <c r="AI116" s="63"/>
      <c r="AJ116" s="87" t="str">
        <f aca="false">IF(D116="","",IF(AH116="","",(AH116-D116)/D116))</f>
        <v/>
      </c>
      <c r="AK116" s="87" t="str">
        <f aca="false">IF(D116="","",IF(AI116="","",(AI116-D116)/D116))</f>
        <v/>
      </c>
      <c r="AL116" s="87"/>
      <c r="AM116" s="87" t="str">
        <f aca="false">IF(D116="","",IF(AD116="","",(AD116-D116)/D116))</f>
        <v/>
      </c>
      <c r="AN116" s="64" t="str">
        <f aca="false">IF(NOT(AM116=""),ABS(AM116),"")</f>
        <v/>
      </c>
      <c r="AP116" s="65"/>
      <c r="AQ116" s="66"/>
      <c r="AR116" s="63"/>
      <c r="AS116" s="63"/>
      <c r="AT116" s="63"/>
      <c r="AU116" s="63"/>
      <c r="AV116" s="87" t="str">
        <f aca="false">IF(D116="","",IF(AT116="","",(AT116-D116)/D116))</f>
        <v/>
      </c>
      <c r="AW116" s="87" t="str">
        <f aca="false">IF(D116="","",IF(AU116="","",(AU116-D116)/D116))</f>
        <v/>
      </c>
      <c r="AX116" s="87"/>
      <c r="AY116" s="45" t="str">
        <f aca="false">IF(D116="","",IF(AP116="","",(AP116-D116)/D116))</f>
        <v/>
      </c>
      <c r="AZ116" s="64" t="str">
        <f aca="false">IF(NOT(AY116=""),ABS(AY116),"")</f>
        <v/>
      </c>
    </row>
    <row r="117" customFormat="false" ht="12.8" hidden="false" customHeight="false" outlineLevel="0" collapsed="false">
      <c r="A117" s="56"/>
      <c r="B117" s="25"/>
      <c r="C117" s="57"/>
      <c r="D117" s="65"/>
      <c r="E117" s="66"/>
      <c r="F117" s="63"/>
      <c r="G117" s="63"/>
      <c r="H117" s="63"/>
      <c r="I117" s="63"/>
      <c r="J117" s="64"/>
      <c r="L117" s="58"/>
      <c r="N117" s="59"/>
      <c r="O117" s="59" t="str">
        <f aca="false">IF(A117="","",IF(L117="","",A117-L117))</f>
        <v/>
      </c>
      <c r="P117" s="59" t="str">
        <f aca="false">IF(B117="","",IF(M117="","",B117-M117))</f>
        <v/>
      </c>
      <c r="Q117" s="59" t="str">
        <f aca="false">IF(C117="","",IF(N117="","",C117-N117))</f>
        <v/>
      </c>
      <c r="R117" s="65" t="str">
        <f aca="false">IF(COUNT(O117:Q117)&gt;0,AVERAGE(O117:Q117),"")</f>
        <v/>
      </c>
      <c r="S117" s="66"/>
      <c r="T117" s="63"/>
      <c r="U117" s="63"/>
      <c r="V117" s="63" t="str">
        <f aca="false">IF(R117="","",R117-U117)</f>
        <v/>
      </c>
      <c r="W117" s="63" t="str">
        <f aca="false">IF(R117="","",R117+U117)</f>
        <v/>
      </c>
      <c r="X117" s="87" t="str">
        <f aca="false">IF(D117="","",IF(V117="","",(V117-D117)/D117))</f>
        <v/>
      </c>
      <c r="Y117" s="87" t="str">
        <f aca="false">IF(D117="","",IF(W117="","",(W117-D117)/D117))</f>
        <v/>
      </c>
      <c r="Z117" s="87"/>
      <c r="AA117" s="87" t="str">
        <f aca="false">IF(D117="","",IF(R117="","",(R117-D117)/D117))</f>
        <v/>
      </c>
      <c r="AB117" s="64" t="str">
        <f aca="false">IF(NOT(AA117=""),ABS(AA117),"")</f>
        <v/>
      </c>
      <c r="AD117" s="65"/>
      <c r="AE117" s="66"/>
      <c r="AF117" s="63"/>
      <c r="AG117" s="63"/>
      <c r="AH117" s="63"/>
      <c r="AI117" s="63"/>
      <c r="AJ117" s="87" t="str">
        <f aca="false">IF(D117="","",IF(AH117="","",(AH117-D117)/D117))</f>
        <v/>
      </c>
      <c r="AK117" s="87" t="str">
        <f aca="false">IF(D117="","",IF(AI117="","",(AI117-D117)/D117))</f>
        <v/>
      </c>
      <c r="AL117" s="87"/>
      <c r="AM117" s="87" t="str">
        <f aca="false">IF(D117="","",IF(AD117="","",(AD117-D117)/D117))</f>
        <v/>
      </c>
      <c r="AN117" s="64" t="str">
        <f aca="false">IF(NOT(AM117=""),ABS(AM117),"")</f>
        <v/>
      </c>
      <c r="AP117" s="65"/>
      <c r="AQ117" s="66"/>
      <c r="AR117" s="63"/>
      <c r="AS117" s="63"/>
      <c r="AT117" s="63"/>
      <c r="AU117" s="63"/>
      <c r="AV117" s="87" t="str">
        <f aca="false">IF(D117="","",IF(AT117="","",(AT117-D117)/D117))</f>
        <v/>
      </c>
      <c r="AW117" s="87" t="str">
        <f aca="false">IF(D117="","",IF(AU117="","",(AU117-D117)/D117))</f>
        <v/>
      </c>
      <c r="AX117" s="87"/>
      <c r="AY117" s="45" t="str">
        <f aca="false">IF(D117="","",IF(AP117="","",(AP117-D117)/D117))</f>
        <v/>
      </c>
      <c r="AZ117" s="64" t="str">
        <f aca="false">IF(NOT(AY117=""),ABS(AY117),"")</f>
        <v/>
      </c>
    </row>
    <row r="118" customFormat="false" ht="12.8" hidden="false" customHeight="false" outlineLevel="0" collapsed="false">
      <c r="A118" s="56"/>
      <c r="B118" s="25"/>
      <c r="C118" s="57" t="n">
        <v>2649</v>
      </c>
      <c r="D118" s="65" t="n">
        <v>2649</v>
      </c>
      <c r="E118" s="66" t="n">
        <v>0</v>
      </c>
      <c r="F118" s="63" t="n">
        <v>0</v>
      </c>
      <c r="G118" s="63" t="n">
        <v>0</v>
      </c>
      <c r="H118" s="63" t="n">
        <v>2649</v>
      </c>
      <c r="I118" s="63" t="n">
        <v>2649</v>
      </c>
      <c r="J118" s="64" t="n">
        <v>0</v>
      </c>
      <c r="L118" s="58"/>
      <c r="N118" s="59"/>
      <c r="O118" s="59" t="str">
        <f aca="false">IF(A118="","",IF(L118="","",A118-L118))</f>
        <v/>
      </c>
      <c r="P118" s="59" t="str">
        <f aca="false">IF(B118="","",IF(M118="","",B118-M118))</f>
        <v/>
      </c>
      <c r="Q118" s="59" t="str">
        <f aca="false">IF(C118="","",IF(N118="","",C118-N118))</f>
        <v/>
      </c>
      <c r="R118" s="65" t="str">
        <f aca="false">IF(COUNT(O118:Q118)&gt;0,AVERAGE(O118:Q118),"")</f>
        <v/>
      </c>
      <c r="S118" s="66"/>
      <c r="T118" s="63"/>
      <c r="U118" s="63"/>
      <c r="V118" s="63" t="str">
        <f aca="false">IF(R118="","",R118-U118)</f>
        <v/>
      </c>
      <c r="W118" s="63" t="str">
        <f aca="false">IF(R118="","",R118+U118)</f>
        <v/>
      </c>
      <c r="X118" s="87" t="str">
        <f aca="false">IF(D118="","",IF(V118="","",(V118-D118)/D118))</f>
        <v/>
      </c>
      <c r="Y118" s="87" t="str">
        <f aca="false">IF(D118="","",IF(W118="","",(W118-D118)/D118))</f>
        <v/>
      </c>
      <c r="Z118" s="87"/>
      <c r="AA118" s="87" t="str">
        <f aca="false">IF(D118="","",IF(R118="","",(R118-D118)/D118))</f>
        <v/>
      </c>
      <c r="AB118" s="64" t="str">
        <f aca="false">IF(NOT(AA118=""),ABS(AA118),"")</f>
        <v/>
      </c>
      <c r="AD118" s="65"/>
      <c r="AE118" s="66"/>
      <c r="AF118" s="63"/>
      <c r="AG118" s="63"/>
      <c r="AH118" s="63"/>
      <c r="AI118" s="63"/>
      <c r="AJ118" s="87" t="str">
        <f aca="false">IF(D118="","",IF(AH118="","",(AH118-D118)/D118))</f>
        <v/>
      </c>
      <c r="AK118" s="87" t="str">
        <f aca="false">IF(D118="","",IF(AI118="","",(AI118-D118)/D118))</f>
        <v/>
      </c>
      <c r="AL118" s="87"/>
      <c r="AM118" s="87" t="str">
        <f aca="false">IF(D118="","",IF(AD118="","",(AD118-D118)/D118))</f>
        <v/>
      </c>
      <c r="AN118" s="64" t="str">
        <f aca="false">IF(NOT(AM118=""),ABS(AM118),"")</f>
        <v/>
      </c>
      <c r="AP118" s="65"/>
      <c r="AQ118" s="66"/>
      <c r="AR118" s="63"/>
      <c r="AS118" s="63"/>
      <c r="AT118" s="63"/>
      <c r="AU118" s="63"/>
      <c r="AV118" s="87" t="str">
        <f aca="false">IF(D118="","",IF(AT118="","",(AT118-D118)/D118))</f>
        <v/>
      </c>
      <c r="AW118" s="87" t="str">
        <f aca="false">IF(D118="","",IF(AU118="","",(AU118-D118)/D118))</f>
        <v/>
      </c>
      <c r="AX118" s="87"/>
      <c r="AY118" s="45" t="str">
        <f aca="false">IF(D118="","",IF(AP118="","",(AP118-D118)/D118))</f>
        <v/>
      </c>
      <c r="AZ118" s="64" t="str">
        <f aca="false">IF(NOT(AY118=""),ABS(AY118),"")</f>
        <v/>
      </c>
    </row>
    <row r="119" customFormat="false" ht="12.8" hidden="false" customHeight="false" outlineLevel="0" collapsed="false">
      <c r="A119" s="56"/>
      <c r="B119" s="25"/>
      <c r="C119" s="57" t="n">
        <v>1861</v>
      </c>
      <c r="D119" s="65" t="n">
        <v>1861</v>
      </c>
      <c r="E119" s="66" t="n">
        <v>0</v>
      </c>
      <c r="F119" s="63" t="n">
        <v>0</v>
      </c>
      <c r="G119" s="63" t="n">
        <v>0</v>
      </c>
      <c r="H119" s="63" t="n">
        <v>1861</v>
      </c>
      <c r="I119" s="63" t="n">
        <v>1861</v>
      </c>
      <c r="J119" s="64" t="n">
        <v>0</v>
      </c>
      <c r="L119" s="58"/>
      <c r="N119" s="59"/>
      <c r="O119" s="59" t="str">
        <f aca="false">IF(A119="","",IF(L119="","",A119-L119))</f>
        <v/>
      </c>
      <c r="P119" s="59" t="str">
        <f aca="false">IF(B119="","",IF(M119="","",B119-M119))</f>
        <v/>
      </c>
      <c r="Q119" s="59" t="str">
        <f aca="false">IF(C119="","",IF(N119="","",C119-N119))</f>
        <v/>
      </c>
      <c r="R119" s="65" t="str">
        <f aca="false">IF(COUNT(O119:Q119)&gt;0,AVERAGE(O119:Q119),"")</f>
        <v/>
      </c>
      <c r="S119" s="66"/>
      <c r="T119" s="63"/>
      <c r="U119" s="63"/>
      <c r="V119" s="63" t="str">
        <f aca="false">IF(R119="","",R119-U119)</f>
        <v/>
      </c>
      <c r="W119" s="63" t="str">
        <f aca="false">IF(R119="","",R119+U119)</f>
        <v/>
      </c>
      <c r="X119" s="87" t="str">
        <f aca="false">IF(D119="","",IF(V119="","",(V119-D119)/D119))</f>
        <v/>
      </c>
      <c r="Y119" s="87" t="str">
        <f aca="false">IF(D119="","",IF(W119="","",(W119-D119)/D119))</f>
        <v/>
      </c>
      <c r="Z119" s="87"/>
      <c r="AA119" s="87" t="str">
        <f aca="false">IF(D119="","",IF(R119="","",(R119-D119)/D119))</f>
        <v/>
      </c>
      <c r="AB119" s="64" t="str">
        <f aca="false">IF(NOT(AA119=""),ABS(AA119),"")</f>
        <v/>
      </c>
      <c r="AD119" s="65"/>
      <c r="AE119" s="66"/>
      <c r="AF119" s="63"/>
      <c r="AG119" s="63"/>
      <c r="AH119" s="63"/>
      <c r="AI119" s="63"/>
      <c r="AJ119" s="87" t="str">
        <f aca="false">IF(D119="","",IF(AH119="","",(AH119-D119)/D119))</f>
        <v/>
      </c>
      <c r="AK119" s="87" t="str">
        <f aca="false">IF(D119="","",IF(AI119="","",(AI119-D119)/D119))</f>
        <v/>
      </c>
      <c r="AL119" s="87"/>
      <c r="AM119" s="87" t="str">
        <f aca="false">IF(D119="","",IF(AD119="","",(AD119-D119)/D119))</f>
        <v/>
      </c>
      <c r="AN119" s="64" t="str">
        <f aca="false">IF(NOT(AM119=""),ABS(AM119),"")</f>
        <v/>
      </c>
      <c r="AP119" s="65"/>
      <c r="AQ119" s="66"/>
      <c r="AR119" s="63"/>
      <c r="AS119" s="63"/>
      <c r="AT119" s="63"/>
      <c r="AU119" s="63"/>
      <c r="AV119" s="87" t="str">
        <f aca="false">IF(D119="","",IF(AT119="","",(AT119-D119)/D119))</f>
        <v/>
      </c>
      <c r="AW119" s="87" t="str">
        <f aca="false">IF(D119="","",IF(AU119="","",(AU119-D119)/D119))</f>
        <v/>
      </c>
      <c r="AX119" s="87"/>
      <c r="AY119" s="45" t="str">
        <f aca="false">IF(D119="","",IF(AP119="","",(AP119-D119)/D119))</f>
        <v/>
      </c>
      <c r="AZ119" s="64" t="str">
        <f aca="false">IF(NOT(AY119=""),ABS(AY119),"")</f>
        <v/>
      </c>
    </row>
    <row r="120" customFormat="false" ht="12.8" hidden="false" customHeight="false" outlineLevel="0" collapsed="false">
      <c r="A120" s="56" t="n">
        <v>1786</v>
      </c>
      <c r="B120" s="25"/>
      <c r="C120" s="57"/>
      <c r="D120" s="65" t="n">
        <v>1786</v>
      </c>
      <c r="E120" s="66" t="n">
        <v>0</v>
      </c>
      <c r="F120" s="63" t="n">
        <v>0</v>
      </c>
      <c r="G120" s="63" t="n">
        <v>0</v>
      </c>
      <c r="H120" s="63" t="n">
        <v>1786</v>
      </c>
      <c r="I120" s="63" t="n">
        <v>1786</v>
      </c>
      <c r="J120" s="64" t="n">
        <v>0</v>
      </c>
      <c r="L120" s="58"/>
      <c r="N120" s="59"/>
      <c r="O120" s="59" t="str">
        <f aca="false">IF(A120="","",IF(L120="","",A120-L120))</f>
        <v/>
      </c>
      <c r="P120" s="59" t="str">
        <f aca="false">IF(B120="","",IF(M120="","",B120-M120))</f>
        <v/>
      </c>
      <c r="Q120" s="59" t="str">
        <f aca="false">IF(C120="","",IF(N120="","",C120-N120))</f>
        <v/>
      </c>
      <c r="R120" s="65" t="str">
        <f aca="false">IF(COUNT(O120:Q120)&gt;0,AVERAGE(O120:Q120),"")</f>
        <v/>
      </c>
      <c r="S120" s="66"/>
      <c r="T120" s="63"/>
      <c r="U120" s="63"/>
      <c r="V120" s="63" t="str">
        <f aca="false">IF(R120="","",R120-U120)</f>
        <v/>
      </c>
      <c r="W120" s="63" t="str">
        <f aca="false">IF(R120="","",R120+U120)</f>
        <v/>
      </c>
      <c r="X120" s="87" t="str">
        <f aca="false">IF(D120="","",IF(V120="","",(V120-D120)/D120))</f>
        <v/>
      </c>
      <c r="Y120" s="87" t="str">
        <f aca="false">IF(D120="","",IF(W120="","",(W120-D120)/D120))</f>
        <v/>
      </c>
      <c r="Z120" s="87"/>
      <c r="AA120" s="87" t="str">
        <f aca="false">IF(D120="","",IF(R120="","",(R120-D120)/D120))</f>
        <v/>
      </c>
      <c r="AB120" s="64" t="str">
        <f aca="false">IF(NOT(AA120=""),ABS(AA120),"")</f>
        <v/>
      </c>
      <c r="AD120" s="65"/>
      <c r="AE120" s="66"/>
      <c r="AF120" s="63"/>
      <c r="AG120" s="63"/>
      <c r="AH120" s="63"/>
      <c r="AI120" s="63"/>
      <c r="AJ120" s="87" t="str">
        <f aca="false">IF(D120="","",IF(AH120="","",(AH120-D120)/D120))</f>
        <v/>
      </c>
      <c r="AK120" s="87" t="str">
        <f aca="false">IF(D120="","",IF(AI120="","",(AI120-D120)/D120))</f>
        <v/>
      </c>
      <c r="AL120" s="87"/>
      <c r="AM120" s="87" t="str">
        <f aca="false">IF(D120="","",IF(AD120="","",(AD120-D120)/D120))</f>
        <v/>
      </c>
      <c r="AN120" s="64" t="str">
        <f aca="false">IF(NOT(AM120=""),ABS(AM120),"")</f>
        <v/>
      </c>
      <c r="AP120" s="65"/>
      <c r="AQ120" s="66"/>
      <c r="AR120" s="63"/>
      <c r="AS120" s="63"/>
      <c r="AT120" s="63"/>
      <c r="AU120" s="63"/>
      <c r="AV120" s="87" t="str">
        <f aca="false">IF(D120="","",IF(AT120="","",(AT120-D120)/D120))</f>
        <v/>
      </c>
      <c r="AW120" s="87" t="str">
        <f aca="false">IF(D120="","",IF(AU120="","",(AU120-D120)/D120))</f>
        <v/>
      </c>
      <c r="AX120" s="87"/>
      <c r="AY120" s="45" t="str">
        <f aca="false">IF(D120="","",IF(AP120="","",(AP120-D120)/D120))</f>
        <v/>
      </c>
      <c r="AZ120" s="64" t="str">
        <f aca="false">IF(NOT(AY120=""),ABS(AY120),"")</f>
        <v/>
      </c>
    </row>
    <row r="121" customFormat="false" ht="12.8" hidden="false" customHeight="false" outlineLevel="0" collapsed="false">
      <c r="A121" s="56" t="n">
        <v>1057</v>
      </c>
      <c r="B121" s="25"/>
      <c r="C121" s="57" t="n">
        <v>1150</v>
      </c>
      <c r="D121" s="65" t="n">
        <v>1103.5</v>
      </c>
      <c r="E121" s="66" t="n">
        <v>2162.25</v>
      </c>
      <c r="F121" s="63" t="n">
        <v>46.5</v>
      </c>
      <c r="G121" s="63" t="n">
        <v>417.779192421667</v>
      </c>
      <c r="H121" s="63" t="n">
        <v>685.720807578333</v>
      </c>
      <c r="I121" s="63" t="n">
        <v>1521.27919242167</v>
      </c>
      <c r="J121" s="64" t="n">
        <v>0.0421386497507929</v>
      </c>
      <c r="L121" s="58"/>
      <c r="N121" s="59"/>
      <c r="O121" s="59" t="str">
        <f aca="false">IF(A121="","",IF(L121="","",A121-L121))</f>
        <v/>
      </c>
      <c r="P121" s="59" t="str">
        <f aca="false">IF(B121="","",IF(M121="","",B121-M121))</f>
        <v/>
      </c>
      <c r="Q121" s="59" t="str">
        <f aca="false">IF(C121="","",IF(N121="","",C121-N121))</f>
        <v/>
      </c>
      <c r="R121" s="65" t="str">
        <f aca="false">IF(COUNT(O121:Q121)&gt;0,AVERAGE(O121:Q121),"")</f>
        <v/>
      </c>
      <c r="S121" s="66"/>
      <c r="T121" s="63"/>
      <c r="U121" s="63"/>
      <c r="V121" s="63" t="str">
        <f aca="false">IF(R121="","",R121-U121)</f>
        <v/>
      </c>
      <c r="W121" s="63" t="str">
        <f aca="false">IF(R121="","",R121+U121)</f>
        <v/>
      </c>
      <c r="X121" s="87" t="str">
        <f aca="false">IF(D121="","",IF(V121="","",(V121-D121)/D121))</f>
        <v/>
      </c>
      <c r="Y121" s="87" t="str">
        <f aca="false">IF(D121="","",IF(W121="","",(W121-D121)/D121))</f>
        <v/>
      </c>
      <c r="Z121" s="87"/>
      <c r="AA121" s="87" t="str">
        <f aca="false">IF(D121="","",IF(R121="","",(R121-D121)/D121))</f>
        <v/>
      </c>
      <c r="AB121" s="64" t="str">
        <f aca="false">IF(NOT(AA121=""),ABS(AA121),"")</f>
        <v/>
      </c>
      <c r="AD121" s="65"/>
      <c r="AE121" s="66"/>
      <c r="AF121" s="63"/>
      <c r="AG121" s="63"/>
      <c r="AH121" s="63"/>
      <c r="AI121" s="63"/>
      <c r="AJ121" s="87" t="str">
        <f aca="false">IF(D121="","",IF(AH121="","",(AH121-D121)/D121))</f>
        <v/>
      </c>
      <c r="AK121" s="87" t="str">
        <f aca="false">IF(D121="","",IF(AI121="","",(AI121-D121)/D121))</f>
        <v/>
      </c>
      <c r="AL121" s="87"/>
      <c r="AM121" s="87" t="str">
        <f aca="false">IF(D121="","",IF(AD121="","",(AD121-D121)/D121))</f>
        <v/>
      </c>
      <c r="AN121" s="64" t="str">
        <f aca="false">IF(NOT(AM121=""),ABS(AM121),"")</f>
        <v/>
      </c>
      <c r="AP121" s="65"/>
      <c r="AQ121" s="66"/>
      <c r="AR121" s="63"/>
      <c r="AS121" s="63"/>
      <c r="AT121" s="63"/>
      <c r="AU121" s="63"/>
      <c r="AV121" s="87" t="str">
        <f aca="false">IF(D121="","",IF(AT121="","",(AT121-D121)/D121))</f>
        <v/>
      </c>
      <c r="AW121" s="87" t="str">
        <f aca="false">IF(D121="","",IF(AU121="","",(AU121-D121)/D121))</f>
        <v/>
      </c>
      <c r="AX121" s="87"/>
      <c r="AY121" s="45" t="str">
        <f aca="false">IF(D121="","",IF(AP121="","",(AP121-D121)/D121))</f>
        <v/>
      </c>
      <c r="AZ121" s="64" t="str">
        <f aca="false">IF(NOT(AY121=""),ABS(AY121),"")</f>
        <v/>
      </c>
    </row>
    <row r="122" customFormat="false" ht="12.8" hidden="false" customHeight="false" outlineLevel="0" collapsed="false">
      <c r="A122" s="56" t="n">
        <v>929</v>
      </c>
      <c r="B122" s="25"/>
      <c r="C122" s="57" t="n">
        <v>900</v>
      </c>
      <c r="D122" s="65" t="n">
        <v>914.5</v>
      </c>
      <c r="E122" s="66" t="n">
        <v>210.25</v>
      </c>
      <c r="F122" s="63" t="n">
        <v>14.5</v>
      </c>
      <c r="G122" s="63" t="n">
        <v>130.275232045466</v>
      </c>
      <c r="H122" s="63" t="n">
        <v>784.224767954534</v>
      </c>
      <c r="I122" s="63" t="n">
        <v>1044.77523204547</v>
      </c>
      <c r="J122" s="64" t="n">
        <v>0.0158556588299617</v>
      </c>
      <c r="L122" s="58"/>
      <c r="N122" s="59"/>
      <c r="O122" s="59" t="str">
        <f aca="false">IF(A122="","",IF(L122="","",A122-L122))</f>
        <v/>
      </c>
      <c r="P122" s="59" t="str">
        <f aca="false">IF(B122="","",IF(M122="","",B122-M122))</f>
        <v/>
      </c>
      <c r="Q122" s="59" t="str">
        <f aca="false">IF(C122="","",IF(N122="","",C122-N122))</f>
        <v/>
      </c>
      <c r="R122" s="65" t="str">
        <f aca="false">IF(COUNT(O122:Q122)&gt;0,AVERAGE(O122:Q122),"")</f>
        <v/>
      </c>
      <c r="S122" s="66"/>
      <c r="T122" s="63"/>
      <c r="U122" s="63"/>
      <c r="V122" s="63" t="str">
        <f aca="false">IF(R122="","",R122-U122)</f>
        <v/>
      </c>
      <c r="W122" s="63" t="str">
        <f aca="false">IF(R122="","",R122+U122)</f>
        <v/>
      </c>
      <c r="X122" s="87" t="str">
        <f aca="false">IF(D122="","",IF(V122="","",(V122-D122)/D122))</f>
        <v/>
      </c>
      <c r="Y122" s="87" t="str">
        <f aca="false">IF(D122="","",IF(W122="","",(W122-D122)/D122))</f>
        <v/>
      </c>
      <c r="Z122" s="87"/>
      <c r="AA122" s="87" t="str">
        <f aca="false">IF(D122="","",IF(R122="","",(R122-D122)/D122))</f>
        <v/>
      </c>
      <c r="AB122" s="64" t="str">
        <f aca="false">IF(NOT(AA122=""),ABS(AA122),"")</f>
        <v/>
      </c>
      <c r="AD122" s="65"/>
      <c r="AE122" s="66"/>
      <c r="AF122" s="63"/>
      <c r="AG122" s="63"/>
      <c r="AH122" s="63"/>
      <c r="AI122" s="63"/>
      <c r="AJ122" s="87" t="str">
        <f aca="false">IF(D122="","",IF(AH122="","",(AH122-D122)/D122))</f>
        <v/>
      </c>
      <c r="AK122" s="87" t="str">
        <f aca="false">IF(D122="","",IF(AI122="","",(AI122-D122)/D122))</f>
        <v/>
      </c>
      <c r="AL122" s="87"/>
      <c r="AM122" s="87" t="str">
        <f aca="false">IF(D122="","",IF(AD122="","",(AD122-D122)/D122))</f>
        <v/>
      </c>
      <c r="AN122" s="64" t="str">
        <f aca="false">IF(NOT(AM122=""),ABS(AM122),"")</f>
        <v/>
      </c>
      <c r="AP122" s="65"/>
      <c r="AQ122" s="66"/>
      <c r="AR122" s="63"/>
      <c r="AS122" s="63"/>
      <c r="AT122" s="63"/>
      <c r="AU122" s="63"/>
      <c r="AV122" s="87" t="str">
        <f aca="false">IF(D122="","",IF(AT122="","",(AT122-D122)/D122))</f>
        <v/>
      </c>
      <c r="AW122" s="87" t="str">
        <f aca="false">IF(D122="","",IF(AU122="","",(AU122-D122)/D122))</f>
        <v/>
      </c>
      <c r="AX122" s="87"/>
      <c r="AY122" s="45" t="str">
        <f aca="false">IF(D122="","",IF(AP122="","",(AP122-D122)/D122))</f>
        <v/>
      </c>
      <c r="AZ122" s="64" t="str">
        <f aca="false">IF(NOT(AY122=""),ABS(AY122),"")</f>
        <v/>
      </c>
    </row>
    <row r="123" customFormat="false" ht="12.8" hidden="false" customHeight="false" outlineLevel="0" collapsed="false">
      <c r="A123" s="56" t="n">
        <v>724</v>
      </c>
      <c r="B123" s="25" t="n">
        <v>866</v>
      </c>
      <c r="C123" s="57" t="n">
        <v>733</v>
      </c>
      <c r="D123" s="65" t="n">
        <v>774.333333333333</v>
      </c>
      <c r="E123" s="66" t="n">
        <v>4214.88888888889</v>
      </c>
      <c r="F123" s="63" t="n">
        <v>64.9221756327442</v>
      </c>
      <c r="G123" s="63" t="n">
        <v>161.28864149188</v>
      </c>
      <c r="H123" s="63" t="n">
        <v>613.044691841453</v>
      </c>
      <c r="I123" s="63" t="n">
        <v>935.621974825214</v>
      </c>
      <c r="J123" s="64" t="n">
        <v>0.0838426719320847</v>
      </c>
      <c r="L123" s="58" t="n">
        <v>814</v>
      </c>
      <c r="M123" s="0" t="n">
        <v>628</v>
      </c>
      <c r="N123" s="59" t="n">
        <v>685</v>
      </c>
      <c r="O123" s="59" t="n">
        <f aca="false">IF(A123="","",IF(L123="","",A123-L123))</f>
        <v>-90</v>
      </c>
      <c r="P123" s="59" t="n">
        <f aca="false">IF(B123="","",IF(M123="","",B123-M123))</f>
        <v>238</v>
      </c>
      <c r="Q123" s="59" t="n">
        <f aca="false">IF(C123="","",IF(N123="","",C123-N123))</f>
        <v>48</v>
      </c>
      <c r="R123" s="65" t="n">
        <v>709</v>
      </c>
      <c r="S123" s="66" t="n">
        <v>6054</v>
      </c>
      <c r="T123" s="63" t="n">
        <v>77.8074546557076</v>
      </c>
      <c r="U123" s="63" t="n">
        <v>193.300032493531</v>
      </c>
      <c r="V123" s="63" t="n">
        <v>516</v>
      </c>
      <c r="W123" s="63" t="n">
        <v>902</v>
      </c>
      <c r="X123" s="87" t="n">
        <f aca="false">IF(D123="","",IF(V123="","",(V123-D123)/D123))</f>
        <v>-0.333620318553594</v>
      </c>
      <c r="Y123" s="87" t="n">
        <f aca="false">IF(D123="","",IF(W123="","",(W123-D123)/D123))</f>
        <v>0.164873009040035</v>
      </c>
      <c r="Z123" s="87" t="n">
        <v>0.109742531249235</v>
      </c>
      <c r="AA123" s="87" t="n">
        <f aca="false">IF(D123="","",IF(R123="","",(R123-D123)/D123))</f>
        <v>-0.0843736547567797</v>
      </c>
      <c r="AB123" s="64" t="n">
        <f aca="false">IF(NOT(AA123=""),ABS(AA123),"")</f>
        <v>0.0843736547567797</v>
      </c>
      <c r="AD123" s="65" t="n">
        <v>640</v>
      </c>
      <c r="AE123" s="66" t="n">
        <v>37302</v>
      </c>
      <c r="AF123" s="63" t="n">
        <v>193.137256892605</v>
      </c>
      <c r="AG123" s="63" t="n">
        <v>479.818266748985</v>
      </c>
      <c r="AH123" s="63" t="n">
        <v>160.181733251015</v>
      </c>
      <c r="AI123" s="63" t="n">
        <v>1119.81826674899</v>
      </c>
      <c r="AJ123" s="87" t="n">
        <f aca="false">IF(D123="","",IF(AH123="","",(AH123-D123)/D123))</f>
        <v>-0.793135945005146</v>
      </c>
      <c r="AK123" s="87" t="n">
        <f aca="false">IF(D123="","",IF(AI123="","",(AI123-D123)/D123))</f>
        <v>0.446170813709415</v>
      </c>
      <c r="AL123" s="87" t="n">
        <v>0.301776963894695</v>
      </c>
      <c r="AM123" s="87" t="n">
        <f aca="false">IF(D123="","",IF(AD123="","",(AD123-D123)/D123))</f>
        <v>-0.173482565647869</v>
      </c>
      <c r="AN123" s="64" t="n">
        <f aca="false">IF(NOT(AM123=""),ABS(AM123),"")</f>
        <v>0.173482565647869</v>
      </c>
      <c r="AP123" s="65" t="n">
        <v>799.5</v>
      </c>
      <c r="AQ123" s="66" t="n">
        <v>4422.25</v>
      </c>
      <c r="AR123" s="63" t="n">
        <v>66.5</v>
      </c>
      <c r="AS123" s="63" t="n">
        <v>597.469167656792</v>
      </c>
      <c r="AT123" s="63" t="n">
        <v>202.030832343208</v>
      </c>
      <c r="AU123" s="63" t="n">
        <v>1396.96916765679</v>
      </c>
      <c r="AV123" s="87" t="n">
        <f aca="false">IF(D123="","",IF(AT123="","",(AT123-D123)/D123))</f>
        <v>-0.739090616861978</v>
      </c>
      <c r="AW123" s="87" t="n">
        <f aca="false">IF(D123="","",IF(AU123="","",(AU123-D123)/D123))</f>
        <v>0.804092769251129</v>
      </c>
      <c r="AX123" s="87" t="n">
        <v>0.08317698561601</v>
      </c>
      <c r="AY123" s="45" t="n">
        <f aca="false">IF(D123="","",IF(AP123="","",(AP123-D123)/D123))</f>
        <v>0.0325010761945764</v>
      </c>
      <c r="AZ123" s="64" t="n">
        <f aca="false">IF(NOT(AY123=""),ABS(AY123),"")</f>
        <v>0.0325010761945764</v>
      </c>
    </row>
    <row r="124" customFormat="false" ht="12.8" hidden="false" customHeight="false" outlineLevel="0" collapsed="false">
      <c r="A124" s="56" t="n">
        <v>372</v>
      </c>
      <c r="B124" s="25" t="n">
        <v>371</v>
      </c>
      <c r="C124" s="57" t="n">
        <v>415</v>
      </c>
      <c r="D124" s="65" t="n">
        <v>386</v>
      </c>
      <c r="E124" s="66" t="n">
        <v>420.666666666667</v>
      </c>
      <c r="F124" s="63" t="n">
        <v>20.5101600838869</v>
      </c>
      <c r="G124" s="63" t="n">
        <v>50.9541743552206</v>
      </c>
      <c r="H124" s="63" t="n">
        <v>335.045825644779</v>
      </c>
      <c r="I124" s="63" t="n">
        <v>436.954174355221</v>
      </c>
      <c r="J124" s="64" t="n">
        <v>0.0531351297510023</v>
      </c>
      <c r="L124" s="58" t="n">
        <v>450</v>
      </c>
      <c r="M124" s="0" t="n">
        <v>399</v>
      </c>
      <c r="N124" s="59" t="n">
        <v>334</v>
      </c>
      <c r="O124" s="59" t="n">
        <f aca="false">IF(A124="","",IF(L124="","",A124-L124))</f>
        <v>-78</v>
      </c>
      <c r="P124" s="59" t="n">
        <f aca="false">IF(B124="","",IF(M124="","",B124-M124))</f>
        <v>-28</v>
      </c>
      <c r="Q124" s="59" t="n">
        <f aca="false">IF(C124="","",IF(N124="","",C124-N124))</f>
        <v>81</v>
      </c>
      <c r="R124" s="65" t="n">
        <v>394</v>
      </c>
      <c r="S124" s="66" t="n">
        <v>2253.55555555556</v>
      </c>
      <c r="T124" s="63" t="n">
        <v>47.471628954098</v>
      </c>
      <c r="U124" s="63" t="n">
        <v>117.935581621996</v>
      </c>
      <c r="V124" s="63" t="n">
        <v>276</v>
      </c>
      <c r="W124" s="63" t="n">
        <v>512</v>
      </c>
      <c r="X124" s="87" t="n">
        <f aca="false">IF(D124="","",IF(V124="","",(V124-D124)/D124))</f>
        <v>-0.284974093264249</v>
      </c>
      <c r="Y124" s="87" t="n">
        <f aca="false">IF(D124="","",IF(W124="","",(W124-D124)/D124))</f>
        <v>0.326424870466321</v>
      </c>
      <c r="Z124" s="87" t="n">
        <v>0.120384519748347</v>
      </c>
      <c r="AA124" s="87" t="n">
        <f aca="false">IF(D124="","",IF(R124="","",(R124-D124)/D124))</f>
        <v>0.0207253886010363</v>
      </c>
      <c r="AB124" s="64" t="n">
        <f aca="false">IF(NOT(AA124=""),ABS(AA124),"")</f>
        <v>0.0207253886010363</v>
      </c>
      <c r="AD124" s="65" t="n">
        <v>385.333333333333</v>
      </c>
      <c r="AE124" s="66" t="n">
        <v>3296.22222222222</v>
      </c>
      <c r="AF124" s="63" t="n">
        <v>57.412735714493</v>
      </c>
      <c r="AG124" s="63" t="n">
        <v>142.632652979863</v>
      </c>
      <c r="AH124" s="63" t="n">
        <v>242.70068035347</v>
      </c>
      <c r="AI124" s="63" t="n">
        <v>527.965986313197</v>
      </c>
      <c r="AJ124" s="87" t="n">
        <f aca="false">IF(D124="","",IF(AH124="","",(AH124-D124)/D124))</f>
        <v>-0.371241760742306</v>
      </c>
      <c r="AK124" s="87" t="n">
        <f aca="false">IF(D124="","",IF(AI124="","",(AI124-D124)/D124))</f>
        <v>0.367787529308801</v>
      </c>
      <c r="AL124" s="87" t="n">
        <v>0.148994988878442</v>
      </c>
      <c r="AM124" s="87" t="n">
        <f aca="false">IF(D124="","",IF(AD124="","",(AD124-D124)/D124))</f>
        <v>-0.00172711571675396</v>
      </c>
      <c r="AN124" s="64" t="n">
        <f aca="false">IF(NOT(AM124=""),ABS(AM124),"")</f>
        <v>0.00172711571675396</v>
      </c>
      <c r="AP124" s="65" t="n">
        <v>400.5</v>
      </c>
      <c r="AQ124" s="66" t="n">
        <v>870.25</v>
      </c>
      <c r="AR124" s="63" t="n">
        <v>29.5</v>
      </c>
      <c r="AS124" s="63" t="n">
        <v>265.04271347181</v>
      </c>
      <c r="AT124" s="63" t="n">
        <v>135.45728652819</v>
      </c>
      <c r="AU124" s="63" t="n">
        <v>665.54271347181</v>
      </c>
      <c r="AV124" s="87" t="n">
        <f aca="false">IF(D124="","",IF(AT124="","",(AT124-D124)/D124))</f>
        <v>-0.649074387232668</v>
      </c>
      <c r="AW124" s="87" t="n">
        <f aca="false">IF(D124="","",IF(AU124="","",(AU124-D124)/D124))</f>
        <v>0.724203920911425</v>
      </c>
      <c r="AX124" s="87" t="n">
        <v>0.0736579275905119</v>
      </c>
      <c r="AY124" s="45" t="n">
        <f aca="false">IF(D124="","",IF(AP124="","",(AP124-D124)/D124))</f>
        <v>0.0375647668393782</v>
      </c>
      <c r="AZ124" s="64" t="n">
        <f aca="false">IF(NOT(AY124=""),ABS(AY124),"")</f>
        <v>0.0375647668393782</v>
      </c>
    </row>
    <row r="125" customFormat="false" ht="12.8" hidden="false" customHeight="false" outlineLevel="0" collapsed="false">
      <c r="A125" s="56" t="n">
        <v>259</v>
      </c>
      <c r="B125" s="25" t="n">
        <v>326</v>
      </c>
      <c r="C125" s="57" t="n">
        <v>288</v>
      </c>
      <c r="D125" s="65" t="n">
        <v>291</v>
      </c>
      <c r="E125" s="66" t="n">
        <v>752.666666666667</v>
      </c>
      <c r="F125" s="63" t="n">
        <v>27.4347711247363</v>
      </c>
      <c r="G125" s="63" t="n">
        <v>68.157250141778</v>
      </c>
      <c r="H125" s="63" t="n">
        <v>222.842749858222</v>
      </c>
      <c r="I125" s="63" t="n">
        <v>359.157250141778</v>
      </c>
      <c r="J125" s="64" t="n">
        <v>0.0942775640025304</v>
      </c>
      <c r="L125" s="58" t="n">
        <v>256</v>
      </c>
      <c r="M125" s="0" t="n">
        <v>239</v>
      </c>
      <c r="N125" s="59" t="n">
        <v>240</v>
      </c>
      <c r="O125" s="59" t="n">
        <f aca="false">IF(A125="","",IF(L125="","",A125-L125))</f>
        <v>3</v>
      </c>
      <c r="P125" s="59" t="n">
        <f aca="false">IF(B125="","",IF(M125="","",B125-M125))</f>
        <v>87</v>
      </c>
      <c r="Q125" s="59" t="n">
        <f aca="false">IF(C125="","",IF(N125="","",C125-N125))</f>
        <v>48</v>
      </c>
      <c r="R125" s="65" t="n">
        <v>245</v>
      </c>
      <c r="S125" s="66" t="n">
        <v>60.6666666666667</v>
      </c>
      <c r="T125" s="63" t="n">
        <v>7.78888096369862</v>
      </c>
      <c r="U125" s="63" t="n">
        <v>19.3502145781958</v>
      </c>
      <c r="V125" s="63" t="n">
        <v>226</v>
      </c>
      <c r="W125" s="63" t="n">
        <v>264</v>
      </c>
      <c r="X125" s="87" t="n">
        <f aca="false">IF(D125="","",IF(V125="","",(V125-D125)/D125))</f>
        <v>-0.223367697594502</v>
      </c>
      <c r="Y125" s="87" t="n">
        <f aca="false">IF(D125="","",IF(W125="","",(W125-D125)/D125))</f>
        <v>-0.0927835051546392</v>
      </c>
      <c r="Z125" s="87" t="n">
        <v>0.0317913508722392</v>
      </c>
      <c r="AA125" s="87" t="n">
        <f aca="false">IF(D125="","",IF(R125="","",(R125-D125)/D125))</f>
        <v>-0.15807560137457</v>
      </c>
      <c r="AB125" s="64" t="n">
        <f aca="false">IF(NOT(AA125=""),ABS(AA125),"")</f>
        <v>0.15807560137457</v>
      </c>
      <c r="AD125" s="65" t="n">
        <v>274.333333333333</v>
      </c>
      <c r="AE125" s="66" t="n">
        <v>220.222222222222</v>
      </c>
      <c r="AF125" s="63" t="n">
        <v>14.8398861930347</v>
      </c>
      <c r="AG125" s="63" t="n">
        <v>36.8672962765205</v>
      </c>
      <c r="AH125" s="63" t="n">
        <v>237.466037056813</v>
      </c>
      <c r="AI125" s="63" t="n">
        <v>311.200629609854</v>
      </c>
      <c r="AJ125" s="87" t="n">
        <f aca="false">IF(D125="","",IF(AH125="","",(AH125-D125)/D125))</f>
        <v>-0.183965508395832</v>
      </c>
      <c r="AK125" s="87" t="n">
        <f aca="false">IF(D125="","",IF(AI125="","",(AI125-D125)/D125))</f>
        <v>0.0694179711678831</v>
      </c>
      <c r="AL125" s="87" t="n">
        <v>0.0540943603634315</v>
      </c>
      <c r="AM125" s="87" t="n">
        <f aca="false">IF(D125="","",IF(AD125="","",(AD125-D125)/D125))</f>
        <v>-0.057273768613976</v>
      </c>
      <c r="AN125" s="64" t="n">
        <f aca="false">IF(NOT(AM125=""),ABS(AM125),"")</f>
        <v>0.057273768613976</v>
      </c>
      <c r="AP125" s="65" t="n">
        <v>282.5</v>
      </c>
      <c r="AQ125" s="66" t="n">
        <v>0.25</v>
      </c>
      <c r="AR125" s="63" t="n">
        <v>0.5</v>
      </c>
      <c r="AS125" s="63" t="n">
        <v>4.49224938087814</v>
      </c>
      <c r="AT125" s="63" t="n">
        <v>278.007750619122</v>
      </c>
      <c r="AU125" s="63" t="n">
        <v>286.992249380878</v>
      </c>
      <c r="AV125" s="87" t="n">
        <f aca="false">IF(D125="","",IF(AT125="","",(AT125-D125)/D125))</f>
        <v>-0.0446469050889278</v>
      </c>
      <c r="AW125" s="87" t="n">
        <f aca="false">IF(D125="","",IF(AU125="","",(AU125-D125)/D125))</f>
        <v>-0.0137723388973265</v>
      </c>
      <c r="AX125" s="87" t="n">
        <v>0.00176991150442478</v>
      </c>
      <c r="AY125" s="45" t="n">
        <f aca="false">IF(D125="","",IF(AP125="","",(AP125-D125)/D125))</f>
        <v>-0.0292096219931271</v>
      </c>
      <c r="AZ125" s="64" t="n">
        <f aca="false">IF(NOT(AY125=""),ABS(AY125),"")</f>
        <v>0.0292096219931271</v>
      </c>
    </row>
    <row r="126" customFormat="false" ht="12.8" hidden="false" customHeight="false" outlineLevel="0" collapsed="false">
      <c r="A126" s="56" t="n">
        <v>217</v>
      </c>
      <c r="B126" s="25" t="n">
        <v>224</v>
      </c>
      <c r="C126" s="57" t="n">
        <v>219</v>
      </c>
      <c r="D126" s="65" t="n">
        <v>220</v>
      </c>
      <c r="E126" s="66" t="n">
        <v>8.66666666666667</v>
      </c>
      <c r="F126" s="63" t="n">
        <v>2.94392028877595</v>
      </c>
      <c r="G126" s="63" t="n">
        <v>7.31369365566325</v>
      </c>
      <c r="H126" s="63" t="n">
        <v>212.686306344337</v>
      </c>
      <c r="I126" s="63" t="n">
        <v>227.313693655663</v>
      </c>
      <c r="J126" s="64" t="n">
        <v>0.0133814558580725</v>
      </c>
      <c r="L126" s="58" t="n">
        <v>210</v>
      </c>
      <c r="M126" s="0" t="n">
        <v>200</v>
      </c>
      <c r="N126" s="59" t="n">
        <v>208</v>
      </c>
      <c r="O126" s="59" t="n">
        <f aca="false">IF(A126="","",IF(L126="","",A126-L126))</f>
        <v>7</v>
      </c>
      <c r="P126" s="59" t="n">
        <f aca="false">IF(B126="","",IF(M126="","",B126-M126))</f>
        <v>24</v>
      </c>
      <c r="Q126" s="59" t="n">
        <f aca="false">IF(C126="","",IF(N126="","",C126-N126))</f>
        <v>11</v>
      </c>
      <c r="R126" s="65" t="n">
        <v>206</v>
      </c>
      <c r="S126" s="66" t="n">
        <v>18.6666666666667</v>
      </c>
      <c r="T126" s="63" t="n">
        <v>4.32049379893857</v>
      </c>
      <c r="U126" s="63" t="n">
        <v>10.7335678235255</v>
      </c>
      <c r="V126" s="63" t="n">
        <v>195</v>
      </c>
      <c r="W126" s="63" t="n">
        <v>217</v>
      </c>
      <c r="X126" s="87" t="n">
        <f aca="false">IF(D126="","",IF(V126="","",(V126-D126)/D126))</f>
        <v>-0.113636363636364</v>
      </c>
      <c r="Y126" s="87" t="n">
        <f aca="false">IF(D126="","",IF(W126="","",(W126-D126)/D126))</f>
        <v>-0.0136363636363636</v>
      </c>
      <c r="Z126" s="87" t="n">
        <v>0.0209732708686339</v>
      </c>
      <c r="AA126" s="87" t="n">
        <f aca="false">IF(D126="","",IF(R126="","",(R126-D126)/D126))</f>
        <v>-0.0636363636363636</v>
      </c>
      <c r="AB126" s="64" t="n">
        <f aca="false">IF(NOT(AA126=""),ABS(AA126),"")</f>
        <v>0.0636363636363636</v>
      </c>
      <c r="AD126" s="65" t="n">
        <v>204.666666666667</v>
      </c>
      <c r="AE126" s="66" t="n">
        <v>764.222222222222</v>
      </c>
      <c r="AF126" s="63" t="n">
        <v>27.6445694888204</v>
      </c>
      <c r="AG126" s="63" t="n">
        <v>68.6784602337157</v>
      </c>
      <c r="AH126" s="63" t="n">
        <v>135.988206432951</v>
      </c>
      <c r="AI126" s="63" t="n">
        <v>273.345126900382</v>
      </c>
      <c r="AJ126" s="87" t="n">
        <f aca="false">IF(D126="","",IF(AH126="","",(AH126-D126)/D126))</f>
        <v>-0.381871788941132</v>
      </c>
      <c r="AK126" s="87" t="n">
        <f aca="false">IF(D126="","",IF(AI126="","",(AI126-D126)/D126))</f>
        <v>0.242477849547191</v>
      </c>
      <c r="AL126" s="87" t="n">
        <v>0.135071186427461</v>
      </c>
      <c r="AM126" s="87" t="n">
        <f aca="false">IF(D126="","",IF(AD126="","",(AD126-D126)/D126))</f>
        <v>-0.0696969696969682</v>
      </c>
      <c r="AN126" s="64" t="n">
        <f aca="false">IF(NOT(AM126=""),ABS(AM126),"")</f>
        <v>0.0696969696969682</v>
      </c>
      <c r="AP126" s="65" t="n">
        <v>223</v>
      </c>
      <c r="AQ126" s="66" t="n">
        <v>144</v>
      </c>
      <c r="AR126" s="63" t="n">
        <v>12</v>
      </c>
      <c r="AS126" s="63" t="n">
        <v>107.813985141075</v>
      </c>
      <c r="AT126" s="63" t="n">
        <v>115.186014858925</v>
      </c>
      <c r="AU126" s="63" t="n">
        <v>330.813985141075</v>
      </c>
      <c r="AV126" s="87" t="n">
        <f aca="false">IF(D126="","",IF(AT126="","",(AT126-D126)/D126))</f>
        <v>-0.476427205186705</v>
      </c>
      <c r="AW126" s="87" t="n">
        <f aca="false">IF(D126="","",IF(AU126="","",(AU126-D126)/D126))</f>
        <v>0.503699932459432</v>
      </c>
      <c r="AX126" s="87" t="n">
        <v>0.0538116591928251</v>
      </c>
      <c r="AY126" s="45" t="n">
        <f aca="false">IF(D126="","",IF(AP126="","",(AP126-D126)/D126))</f>
        <v>0.0136363636363636</v>
      </c>
      <c r="AZ126" s="64" t="n">
        <f aca="false">IF(NOT(AY126=""),ABS(AY126),"")</f>
        <v>0.0136363636363636</v>
      </c>
    </row>
    <row r="127" customFormat="false" ht="12.8" hidden="false" customHeight="false" outlineLevel="0" collapsed="false">
      <c r="A127" s="56" t="n">
        <v>151</v>
      </c>
      <c r="B127" s="25" t="n">
        <v>179</v>
      </c>
      <c r="C127" s="57" t="n">
        <v>177</v>
      </c>
      <c r="D127" s="65" t="n">
        <v>169</v>
      </c>
      <c r="E127" s="66" t="n">
        <v>162.666666666667</v>
      </c>
      <c r="F127" s="63" t="n">
        <v>12.7540843131393</v>
      </c>
      <c r="G127" s="63" t="n">
        <v>31.6854589713045</v>
      </c>
      <c r="H127" s="63" t="n">
        <v>137.314541028696</v>
      </c>
      <c r="I127" s="63" t="n">
        <v>200.685458971305</v>
      </c>
      <c r="J127" s="64" t="n">
        <v>0.0754679545156173</v>
      </c>
      <c r="L127" s="58" t="n">
        <v>121</v>
      </c>
      <c r="M127" s="0" t="n">
        <v>137</v>
      </c>
      <c r="N127" s="59" t="n">
        <v>146</v>
      </c>
      <c r="O127" s="59" t="n">
        <f aca="false">IF(A127="","",IF(L127="","",A127-L127))</f>
        <v>30</v>
      </c>
      <c r="P127" s="59" t="n">
        <f aca="false">IF(B127="","",IF(M127="","",B127-M127))</f>
        <v>42</v>
      </c>
      <c r="Q127" s="59" t="n">
        <f aca="false">IF(C127="","",IF(N127="","",C127-N127))</f>
        <v>31</v>
      </c>
      <c r="R127" s="65" t="n">
        <v>135</v>
      </c>
      <c r="S127" s="66" t="n">
        <v>106.888888888889</v>
      </c>
      <c r="T127" s="63" t="n">
        <v>10.3387082795139</v>
      </c>
      <c r="U127" s="63" t="n">
        <v>25.6848480035013</v>
      </c>
      <c r="V127" s="63" t="n">
        <v>109</v>
      </c>
      <c r="W127" s="63" t="n">
        <v>160</v>
      </c>
      <c r="X127" s="87" t="n">
        <f aca="false">IF(D127="","",IF(V127="","",(V127-D127)/D127))</f>
        <v>-0.355029585798817</v>
      </c>
      <c r="Y127" s="87" t="n">
        <f aca="false">IF(D127="","",IF(W127="","",(W127-D127)/D127))</f>
        <v>-0.0532544378698225</v>
      </c>
      <c r="Z127" s="87" t="n">
        <v>0.076772586234014</v>
      </c>
      <c r="AA127" s="87" t="n">
        <f aca="false">IF(D127="","",IF(R127="","",(R127-D127)/D127))</f>
        <v>-0.201183431952663</v>
      </c>
      <c r="AB127" s="64" t="n">
        <f aca="false">IF(NOT(AA127=""),ABS(AA127),"")</f>
        <v>0.201183431952663</v>
      </c>
      <c r="AD127" s="65" t="n">
        <v>149</v>
      </c>
      <c r="AE127" s="66" t="n">
        <v>458.666666666667</v>
      </c>
      <c r="AF127" s="63" t="n">
        <v>21.4165045389453</v>
      </c>
      <c r="AG127" s="63" t="n">
        <v>53.205840514824</v>
      </c>
      <c r="AH127" s="63" t="n">
        <v>95.794159485176</v>
      </c>
      <c r="AI127" s="63" t="n">
        <v>202.205840514824</v>
      </c>
      <c r="AJ127" s="87" t="n">
        <f aca="false">IF(D127="","",IF(AH127="","",(AH127-D127)/D127))</f>
        <v>-0.43317065393387</v>
      </c>
      <c r="AK127" s="87" t="n">
        <f aca="false">IF(D127="","",IF(AI127="","",(AI127-D127)/D127))</f>
        <v>0.196484263401325</v>
      </c>
      <c r="AL127" s="87" t="n">
        <v>0.14373492979158</v>
      </c>
      <c r="AM127" s="87" t="n">
        <f aca="false">IF(D127="","",IF(AD127="","",(AD127-D127)/D127))</f>
        <v>-0.118343195266272</v>
      </c>
      <c r="AN127" s="64" t="n">
        <f aca="false">IF(NOT(AM127=""),ABS(AM127),"")</f>
        <v>0.118343195266272</v>
      </c>
      <c r="AP127" s="65" t="n">
        <v>162</v>
      </c>
      <c r="AQ127" s="66" t="n">
        <v>4</v>
      </c>
      <c r="AR127" s="63" t="n">
        <v>2</v>
      </c>
      <c r="AS127" s="63" t="n">
        <v>17.9689975235125</v>
      </c>
      <c r="AT127" s="63" t="n">
        <v>144.031002476487</v>
      </c>
      <c r="AU127" s="63" t="n">
        <v>179.968997523513</v>
      </c>
      <c r="AV127" s="87" t="n">
        <f aca="false">IF(D127="","",IF(AT127="","",(AT127-D127)/D127))</f>
        <v>-0.147745547476408</v>
      </c>
      <c r="AW127" s="87" t="n">
        <f aca="false">IF(D127="","",IF(AU127="","",(AU127-D127)/D127))</f>
        <v>0.0649053107900177</v>
      </c>
      <c r="AX127" s="87" t="n">
        <v>0.0123456790123457</v>
      </c>
      <c r="AY127" s="45" t="n">
        <f aca="false">IF(D127="","",IF(AP127="","",(AP127-D127)/D127))</f>
        <v>-0.0414201183431953</v>
      </c>
      <c r="AZ127" s="64" t="n">
        <f aca="false">IF(NOT(AY127=""),ABS(AY127),"")</f>
        <v>0.0414201183431953</v>
      </c>
    </row>
    <row r="128" customFormat="false" ht="12.8" hidden="false" customHeight="false" outlineLevel="0" collapsed="false">
      <c r="A128" s="56" t="n">
        <v>153</v>
      </c>
      <c r="B128" s="25" t="n">
        <v>151</v>
      </c>
      <c r="C128" s="57" t="n">
        <v>154</v>
      </c>
      <c r="D128" s="65" t="n">
        <v>152.666666666667</v>
      </c>
      <c r="E128" s="66" t="n">
        <v>1.55555555555556</v>
      </c>
      <c r="F128" s="63" t="n">
        <v>1.24721912892465</v>
      </c>
      <c r="G128" s="63" t="n">
        <v>3.09851413613878</v>
      </c>
      <c r="H128" s="63" t="n">
        <v>149.568152530528</v>
      </c>
      <c r="I128" s="63" t="n">
        <v>155.765180802805</v>
      </c>
      <c r="J128" s="64" t="n">
        <v>0.00816955761304354</v>
      </c>
      <c r="L128" s="58" t="n">
        <v>95</v>
      </c>
      <c r="M128" s="0" t="n">
        <v>97</v>
      </c>
      <c r="N128" s="59" t="n">
        <v>113</v>
      </c>
      <c r="O128" s="59" t="n">
        <f aca="false">IF(A128="","",IF(L128="","",A128-L128))</f>
        <v>58</v>
      </c>
      <c r="P128" s="59" t="n">
        <f aca="false">IF(B128="","",IF(M128="","",B128-M128))</f>
        <v>54</v>
      </c>
      <c r="Q128" s="59" t="n">
        <f aca="false">IF(C128="","",IF(N128="","",C128-N128))</f>
        <v>41</v>
      </c>
      <c r="R128" s="65" t="n">
        <v>102</v>
      </c>
      <c r="S128" s="66" t="n">
        <v>64.8888888888889</v>
      </c>
      <c r="T128" s="63" t="n">
        <v>8.05536398239638</v>
      </c>
      <c r="U128" s="63" t="n">
        <v>20.0122485234159</v>
      </c>
      <c r="V128" s="63" t="n">
        <v>82</v>
      </c>
      <c r="W128" s="63" t="n">
        <v>122</v>
      </c>
      <c r="X128" s="87" t="n">
        <f aca="false">IF(D128="","",IF(V128="","",(V128-D128)/D128))</f>
        <v>-0.46288209606987</v>
      </c>
      <c r="Y128" s="87" t="n">
        <f aca="false">IF(D128="","",IF(W128="","",(W128-D128)/D128))</f>
        <v>-0.200873362445417</v>
      </c>
      <c r="Z128" s="87" t="n">
        <v>0.0792330883514398</v>
      </c>
      <c r="AA128" s="87" t="n">
        <f aca="false">IF(D128="","",IF(R128="","",(R128-D128)/D128))</f>
        <v>-0.331877729257643</v>
      </c>
      <c r="AB128" s="64" t="n">
        <f aca="false">IF(NOT(AA128=""),ABS(AA128),"")</f>
        <v>0.331877729257643</v>
      </c>
      <c r="AD128" s="65" t="n">
        <v>130</v>
      </c>
      <c r="AE128" s="66" t="n">
        <v>100</v>
      </c>
      <c r="AF128" s="63" t="n">
        <v>10</v>
      </c>
      <c r="AG128" s="63" t="n">
        <v>89.8449876175627</v>
      </c>
      <c r="AH128" s="63" t="n">
        <v>40.1550123824373</v>
      </c>
      <c r="AI128" s="63" t="n">
        <v>219.844987617563</v>
      </c>
      <c r="AJ128" s="87" t="n">
        <f aca="false">IF(D128="","",IF(AH128="","",(AH128-D128)/D128))</f>
        <v>-0.736975901425084</v>
      </c>
      <c r="AK128" s="87" t="n">
        <f aca="false">IF(D128="","",IF(AI128="","",(AI128-D128)/D128))</f>
        <v>0.440032669984034</v>
      </c>
      <c r="AL128" s="87" t="n">
        <v>0.0769230769230769</v>
      </c>
      <c r="AM128" s="87" t="n">
        <f aca="false">IF(D128="","",IF(AD128="","",(AD128-D128)/D128))</f>
        <v>-0.148471615720526</v>
      </c>
      <c r="AN128" s="64" t="n">
        <f aca="false">IF(NOT(AM128=""),ABS(AM128),"")</f>
        <v>0.148471615720526</v>
      </c>
      <c r="AP128" s="65" t="n">
        <v>201.5</v>
      </c>
      <c r="AQ128" s="66" t="n">
        <v>5112.25</v>
      </c>
      <c r="AR128" s="63" t="n">
        <v>71.5</v>
      </c>
      <c r="AS128" s="63" t="n">
        <v>642.391661465573</v>
      </c>
      <c r="AT128" s="63" t="n">
        <v>-440.891661465573</v>
      </c>
      <c r="AU128" s="63" t="n">
        <v>843.891661465573</v>
      </c>
      <c r="AV128" s="87" t="n">
        <f aca="false">IF(D128="","",IF(AT128="","",(AT128-D128)/D128))</f>
        <v>-3.8879366471544</v>
      </c>
      <c r="AW128" s="87" t="n">
        <f aca="false">IF(D128="","",IF(AU128="","",(AU128-D128)/D128))</f>
        <v>4.52767463842077</v>
      </c>
      <c r="AX128" s="87" t="n">
        <v>0.354838709677419</v>
      </c>
      <c r="AY128" s="45" t="n">
        <f aca="false">IF(D128="","",IF(AP128="","",(AP128-D128)/D128))</f>
        <v>0.319868995633185</v>
      </c>
      <c r="AZ128" s="64" t="n">
        <f aca="false">IF(NOT(AY128=""),ABS(AY128),"")</f>
        <v>0.319868995633185</v>
      </c>
    </row>
    <row r="129" customFormat="false" ht="12.8" hidden="false" customHeight="false" outlineLevel="0" collapsed="false">
      <c r="A129" s="56" t="n">
        <v>99</v>
      </c>
      <c r="B129" s="25" t="n">
        <v>120</v>
      </c>
      <c r="C129" s="57" t="n">
        <v>116</v>
      </c>
      <c r="D129" s="65" t="n">
        <v>111.666666666667</v>
      </c>
      <c r="E129" s="66" t="n">
        <v>82.8888888888889</v>
      </c>
      <c r="F129" s="63" t="n">
        <v>9.10433352249844</v>
      </c>
      <c r="G129" s="63" t="n">
        <v>22.6182436312584</v>
      </c>
      <c r="H129" s="63" t="n">
        <v>89.0484230354082</v>
      </c>
      <c r="I129" s="63" t="n">
        <v>134.284910297925</v>
      </c>
      <c r="J129" s="64" t="n">
        <v>0.081531344977598</v>
      </c>
      <c r="L129" s="58" t="n">
        <v>82</v>
      </c>
      <c r="M129" s="0" t="n">
        <v>79</v>
      </c>
      <c r="N129" s="59" t="n">
        <v>83</v>
      </c>
      <c r="O129" s="59" t="n">
        <f aca="false">IF(A129="","",IF(L129="","",A129-L129))</f>
        <v>17</v>
      </c>
      <c r="P129" s="59" t="n">
        <f aca="false">IF(B129="","",IF(M129="","",B129-M129))</f>
        <v>41</v>
      </c>
      <c r="Q129" s="59" t="n">
        <f aca="false">IF(C129="","",IF(N129="","",C129-N129))</f>
        <v>33</v>
      </c>
      <c r="R129" s="65" t="n">
        <v>81</v>
      </c>
      <c r="S129" s="66" t="n">
        <v>2.88888888888889</v>
      </c>
      <c r="T129" s="63" t="n">
        <v>1.6996731711976</v>
      </c>
      <c r="U129" s="63" t="n">
        <v>4.22256300086764</v>
      </c>
      <c r="V129" s="63" t="n">
        <v>77</v>
      </c>
      <c r="W129" s="63" t="n">
        <v>86</v>
      </c>
      <c r="X129" s="87" t="n">
        <f aca="false">IF(D129="","",IF(V129="","",(V129-D129)/D129))</f>
        <v>-0.310447761194032</v>
      </c>
      <c r="Y129" s="87" t="n">
        <f aca="false">IF(D129="","",IF(W129="","",(W129-D129)/D129))</f>
        <v>-0.229850746268659</v>
      </c>
      <c r="Z129" s="87" t="n">
        <v>0.0208976209573475</v>
      </c>
      <c r="AA129" s="87" t="n">
        <f aca="false">IF(D129="","",IF(R129="","",(R129-D129)/D129))</f>
        <v>-0.274626865671644</v>
      </c>
      <c r="AB129" s="64" t="n">
        <f aca="false">IF(NOT(AA129=""),ABS(AA129),"")</f>
        <v>0.274626865671644</v>
      </c>
      <c r="AD129" s="65" t="n">
        <v>100</v>
      </c>
      <c r="AE129" s="66" t="n">
        <v>160.666666666667</v>
      </c>
      <c r="AF129" s="63" t="n">
        <v>12.675435561221</v>
      </c>
      <c r="AG129" s="63" t="n">
        <v>31.490068871877</v>
      </c>
      <c r="AH129" s="63" t="n">
        <v>68.509931128123</v>
      </c>
      <c r="AI129" s="63" t="n">
        <v>131.490068871877</v>
      </c>
      <c r="AJ129" s="87" t="n">
        <f aca="false">IF(D129="","",IF(AH129="","",(AH129-D129)/D129))</f>
        <v>-0.386478228703378</v>
      </c>
      <c r="AK129" s="87" t="n">
        <f aca="false">IF(D129="","",IF(AI129="","",(AI129-D129)/D129))</f>
        <v>0.177523004822776</v>
      </c>
      <c r="AL129" s="87" t="n">
        <v>0.12675435561221</v>
      </c>
      <c r="AM129" s="87" t="n">
        <f aca="false">IF(D129="","",IF(AD129="","",(AD129-D129)/D129))</f>
        <v>-0.104477611940301</v>
      </c>
      <c r="AN129" s="64" t="n">
        <f aca="false">IF(NOT(AM129=""),ABS(AM129),"")</f>
        <v>0.104477611940301</v>
      </c>
      <c r="AP129" s="65" t="n">
        <v>116.5</v>
      </c>
      <c r="AQ129" s="66" t="n">
        <v>12.25</v>
      </c>
      <c r="AR129" s="63" t="n">
        <v>3.5</v>
      </c>
      <c r="AS129" s="63" t="n">
        <v>31.445745666147</v>
      </c>
      <c r="AT129" s="63" t="n">
        <v>85.054254333853</v>
      </c>
      <c r="AU129" s="63" t="n">
        <v>147.945745666147</v>
      </c>
      <c r="AV129" s="87" t="n">
        <f aca="false">IF(D129="","",IF(AT129="","",(AT129-D129)/D129))</f>
        <v>-0.23832011044311</v>
      </c>
      <c r="AW129" s="87" t="n">
        <f aca="false">IF(D129="","",IF(AU129="","",(AU129-D129)/D129))</f>
        <v>0.324887274622208</v>
      </c>
      <c r="AX129" s="87" t="n">
        <v>0.0300429184549356</v>
      </c>
      <c r="AY129" s="45" t="n">
        <f aca="false">IF(D129="","",IF(AP129="","",(AP129-D129)/D129))</f>
        <v>0.0432835820895491</v>
      </c>
      <c r="AZ129" s="64" t="n">
        <f aca="false">IF(NOT(AY129=""),ABS(AY129),"")</f>
        <v>0.0432835820895491</v>
      </c>
    </row>
    <row r="130" customFormat="false" ht="12.8" hidden="false" customHeight="false" outlineLevel="0" collapsed="false">
      <c r="A130" s="56" t="n">
        <v>85</v>
      </c>
      <c r="B130" s="25" t="n">
        <v>112</v>
      </c>
      <c r="C130" s="57" t="n">
        <v>90</v>
      </c>
      <c r="D130" s="65" t="n">
        <v>95.6666666666667</v>
      </c>
      <c r="E130" s="66" t="n">
        <v>137.555555555556</v>
      </c>
      <c r="F130" s="63" t="n">
        <v>11.7284080571728</v>
      </c>
      <c r="G130" s="63" t="n">
        <v>29.1373322592372</v>
      </c>
      <c r="H130" s="63" t="n">
        <v>66.5293344074295</v>
      </c>
      <c r="I130" s="63" t="n">
        <v>124.803998925904</v>
      </c>
      <c r="J130" s="64" t="n">
        <v>0.122596599900761</v>
      </c>
      <c r="L130" s="58" t="n">
        <v>68</v>
      </c>
      <c r="M130" s="0" t="n">
        <v>71</v>
      </c>
      <c r="N130" s="59" t="n">
        <v>63</v>
      </c>
      <c r="O130" s="59" t="n">
        <f aca="false">IF(A130="","",IF(L130="","",A130-L130))</f>
        <v>17</v>
      </c>
      <c r="P130" s="59" t="n">
        <f aca="false">IF(B130="","",IF(M130="","",B130-M130))</f>
        <v>41</v>
      </c>
      <c r="Q130" s="59" t="n">
        <f aca="false">IF(C130="","",IF(N130="","",C130-N130))</f>
        <v>27</v>
      </c>
      <c r="R130" s="65" t="n">
        <v>67</v>
      </c>
      <c r="S130" s="66" t="n">
        <v>10.8888888888889</v>
      </c>
      <c r="T130" s="63" t="n">
        <v>3.29983164553722</v>
      </c>
      <c r="U130" s="63" t="n">
        <v>8.19789783804135</v>
      </c>
      <c r="V130" s="63" t="n">
        <v>59</v>
      </c>
      <c r="W130" s="63" t="n">
        <v>76</v>
      </c>
      <c r="X130" s="87" t="n">
        <f aca="false">IF(D130="","",IF(V130="","",(V130-D130)/D130))</f>
        <v>-0.383275261324042</v>
      </c>
      <c r="Y130" s="87" t="n">
        <f aca="false">IF(D130="","",IF(W130="","",(W130-D130)/D130))</f>
        <v>-0.205574912891986</v>
      </c>
      <c r="Z130" s="87" t="n">
        <v>0.0490074006762954</v>
      </c>
      <c r="AA130" s="87" t="n">
        <f aca="false">IF(D130="","",IF(R130="","",(R130-D130)/D130))</f>
        <v>-0.299651567944251</v>
      </c>
      <c r="AB130" s="64" t="n">
        <f aca="false">IF(NOT(AA130=""),ABS(AA130),"")</f>
        <v>0.299651567944251</v>
      </c>
      <c r="AD130" s="65" t="n">
        <v>89.6666666666667</v>
      </c>
      <c r="AE130" s="66" t="n">
        <v>454.222222222222</v>
      </c>
      <c r="AF130" s="63" t="n">
        <v>21.3124898175277</v>
      </c>
      <c r="AG130" s="63" t="n">
        <v>52.9474327681781</v>
      </c>
      <c r="AH130" s="63" t="n">
        <v>36.7192338984886</v>
      </c>
      <c r="AI130" s="63" t="n">
        <v>142.614099434845</v>
      </c>
      <c r="AJ130" s="87" t="n">
        <f aca="false">IF(D130="","",IF(AH130="","",(AH130-D130)/D130))</f>
        <v>-0.616175255416496</v>
      </c>
      <c r="AK130" s="87" t="n">
        <f aca="false">IF(D130="","",IF(AI130="","",(AI130-D130)/D130))</f>
        <v>0.490739715346811</v>
      </c>
      <c r="AL130" s="87" t="n">
        <v>0.237685760046777</v>
      </c>
      <c r="AM130" s="87" t="n">
        <f aca="false">IF(D130="","",IF(AD130="","",(AD130-D130)/D130))</f>
        <v>-0.0627177700348432</v>
      </c>
      <c r="AN130" s="64" t="n">
        <f aca="false">IF(NOT(AM130=""),ABS(AM130),"")</f>
        <v>0.0627177700348432</v>
      </c>
      <c r="AP130" s="65" t="n">
        <v>94</v>
      </c>
      <c r="AQ130" s="66" t="n">
        <v>4</v>
      </c>
      <c r="AR130" s="63" t="n">
        <v>2</v>
      </c>
      <c r="AS130" s="63" t="n">
        <v>17.9689975235125</v>
      </c>
      <c r="AT130" s="63" t="n">
        <v>76.0310024764875</v>
      </c>
      <c r="AU130" s="63" t="n">
        <v>111.968997523513</v>
      </c>
      <c r="AV130" s="87" t="n">
        <f aca="false">IF(D130="","",IF(AT130="","",(AT130-D130)/D130))</f>
        <v>-0.205250845193511</v>
      </c>
      <c r="AW130" s="87" t="n">
        <f aca="false">IF(D130="","",IF(AU130="","",(AU130-D130)/D130))</f>
        <v>0.170407639618602</v>
      </c>
      <c r="AX130" s="87" t="n">
        <v>0.0212765957446809</v>
      </c>
      <c r="AY130" s="45" t="n">
        <f aca="false">IF(D130="","",IF(AP130="","",(AP130-D130)/D130))</f>
        <v>-0.0174216027874568</v>
      </c>
      <c r="AZ130" s="64" t="n">
        <f aca="false">IF(NOT(AY130=""),ABS(AY130),"")</f>
        <v>0.0174216027874568</v>
      </c>
    </row>
    <row r="131" customFormat="false" ht="12.8" hidden="false" customHeight="false" outlineLevel="0" collapsed="false">
      <c r="A131" s="56" t="n">
        <v>73</v>
      </c>
      <c r="B131" s="25" t="n">
        <v>89</v>
      </c>
      <c r="C131" s="57" t="n">
        <v>75</v>
      </c>
      <c r="D131" s="65" t="n">
        <v>79</v>
      </c>
      <c r="E131" s="66" t="n">
        <v>50.6666666666667</v>
      </c>
      <c r="F131" s="63" t="n">
        <v>7.11805216802087</v>
      </c>
      <c r="G131" s="63" t="n">
        <v>17.6836489698503</v>
      </c>
      <c r="H131" s="63" t="n">
        <v>61.3163510301497</v>
      </c>
      <c r="I131" s="63" t="n">
        <v>96.6836489698503</v>
      </c>
      <c r="J131" s="64" t="n">
        <v>0.0901019261774794</v>
      </c>
      <c r="L131" s="58" t="n">
        <v>64</v>
      </c>
      <c r="M131" s="0" t="n">
        <v>56</v>
      </c>
      <c r="N131" s="59" t="n">
        <v>60</v>
      </c>
      <c r="O131" s="59" t="n">
        <f aca="false">IF(A131="","",IF(L131="","",A131-L131))</f>
        <v>9</v>
      </c>
      <c r="P131" s="59" t="n">
        <f aca="false">IF(B131="","",IF(M131="","",B131-M131))</f>
        <v>33</v>
      </c>
      <c r="Q131" s="59" t="n">
        <f aca="false">IF(C131="","",IF(N131="","",C131-N131))</f>
        <v>15</v>
      </c>
      <c r="R131" s="65" t="n">
        <v>60</v>
      </c>
      <c r="S131" s="66" t="n">
        <v>10.6666666666667</v>
      </c>
      <c r="T131" s="63" t="n">
        <v>3.2659863237109</v>
      </c>
      <c r="U131" s="63" t="n">
        <v>8.11381461185524</v>
      </c>
      <c r="V131" s="63" t="n">
        <v>52</v>
      </c>
      <c r="W131" s="63" t="n">
        <v>68</v>
      </c>
      <c r="X131" s="87" t="n">
        <f aca="false">IF(D131="","",IF(V131="","",(V131-D131)/D131))</f>
        <v>-0.341772151898734</v>
      </c>
      <c r="Y131" s="87" t="n">
        <f aca="false">IF(D131="","",IF(W131="","",(W131-D131)/D131))</f>
        <v>-0.139240506329114</v>
      </c>
      <c r="Z131" s="87" t="n">
        <v>0.0544331053951817</v>
      </c>
      <c r="AA131" s="87" t="n">
        <f aca="false">IF(D131="","",IF(R131="","",(R131-D131)/D131))</f>
        <v>-0.240506329113924</v>
      </c>
      <c r="AB131" s="64" t="n">
        <f aca="false">IF(NOT(AA131=""),ABS(AA131),"")</f>
        <v>0.240506329113924</v>
      </c>
      <c r="AD131" s="65" t="n">
        <v>79.3333333333333</v>
      </c>
      <c r="AE131" s="66" t="n">
        <v>86.2222222222222</v>
      </c>
      <c r="AF131" s="63" t="n">
        <v>9.28559218478941</v>
      </c>
      <c r="AG131" s="63" t="n">
        <v>23.0685514515774</v>
      </c>
      <c r="AH131" s="63" t="n">
        <v>56.2647818817559</v>
      </c>
      <c r="AI131" s="63" t="n">
        <v>102.401884784911</v>
      </c>
      <c r="AJ131" s="87" t="n">
        <f aca="false">IF(D131="","",IF(AH131="","",(AH131-D131)/D131))</f>
        <v>-0.287787571117014</v>
      </c>
      <c r="AK131" s="87" t="n">
        <f aca="false">IF(D131="","",IF(AI131="","",(AI131-D131)/D131))</f>
        <v>0.296226389682418</v>
      </c>
      <c r="AL131" s="87" t="n">
        <v>0.117045279640203</v>
      </c>
      <c r="AM131" s="87" t="n">
        <f aca="false">IF(D131="","",IF(AD131="","",(AD131-D131)/D131))</f>
        <v>0.0042194092827</v>
      </c>
      <c r="AN131" s="64" t="n">
        <f aca="false">IF(NOT(AM131=""),ABS(AM131),"")</f>
        <v>0.0042194092827</v>
      </c>
      <c r="AP131" s="65" t="n">
        <v>92.5</v>
      </c>
      <c r="AQ131" s="66" t="n">
        <v>132.25</v>
      </c>
      <c r="AR131" s="63" t="n">
        <v>11.5</v>
      </c>
      <c r="AS131" s="63" t="n">
        <v>103.321735760197</v>
      </c>
      <c r="AT131" s="63" t="n">
        <v>-10.8217357601971</v>
      </c>
      <c r="AU131" s="63" t="n">
        <v>195.821735760197</v>
      </c>
      <c r="AV131" s="87" t="n">
        <f aca="false">IF(D131="","",IF(AT131="","",(AT131-D131)/D131))</f>
        <v>-1.13698399696452</v>
      </c>
      <c r="AW131" s="87" t="n">
        <f aca="false">IF(D131="","",IF(AU131="","",(AU131-D131)/D131))</f>
        <v>1.47875614886325</v>
      </c>
      <c r="AX131" s="87" t="n">
        <v>0.124324324324324</v>
      </c>
      <c r="AY131" s="45" t="n">
        <f aca="false">IF(D131="","",IF(AP131="","",(AP131-D131)/D131))</f>
        <v>0.170886075949367</v>
      </c>
      <c r="AZ131" s="64" t="n">
        <f aca="false">IF(NOT(AY131=""),ABS(AY131),"")</f>
        <v>0.170886075949367</v>
      </c>
    </row>
    <row r="132" customFormat="false" ht="12.8" hidden="false" customHeight="false" outlineLevel="0" collapsed="false">
      <c r="A132" s="56" t="n">
        <v>54</v>
      </c>
      <c r="B132" s="25" t="n">
        <v>71</v>
      </c>
      <c r="C132" s="57" t="n">
        <v>78</v>
      </c>
      <c r="D132" s="65" t="n">
        <v>67.6666666666667</v>
      </c>
      <c r="E132" s="66" t="n">
        <v>101.555555555556</v>
      </c>
      <c r="F132" s="63" t="n">
        <v>10.077477638554</v>
      </c>
      <c r="G132" s="63" t="n">
        <v>25.0358627409799</v>
      </c>
      <c r="H132" s="63" t="n">
        <v>42.6308039256868</v>
      </c>
      <c r="I132" s="63" t="n">
        <v>92.7025294076466</v>
      </c>
      <c r="J132" s="64" t="n">
        <v>0.148928240963852</v>
      </c>
      <c r="L132" s="58" t="n">
        <v>54</v>
      </c>
      <c r="M132" s="0" t="n">
        <v>52</v>
      </c>
      <c r="N132" s="59" t="n">
        <v>55</v>
      </c>
      <c r="O132" s="59" t="n">
        <f aca="false">IF(A132="","",IF(L132="","",A132-L132))</f>
        <v>0</v>
      </c>
      <c r="P132" s="59" t="n">
        <f aca="false">IF(B132="","",IF(M132="","",B132-M132))</f>
        <v>19</v>
      </c>
      <c r="Q132" s="59" t="n">
        <f aca="false">IF(C132="","",IF(N132="","",C132-N132))</f>
        <v>23</v>
      </c>
      <c r="R132" s="65" t="n">
        <v>54</v>
      </c>
      <c r="S132" s="66" t="n">
        <v>1.55555555555556</v>
      </c>
      <c r="T132" s="63" t="n">
        <v>1.24721912892465</v>
      </c>
      <c r="U132" s="63" t="n">
        <v>3.09851413613878</v>
      </c>
      <c r="V132" s="63" t="n">
        <v>51</v>
      </c>
      <c r="W132" s="63" t="n">
        <v>57</v>
      </c>
      <c r="X132" s="87" t="n">
        <f aca="false">IF(D132="","",IF(V132="","",(V132-D132)/D132))</f>
        <v>-0.246305418719212</v>
      </c>
      <c r="Y132" s="87" t="n">
        <f aca="false">IF(D132="","",IF(W132="","",(W132-D132)/D132))</f>
        <v>-0.157635467980296</v>
      </c>
      <c r="Z132" s="87" t="n">
        <v>0.0232401079923847</v>
      </c>
      <c r="AA132" s="87" t="n">
        <f aca="false">IF(D132="","",IF(R132="","",(R132-D132)/D132))</f>
        <v>-0.201970443349754</v>
      </c>
      <c r="AB132" s="64" t="n">
        <f aca="false">IF(NOT(AA132=""),ABS(AA132),"")</f>
        <v>0.201970443349754</v>
      </c>
      <c r="AD132" s="65" t="n">
        <v>65</v>
      </c>
      <c r="AE132" s="66" t="n">
        <v>1</v>
      </c>
      <c r="AF132" s="63" t="n">
        <v>1</v>
      </c>
      <c r="AG132" s="63" t="n">
        <v>8.98449876175627</v>
      </c>
      <c r="AH132" s="63" t="n">
        <v>56.0155012382437</v>
      </c>
      <c r="AI132" s="63" t="n">
        <v>73.9844987617563</v>
      </c>
      <c r="AJ132" s="87" t="n">
        <f aca="false">IF(D132="","",IF(AH132="","",(AH132-D132)/D132))</f>
        <v>-0.172184710764872</v>
      </c>
      <c r="AK132" s="87" t="n">
        <f aca="false">IF(D132="","",IF(AI132="","",(AI132-D132)/D132))</f>
        <v>0.0933669767747231</v>
      </c>
      <c r="AL132" s="87" t="n">
        <v>0.0153846153846154</v>
      </c>
      <c r="AM132" s="87" t="n">
        <f aca="false">IF(D132="","",IF(AD132="","",(AD132-D132)/D132))</f>
        <v>-0.0394088669950744</v>
      </c>
      <c r="AN132" s="64" t="n">
        <f aca="false">IF(NOT(AM132=""),ABS(AM132),"")</f>
        <v>0.0394088669950744</v>
      </c>
      <c r="AP132" s="65" t="n">
        <v>66</v>
      </c>
      <c r="AQ132" s="66" t="n">
        <v>49</v>
      </c>
      <c r="AR132" s="63" t="n">
        <v>7</v>
      </c>
      <c r="AS132" s="63" t="n">
        <v>62.8914913322939</v>
      </c>
      <c r="AT132" s="63" t="n">
        <v>3.10850866770609</v>
      </c>
      <c r="AU132" s="63" t="n">
        <v>128.891491332294</v>
      </c>
      <c r="AV132" s="87" t="n">
        <f aca="false">IF(D132="","",IF(AT132="","",(AT132-D132)/D132))</f>
        <v>-0.954061448260501</v>
      </c>
      <c r="AW132" s="87" t="n">
        <f aca="false">IF(D132="","",IF(AU132="","",(AU132-D132)/D132))</f>
        <v>0.904800364516659</v>
      </c>
      <c r="AX132" s="87" t="n">
        <v>0.106060606060606</v>
      </c>
      <c r="AY132" s="45" t="n">
        <f aca="false">IF(D132="","",IF(AP132="","",(AP132-D132)/D132))</f>
        <v>-0.0246305418719217</v>
      </c>
      <c r="AZ132" s="64" t="n">
        <f aca="false">IF(NOT(AY132=""),ABS(AY132),"")</f>
        <v>0.0246305418719217</v>
      </c>
    </row>
    <row r="133" customFormat="false" ht="12.8" hidden="false" customHeight="false" outlineLevel="0" collapsed="false">
      <c r="A133" s="56"/>
      <c r="B133" s="25"/>
      <c r="C133" s="57"/>
      <c r="D133" s="65"/>
      <c r="E133" s="66"/>
      <c r="F133" s="63"/>
      <c r="G133" s="63"/>
      <c r="H133" s="63"/>
      <c r="I133" s="63"/>
      <c r="J133" s="64"/>
      <c r="L133" s="58"/>
      <c r="N133" s="59"/>
      <c r="O133" s="59" t="str">
        <f aca="false">IF(A133="","",IF(L133="","",A133-L133))</f>
        <v/>
      </c>
      <c r="P133" s="59" t="str">
        <f aca="false">IF(B133="","",IF(M133="","",B133-M133))</f>
        <v/>
      </c>
      <c r="Q133" s="59" t="str">
        <f aca="false">IF(C133="","",IF(N133="","",C133-N133))</f>
        <v/>
      </c>
      <c r="R133" s="65" t="str">
        <f aca="false">IF(COUNT(O133:Q133)&gt;0,AVERAGE(O133:Q133),"")</f>
        <v/>
      </c>
      <c r="S133" s="66"/>
      <c r="T133" s="63"/>
      <c r="U133" s="63"/>
      <c r="V133" s="63" t="str">
        <f aca="false">IF(R133="","",R133-U133)</f>
        <v/>
      </c>
      <c r="W133" s="63" t="str">
        <f aca="false">IF(R133="","",R133+U133)</f>
        <v/>
      </c>
      <c r="X133" s="87" t="str">
        <f aca="false">IF(D133="","",IF(V133="","",(V133-D133)/D133))</f>
        <v/>
      </c>
      <c r="Y133" s="87" t="str">
        <f aca="false">IF(D133="","",IF(W133="","",(W133-D133)/D133))</f>
        <v/>
      </c>
      <c r="Z133" s="87"/>
      <c r="AA133" s="87" t="str">
        <f aca="false">IF(D133="","",IF(R133="","",(R133-D133)/D133))</f>
        <v/>
      </c>
      <c r="AB133" s="64" t="str">
        <f aca="false">IF(NOT(AA133=""),ABS(AA133),"")</f>
        <v/>
      </c>
      <c r="AD133" s="65"/>
      <c r="AE133" s="66"/>
      <c r="AF133" s="63"/>
      <c r="AG133" s="63"/>
      <c r="AH133" s="63"/>
      <c r="AI133" s="63"/>
      <c r="AJ133" s="87" t="str">
        <f aca="false">IF(D133="","",IF(AH133="","",(AH133-D133)/D133))</f>
        <v/>
      </c>
      <c r="AK133" s="87" t="str">
        <f aca="false">IF(D133="","",IF(AI133="","",(AI133-D133)/D133))</f>
        <v/>
      </c>
      <c r="AL133" s="87"/>
      <c r="AM133" s="87" t="str">
        <f aca="false">IF(D133="","",IF(AD133="","",(AD133-D133)/D133))</f>
        <v/>
      </c>
      <c r="AN133" s="64" t="str">
        <f aca="false">IF(NOT(AM133=""),ABS(AM133),"")</f>
        <v/>
      </c>
      <c r="AP133" s="65"/>
      <c r="AQ133" s="66"/>
      <c r="AR133" s="63"/>
      <c r="AS133" s="63"/>
      <c r="AT133" s="63"/>
      <c r="AU133" s="63"/>
      <c r="AV133" s="87" t="str">
        <f aca="false">IF(D133="","",IF(AT133="","",(AT133-D133)/D133))</f>
        <v/>
      </c>
      <c r="AW133" s="87" t="str">
        <f aca="false">IF(D133="","",IF(AU133="","",(AU133-D133)/D133))</f>
        <v/>
      </c>
      <c r="AX133" s="87"/>
      <c r="AY133" s="45" t="str">
        <f aca="false">IF(D133="","",IF(AP133="","",(AP133-D133)/D133))</f>
        <v/>
      </c>
      <c r="AZ133" s="64" t="str">
        <f aca="false">IF(NOT(AY133=""),ABS(AY133),"")</f>
        <v/>
      </c>
    </row>
    <row r="134" customFormat="false" ht="12.8" hidden="false" customHeight="false" outlineLevel="0" collapsed="false">
      <c r="A134" s="56" t="n">
        <v>3024</v>
      </c>
      <c r="B134" s="25"/>
      <c r="C134" s="57"/>
      <c r="D134" s="65" t="n">
        <v>3024</v>
      </c>
      <c r="E134" s="66" t="n">
        <v>0</v>
      </c>
      <c r="F134" s="63" t="n">
        <v>0</v>
      </c>
      <c r="G134" s="63" t="n">
        <v>0</v>
      </c>
      <c r="H134" s="63" t="n">
        <v>3024</v>
      </c>
      <c r="I134" s="63" t="n">
        <v>3024</v>
      </c>
      <c r="J134" s="64" t="n">
        <v>0</v>
      </c>
      <c r="L134" s="58" t="n">
        <v>2335</v>
      </c>
      <c r="M134" s="0" t="n">
        <v>2001</v>
      </c>
      <c r="N134" s="59" t="n">
        <v>1997</v>
      </c>
      <c r="O134" s="59" t="n">
        <f aca="false">IF(A134="","",IF(L134="","",A134-L134))</f>
        <v>689</v>
      </c>
      <c r="P134" s="59" t="str">
        <f aca="false">IF(B134="","",IF(M134="","",B134-M134))</f>
        <v/>
      </c>
      <c r="Q134" s="59" t="str">
        <f aca="false">IF(C134="","",IF(N134="","",C134-N134))</f>
        <v/>
      </c>
      <c r="R134" s="65" t="n">
        <v>2111</v>
      </c>
      <c r="S134" s="66" t="n">
        <v>25090.6666666667</v>
      </c>
      <c r="T134" s="63" t="n">
        <v>158.400336699979</v>
      </c>
      <c r="U134" s="63" t="n">
        <v>393.520008674979</v>
      </c>
      <c r="V134" s="63" t="n">
        <v>1717</v>
      </c>
      <c r="W134" s="63" t="n">
        <v>2505</v>
      </c>
      <c r="X134" s="87" t="n">
        <f aca="false">IF(D134="","",IF(V134="","",(V134-D134)/D134))</f>
        <v>-0.432208994708995</v>
      </c>
      <c r="Y134" s="87" t="n">
        <f aca="false">IF(D134="","",IF(W134="","",(W134-D134)/D134))</f>
        <v>-0.171626984126984</v>
      </c>
      <c r="Z134" s="87" t="n">
        <v>0.0750356876835523</v>
      </c>
      <c r="AA134" s="87" t="n">
        <f aca="false">IF(D134="","",IF(R134="","",(R134-D134)/D134))</f>
        <v>-0.301917989417989</v>
      </c>
      <c r="AB134" s="64" t="n">
        <f aca="false">IF(NOT(AA134=""),ABS(AA134),"")</f>
        <v>0.301917989417989</v>
      </c>
      <c r="AD134" s="65" t="n">
        <v>2106.5</v>
      </c>
      <c r="AE134" s="66" t="n">
        <v>381306.25</v>
      </c>
      <c r="AF134" s="63" t="n">
        <v>617.5</v>
      </c>
      <c r="AG134" s="63" t="n">
        <v>5547.9279853845</v>
      </c>
      <c r="AH134" s="63" t="n">
        <v>-3441.4279853845</v>
      </c>
      <c r="AI134" s="63" t="n">
        <v>7654.4279853845</v>
      </c>
      <c r="AJ134" s="87" t="n">
        <f aca="false">IF(D134="","",IF(AH134="","",(AH134-D134)/D134))</f>
        <v>-2.13803835495519</v>
      </c>
      <c r="AK134" s="87" t="n">
        <f aca="false">IF(D134="","",IF(AI134="","",(AI134-D134)/D134))</f>
        <v>1.53122618564302</v>
      </c>
      <c r="AL134" s="87" t="n">
        <v>0.29314028008545</v>
      </c>
      <c r="AM134" s="87" t="n">
        <f aca="false">IF(D134="","",IF(AD134="","",(AD134-D134)/D134))</f>
        <v>-0.303406084656085</v>
      </c>
      <c r="AN134" s="64" t="n">
        <f aca="false">IF(NOT(AM134=""),ABS(AM134),"")</f>
        <v>0.303406084656085</v>
      </c>
      <c r="AP134" s="65"/>
      <c r="AQ134" s="66"/>
      <c r="AR134" s="63"/>
      <c r="AS134" s="63"/>
      <c r="AT134" s="63"/>
      <c r="AU134" s="63"/>
      <c r="AV134" s="87" t="str">
        <f aca="false">IF(D134="","",IF(AT134="","",(AT134-D134)/D134))</f>
        <v/>
      </c>
      <c r="AW134" s="87" t="str">
        <f aca="false">IF(D134="","",IF(AU134="","",(AU134-D134)/D134))</f>
        <v/>
      </c>
      <c r="AX134" s="87"/>
      <c r="AY134" s="45" t="str">
        <f aca="false">IF(D134="","",IF(AP134="","",(AP134-D134)/D134))</f>
        <v/>
      </c>
      <c r="AZ134" s="64" t="str">
        <f aca="false">IF(NOT(AY134=""),ABS(AY134),"")</f>
        <v/>
      </c>
    </row>
    <row r="135" customFormat="false" ht="12.8" hidden="false" customHeight="false" outlineLevel="0" collapsed="false">
      <c r="A135" s="56" t="n">
        <v>1766</v>
      </c>
      <c r="B135" s="25" t="n">
        <v>1589</v>
      </c>
      <c r="C135" s="57" t="n">
        <v>1840</v>
      </c>
      <c r="D135" s="65" t="n">
        <v>1731.66666666667</v>
      </c>
      <c r="E135" s="66" t="n">
        <v>11089.5555555556</v>
      </c>
      <c r="F135" s="63" t="n">
        <v>105.306958723323</v>
      </c>
      <c r="G135" s="63" t="n">
        <v>261.618101158639</v>
      </c>
      <c r="H135" s="63" t="n">
        <v>1470.04856550803</v>
      </c>
      <c r="I135" s="63" t="n">
        <v>1993.28476782531</v>
      </c>
      <c r="J135" s="64" t="n">
        <v>0.0608124881944115</v>
      </c>
      <c r="L135" s="58" t="n">
        <v>1479</v>
      </c>
      <c r="M135" s="0" t="n">
        <v>1426</v>
      </c>
      <c r="N135" s="59" t="n">
        <v>1288</v>
      </c>
      <c r="O135" s="59" t="n">
        <f aca="false">IF(A135="","",IF(L135="","",A135-L135))</f>
        <v>287</v>
      </c>
      <c r="P135" s="59" t="n">
        <f aca="false">IF(B135="","",IF(M135="","",B135-M135))</f>
        <v>163</v>
      </c>
      <c r="Q135" s="59" t="n">
        <f aca="false">IF(C135="","",IF(N135="","",C135-N135))</f>
        <v>552</v>
      </c>
      <c r="R135" s="65" t="n">
        <v>1398</v>
      </c>
      <c r="S135" s="66" t="n">
        <v>6481.55555555556</v>
      </c>
      <c r="T135" s="63" t="n">
        <v>80.5081086323332</v>
      </c>
      <c r="U135" s="63" t="n">
        <v>200.009370355121</v>
      </c>
      <c r="V135" s="63" t="n">
        <v>1198</v>
      </c>
      <c r="W135" s="63" t="n">
        <v>1598</v>
      </c>
      <c r="X135" s="87" t="n">
        <f aca="false">IF(D135="","",IF(V135="","",(V135-D135)/D135))</f>
        <v>-0.308180943214631</v>
      </c>
      <c r="Y135" s="87" t="n">
        <f aca="false">IF(D135="","",IF(W135="","",(W135-D135)/D135))</f>
        <v>-0.0771896053897996</v>
      </c>
      <c r="Z135" s="87" t="n">
        <v>0.0576017948716908</v>
      </c>
      <c r="AA135" s="87" t="n">
        <f aca="false">IF(D135="","",IF(R135="","",(R135-D135)/D135))</f>
        <v>-0.192685274302215</v>
      </c>
      <c r="AB135" s="64" t="n">
        <f aca="false">IF(NOT(AA135=""),ABS(AA135),"")</f>
        <v>0.192685274302215</v>
      </c>
      <c r="AD135" s="65" t="n">
        <v>1376.66666666667</v>
      </c>
      <c r="AE135" s="66" t="n">
        <v>11702.8888888889</v>
      </c>
      <c r="AF135" s="63" t="n">
        <v>108.17989133332</v>
      </c>
      <c r="AG135" s="63" t="n">
        <v>268.755437411592</v>
      </c>
      <c r="AH135" s="63" t="n">
        <v>1107.91122925507</v>
      </c>
      <c r="AI135" s="63" t="n">
        <v>1645.42210407826</v>
      </c>
      <c r="AJ135" s="87" t="n">
        <f aca="false">IF(D135="","",IF(AH135="","",(AH135-D135)/D135))</f>
        <v>-0.360205257408045</v>
      </c>
      <c r="AK135" s="87" t="n">
        <f aca="false">IF(D135="","",IF(AI135="","",(AI135-D135)/D135))</f>
        <v>-0.0498043672310355</v>
      </c>
      <c r="AL135" s="87" t="n">
        <v>0.0785810348668183</v>
      </c>
      <c r="AM135" s="87" t="n">
        <f aca="false">IF(D135="","",IF(AD135="","",(AD135-D135)/D135))</f>
        <v>-0.205004812319538</v>
      </c>
      <c r="AN135" s="64" t="n">
        <f aca="false">IF(NOT(AM135=""),ABS(AM135),"")</f>
        <v>0.205004812319538</v>
      </c>
      <c r="AP135" s="65" t="n">
        <v>1527</v>
      </c>
      <c r="AQ135" s="66" t="n">
        <v>1</v>
      </c>
      <c r="AR135" s="63" t="n">
        <v>1</v>
      </c>
      <c r="AS135" s="63" t="n">
        <v>8.98449876175627</v>
      </c>
      <c r="AT135" s="63" t="n">
        <v>1518.01550123824</v>
      </c>
      <c r="AU135" s="63" t="n">
        <v>1535.98449876176</v>
      </c>
      <c r="AV135" s="87" t="n">
        <f aca="false">IF(D135="","",IF(AT135="","",(AT135-D135)/D135))</f>
        <v>-0.123378921325368</v>
      </c>
      <c r="AW135" s="87" t="n">
        <f aca="false">IF(D135="","",IF(AU135="","",(AU135-D135)/D135))</f>
        <v>-0.113002214382046</v>
      </c>
      <c r="AX135" s="87" t="n">
        <v>0.000654878847413229</v>
      </c>
      <c r="AY135" s="45" t="n">
        <f aca="false">IF(D135="","",IF(AP135="","",(AP135-D135)/D135))</f>
        <v>-0.118190567853707</v>
      </c>
      <c r="AZ135" s="64" t="n">
        <f aca="false">IF(NOT(AY135=""),ABS(AY135),"")</f>
        <v>0.118190567853707</v>
      </c>
    </row>
    <row r="136" customFormat="false" ht="12.8" hidden="false" customHeight="false" outlineLevel="0" collapsed="false">
      <c r="A136" s="56" t="n">
        <v>1254</v>
      </c>
      <c r="B136" s="25" t="n">
        <v>1370</v>
      </c>
      <c r="C136" s="57" t="n">
        <v>1203</v>
      </c>
      <c r="D136" s="65" t="n">
        <v>1275.66666666667</v>
      </c>
      <c r="E136" s="66" t="n">
        <v>4882.88888888889</v>
      </c>
      <c r="F136" s="63" t="n">
        <v>69.8776708891251</v>
      </c>
      <c r="G136" s="63" t="n">
        <v>173.599767698471</v>
      </c>
      <c r="H136" s="63" t="n">
        <v>1102.0668989682</v>
      </c>
      <c r="I136" s="63" t="n">
        <v>1449.26643436514</v>
      </c>
      <c r="J136" s="64" t="n">
        <v>0.0547773746191208</v>
      </c>
      <c r="L136" s="58" t="n">
        <v>980</v>
      </c>
      <c r="M136" s="0" t="n">
        <v>967</v>
      </c>
      <c r="N136" s="59" t="n">
        <v>1073</v>
      </c>
      <c r="O136" s="59" t="n">
        <f aca="false">IF(A136="","",IF(L136="","",A136-L136))</f>
        <v>274</v>
      </c>
      <c r="P136" s="59" t="n">
        <f aca="false">IF(B136="","",IF(M136="","",B136-M136))</f>
        <v>403</v>
      </c>
      <c r="Q136" s="59" t="n">
        <f aca="false">IF(C136="","",IF(N136="","",C136-N136))</f>
        <v>130</v>
      </c>
      <c r="R136" s="65" t="n">
        <v>1007</v>
      </c>
      <c r="S136" s="66" t="n">
        <v>2228.22222222222</v>
      </c>
      <c r="T136" s="63" t="n">
        <v>47.2040487905669</v>
      </c>
      <c r="U136" s="63" t="n">
        <v>117.270821997947</v>
      </c>
      <c r="V136" s="63" t="n">
        <v>889</v>
      </c>
      <c r="W136" s="63" t="n">
        <v>1124</v>
      </c>
      <c r="X136" s="87" t="n">
        <f aca="false">IF(D136="","",IF(V136="","",(V136-D136)/D136))</f>
        <v>-0.303109485236479</v>
      </c>
      <c r="Y136" s="87" t="n">
        <f aca="false">IF(D136="","",IF(W136="","",(W136-D136)/D136))</f>
        <v>-0.118892082571207</v>
      </c>
      <c r="Z136" s="87" t="n">
        <v>0.0468914391959274</v>
      </c>
      <c r="AA136" s="87" t="n">
        <f aca="false">IF(D136="","",IF(R136="","",(R136-D136)/D136))</f>
        <v>-0.210608831983279</v>
      </c>
      <c r="AB136" s="64" t="n">
        <f aca="false">IF(NOT(AA136=""),ABS(AA136),"")</f>
        <v>0.210608831983279</v>
      </c>
      <c r="AD136" s="65" t="n">
        <v>1095.66666666667</v>
      </c>
      <c r="AE136" s="66" t="n">
        <v>45980.2222222222</v>
      </c>
      <c r="AF136" s="63" t="n">
        <v>214.429993756056</v>
      </c>
      <c r="AG136" s="63" t="n">
        <v>532.716626498624</v>
      </c>
      <c r="AH136" s="63" t="n">
        <v>562.950040168043</v>
      </c>
      <c r="AI136" s="63" t="n">
        <v>1628.38329316529</v>
      </c>
      <c r="AJ136" s="87" t="n">
        <f aca="false">IF(D136="","",IF(AH136="","",(AH136-D136)/D136))</f>
        <v>-0.558701301148648</v>
      </c>
      <c r="AK136" s="87" t="n">
        <f aca="false">IF(D136="","",IF(AI136="","",(AI136-D136)/D136))</f>
        <v>0.276495918342268</v>
      </c>
      <c r="AL136" s="87" t="n">
        <v>0.195707326214837</v>
      </c>
      <c r="AM136" s="87" t="n">
        <f aca="false">IF(D136="","",IF(AD136="","",(AD136-D136)/D136))</f>
        <v>-0.141102691403188</v>
      </c>
      <c r="AN136" s="64" t="n">
        <f aca="false">IF(NOT(AM136=""),ABS(AM136),"")</f>
        <v>0.141102691403188</v>
      </c>
      <c r="AP136" s="65" t="n">
        <v>1107</v>
      </c>
      <c r="AQ136" s="66" t="n">
        <v>4761</v>
      </c>
      <c r="AR136" s="63" t="n">
        <v>69</v>
      </c>
      <c r="AS136" s="63" t="n">
        <v>619.930414561183</v>
      </c>
      <c r="AT136" s="63" t="n">
        <v>487.069585438817</v>
      </c>
      <c r="AU136" s="63" t="n">
        <v>1726.93041456118</v>
      </c>
      <c r="AV136" s="87" t="n">
        <f aca="false">IF(D136="","",IF(AT136="","",(AT136-D136)/D136))</f>
        <v>-0.61818428107749</v>
      </c>
      <c r="AW136" s="87" t="n">
        <f aca="false">IF(D136="","",IF(AU136="","",(AU136-D136)/D136))</f>
        <v>0.353747385336694</v>
      </c>
      <c r="AX136" s="87" t="n">
        <v>0.0623306233062331</v>
      </c>
      <c r="AY136" s="45" t="n">
        <f aca="false">IF(D136="","",IF(AP136="","",(AP136-D136)/D136))</f>
        <v>-0.132218447870397</v>
      </c>
      <c r="AZ136" s="64" t="n">
        <f aca="false">IF(NOT(AY136=""),ABS(AY136),"")</f>
        <v>0.132218447870397</v>
      </c>
    </row>
    <row r="137" customFormat="false" ht="12.8" hidden="false" customHeight="false" outlineLevel="0" collapsed="false">
      <c r="A137" s="56" t="n">
        <v>821</v>
      </c>
      <c r="B137" s="25" t="n">
        <v>821</v>
      </c>
      <c r="C137" s="57" t="n">
        <v>840</v>
      </c>
      <c r="D137" s="65" t="n">
        <v>827.333333333333</v>
      </c>
      <c r="E137" s="66" t="n">
        <v>80.2222222222222</v>
      </c>
      <c r="F137" s="63" t="n">
        <v>8.9566858950296</v>
      </c>
      <c r="G137" s="63" t="n">
        <v>22.2514369889694</v>
      </c>
      <c r="H137" s="63" t="n">
        <v>805.081896344364</v>
      </c>
      <c r="I137" s="63" t="n">
        <v>849.584770322303</v>
      </c>
      <c r="J137" s="64" t="n">
        <v>0.0108259700584564</v>
      </c>
      <c r="L137" s="58" t="n">
        <v>658</v>
      </c>
      <c r="M137" s="0" t="n">
        <v>682</v>
      </c>
      <c r="N137" s="59" t="n">
        <v>664</v>
      </c>
      <c r="O137" s="59" t="n">
        <f aca="false">IF(A137="","",IF(L137="","",A137-L137))</f>
        <v>163</v>
      </c>
      <c r="P137" s="59" t="n">
        <f aca="false">IF(B137="","",IF(M137="","",B137-M137))</f>
        <v>139</v>
      </c>
      <c r="Q137" s="59" t="n">
        <f aca="false">IF(C137="","",IF(N137="","",C137-N137))</f>
        <v>176</v>
      </c>
      <c r="R137" s="65" t="n">
        <v>668</v>
      </c>
      <c r="S137" s="66" t="n">
        <v>104</v>
      </c>
      <c r="T137" s="63" t="n">
        <v>10.1980390271856</v>
      </c>
      <c r="U137" s="63" t="n">
        <v>25.3353780052058</v>
      </c>
      <c r="V137" s="63" t="n">
        <v>643</v>
      </c>
      <c r="W137" s="63" t="n">
        <v>693</v>
      </c>
      <c r="X137" s="87" t="n">
        <f aca="false">IF(D137="","",IF(V137="","",(V137-D137)/D137))</f>
        <v>-0.222804190169218</v>
      </c>
      <c r="Y137" s="87" t="n">
        <f aca="false">IF(D137="","",IF(W137="","",(W137-D137)/D137))</f>
        <v>-0.162369057211926</v>
      </c>
      <c r="Z137" s="87" t="n">
        <v>0.0152665254897988</v>
      </c>
      <c r="AA137" s="87" t="n">
        <f aca="false">IF(D137="","",IF(R137="","",(R137-D137)/D137))</f>
        <v>-0.192586623690572</v>
      </c>
      <c r="AB137" s="64" t="n">
        <f aca="false">IF(NOT(AA137=""),ABS(AA137),"")</f>
        <v>0.192586623690572</v>
      </c>
      <c r="AD137" s="65" t="n">
        <v>812.666666666667</v>
      </c>
      <c r="AE137" s="66" t="n">
        <v>57.5555555555556</v>
      </c>
      <c r="AF137" s="63" t="n">
        <v>7.58653778449403</v>
      </c>
      <c r="AG137" s="63" t="n">
        <v>18.8475256869043</v>
      </c>
      <c r="AH137" s="63" t="n">
        <v>793.819140979762</v>
      </c>
      <c r="AI137" s="63" t="n">
        <v>831.514192353571</v>
      </c>
      <c r="AJ137" s="87" t="n">
        <f aca="false">IF(D137="","",IF(AH137="","",(AH137-D137)/D137))</f>
        <v>-0.0405086934168869</v>
      </c>
      <c r="AK137" s="87" t="n">
        <f aca="false">IF(D137="","",IF(AI137="","",(AI137-D137)/D137))</f>
        <v>0.00505341541527561</v>
      </c>
      <c r="AL137" s="87" t="n">
        <v>0.00933536232710504</v>
      </c>
      <c r="AM137" s="87" t="n">
        <f aca="false">IF(D137="","",IF(AD137="","",(AD137-D137)/D137))</f>
        <v>-0.0177276390008051</v>
      </c>
      <c r="AN137" s="64" t="n">
        <f aca="false">IF(NOT(AM137=""),ABS(AM137),"")</f>
        <v>0.0177276390008051</v>
      </c>
      <c r="AP137" s="65" t="n">
        <v>842.5</v>
      </c>
      <c r="AQ137" s="66" t="n">
        <v>462.25</v>
      </c>
      <c r="AR137" s="63" t="n">
        <v>21.5</v>
      </c>
      <c r="AS137" s="63" t="n">
        <v>193.16672337776</v>
      </c>
      <c r="AT137" s="63" t="n">
        <v>649.33327662224</v>
      </c>
      <c r="AU137" s="63" t="n">
        <v>1035.66672337776</v>
      </c>
      <c r="AV137" s="87" t="n">
        <f aca="false">IF(D137="","",IF(AT137="","",(AT137-D137)/D137))</f>
        <v>-0.21514914187481</v>
      </c>
      <c r="AW137" s="87" t="n">
        <f aca="false">IF(D137="","",IF(AU137="","",(AU137-D137)/D137))</f>
        <v>0.251813122535569</v>
      </c>
      <c r="AX137" s="87" t="n">
        <v>0.0255192878338279</v>
      </c>
      <c r="AY137" s="45" t="n">
        <f aca="false">IF(D137="","",IF(AP137="","",(AP137-D137)/D137))</f>
        <v>0.0183319903303791</v>
      </c>
      <c r="AZ137" s="64" t="n">
        <f aca="false">IF(NOT(AY137=""),ABS(AY137),"")</f>
        <v>0.0183319903303791</v>
      </c>
    </row>
    <row r="138" customFormat="false" ht="12.8" hidden="false" customHeight="false" outlineLevel="0" collapsed="false">
      <c r="A138" s="56" t="n">
        <v>591</v>
      </c>
      <c r="B138" s="25" t="n">
        <v>624</v>
      </c>
      <c r="C138" s="57" t="n">
        <v>684</v>
      </c>
      <c r="D138" s="65" t="n">
        <v>633</v>
      </c>
      <c r="E138" s="66" t="n">
        <v>1482</v>
      </c>
      <c r="F138" s="63" t="n">
        <v>38.4967531098403</v>
      </c>
      <c r="G138" s="63" t="n">
        <v>95.638954647152</v>
      </c>
      <c r="H138" s="63" t="n">
        <v>537.361045352848</v>
      </c>
      <c r="I138" s="63" t="n">
        <v>728.638954647152</v>
      </c>
      <c r="J138" s="64" t="n">
        <v>0.0608163556237604</v>
      </c>
      <c r="L138" s="58" t="n">
        <v>545</v>
      </c>
      <c r="M138" s="0" t="n">
        <v>521</v>
      </c>
      <c r="N138" s="59" t="n">
        <v>508</v>
      </c>
      <c r="O138" s="59" t="n">
        <f aca="false">IF(A138="","",IF(L138="","",A138-L138))</f>
        <v>46</v>
      </c>
      <c r="P138" s="59" t="n">
        <f aca="false">IF(B138="","",IF(M138="","",B138-M138))</f>
        <v>103</v>
      </c>
      <c r="Q138" s="59" t="n">
        <f aca="false">IF(C138="","",IF(N138="","",C138-N138))</f>
        <v>176</v>
      </c>
      <c r="R138" s="65" t="n">
        <v>525</v>
      </c>
      <c r="S138" s="66" t="n">
        <v>234.888888888889</v>
      </c>
      <c r="T138" s="63" t="n">
        <v>15.3260852434302</v>
      </c>
      <c r="U138" s="63" t="n">
        <v>38.0751791542683</v>
      </c>
      <c r="V138" s="63" t="n">
        <v>487</v>
      </c>
      <c r="W138" s="63" t="n">
        <v>563</v>
      </c>
      <c r="X138" s="87" t="n">
        <f aca="false">IF(D138="","",IF(V138="","",(V138-D138)/D138))</f>
        <v>-0.230647709320695</v>
      </c>
      <c r="Y138" s="87" t="n">
        <f aca="false">IF(D138="","",IF(W138="","",(W138-D138)/D138))</f>
        <v>-0.110584518167457</v>
      </c>
      <c r="Z138" s="87" t="n">
        <v>0.0292110900446573</v>
      </c>
      <c r="AA138" s="87" t="n">
        <f aca="false">IF(D138="","",IF(R138="","",(R138-D138)/D138))</f>
        <v>-0.170616113744076</v>
      </c>
      <c r="AB138" s="64" t="n">
        <f aca="false">IF(NOT(AA138=""),ABS(AA138),"")</f>
        <v>0.170616113744076</v>
      </c>
      <c r="AD138" s="65" t="n">
        <v>568.666666666667</v>
      </c>
      <c r="AE138" s="66" t="n">
        <v>3548.22222222222</v>
      </c>
      <c r="AF138" s="63" t="n">
        <v>59.5669557911282</v>
      </c>
      <c r="AG138" s="63" t="n">
        <v>147.984464225384</v>
      </c>
      <c r="AH138" s="63" t="n">
        <v>420.682202441282</v>
      </c>
      <c r="AI138" s="63" t="n">
        <v>716.651130892051</v>
      </c>
      <c r="AJ138" s="87" t="n">
        <f aca="false">IF(D138="","",IF(AH138="","",(AH138-D138)/D138))</f>
        <v>-0.335415162020092</v>
      </c>
      <c r="AK138" s="87" t="n">
        <f aca="false">IF(D138="","",IF(AI138="","",(AI138-D138)/D138))</f>
        <v>0.132150285769433</v>
      </c>
      <c r="AL138" s="87" t="n">
        <v>0.104748456842547</v>
      </c>
      <c r="AM138" s="87" t="n">
        <f aca="false">IF(D138="","",IF(AD138="","",(AD138-D138)/D138))</f>
        <v>-0.101632438125329</v>
      </c>
      <c r="AN138" s="64" t="n">
        <f aca="false">IF(NOT(AM138=""),ABS(AM138),"")</f>
        <v>0.101632438125329</v>
      </c>
      <c r="AP138" s="65" t="n">
        <v>668</v>
      </c>
      <c r="AQ138" s="66" t="n">
        <v>3249</v>
      </c>
      <c r="AR138" s="63" t="n">
        <v>57</v>
      </c>
      <c r="AS138" s="63" t="n">
        <v>512.116429420108</v>
      </c>
      <c r="AT138" s="63" t="n">
        <v>155.883570579893</v>
      </c>
      <c r="AU138" s="63" t="n">
        <v>1180.11642942011</v>
      </c>
      <c r="AV138" s="87" t="n">
        <f aca="false">IF(D138="","",IF(AT138="","",(AT138-D138)/D138))</f>
        <v>-0.753738435102855</v>
      </c>
      <c r="AW138" s="87" t="n">
        <f aca="false">IF(D138="","",IF(AU138="","",(AU138-D138)/D138))</f>
        <v>0.864322953270316</v>
      </c>
      <c r="AX138" s="87" t="n">
        <v>0.0853293413173653</v>
      </c>
      <c r="AY138" s="45" t="n">
        <f aca="false">IF(D138="","",IF(AP138="","",(AP138-D138)/D138))</f>
        <v>0.0552922590837283</v>
      </c>
      <c r="AZ138" s="64" t="n">
        <f aca="false">IF(NOT(AY138=""),ABS(AY138),"")</f>
        <v>0.0552922590837283</v>
      </c>
    </row>
    <row r="139" customFormat="false" ht="12.8" hidden="false" customHeight="false" outlineLevel="0" collapsed="false">
      <c r="A139" s="56" t="n">
        <v>479</v>
      </c>
      <c r="B139" s="25" t="n">
        <v>551</v>
      </c>
      <c r="C139" s="57" t="n">
        <v>507</v>
      </c>
      <c r="D139" s="65" t="n">
        <v>512.333333333333</v>
      </c>
      <c r="E139" s="66" t="n">
        <v>878.222222222222</v>
      </c>
      <c r="F139" s="63" t="n">
        <v>29.6348143611905</v>
      </c>
      <c r="G139" s="63" t="n">
        <v>73.6229016140635</v>
      </c>
      <c r="H139" s="63" t="n">
        <v>438.71043171927</v>
      </c>
      <c r="I139" s="63" t="n">
        <v>585.956234947397</v>
      </c>
      <c r="J139" s="64" t="n">
        <v>0.0578428387010875</v>
      </c>
      <c r="L139" s="58" t="n">
        <v>429</v>
      </c>
      <c r="M139" s="0" t="n">
        <v>458</v>
      </c>
      <c r="N139" s="59" t="n">
        <v>398</v>
      </c>
      <c r="O139" s="59" t="n">
        <f aca="false">IF(A139="","",IF(L139="","",A139-L139))</f>
        <v>50</v>
      </c>
      <c r="P139" s="59" t="n">
        <f aca="false">IF(B139="","",IF(M139="","",B139-M139))</f>
        <v>93</v>
      </c>
      <c r="Q139" s="59" t="n">
        <f aca="false">IF(C139="","",IF(N139="","",C139-N139))</f>
        <v>109</v>
      </c>
      <c r="R139" s="65" t="n">
        <v>428</v>
      </c>
      <c r="S139" s="66" t="n">
        <v>600.222222222222</v>
      </c>
      <c r="T139" s="63" t="n">
        <v>24.4994331000173</v>
      </c>
      <c r="U139" s="63" t="n">
        <v>60.8648777326251</v>
      </c>
      <c r="V139" s="63" t="n">
        <v>367</v>
      </c>
      <c r="W139" s="63" t="n">
        <v>489</v>
      </c>
      <c r="X139" s="87" t="n">
        <f aca="false">IF(D139="","",IF(V139="","",(V139-D139)/D139))</f>
        <v>-0.283669486011711</v>
      </c>
      <c r="Y139" s="87" t="n">
        <f aca="false">IF(D139="","",IF(W139="","",(W139-D139)/D139))</f>
        <v>-0.0455432661027971</v>
      </c>
      <c r="Z139" s="87" t="n">
        <v>0.0571971200778614</v>
      </c>
      <c r="AA139" s="87" t="n">
        <f aca="false">IF(D139="","",IF(R139="","",(R139-D139)/D139))</f>
        <v>-0.164606376057254</v>
      </c>
      <c r="AB139" s="64" t="n">
        <f aca="false">IF(NOT(AA139=""),ABS(AA139),"")</f>
        <v>0.164606376057254</v>
      </c>
      <c r="AD139" s="65" t="n">
        <v>481</v>
      </c>
      <c r="AE139" s="66" t="n">
        <v>121</v>
      </c>
      <c r="AF139" s="63" t="n">
        <v>11</v>
      </c>
      <c r="AG139" s="63" t="n">
        <v>98.829486379319</v>
      </c>
      <c r="AH139" s="63" t="n">
        <v>382.170513620681</v>
      </c>
      <c r="AI139" s="63" t="n">
        <v>579.829486379319</v>
      </c>
      <c r="AJ139" s="87" t="n">
        <f aca="false">IF(D139="","",IF(AH139="","",(AH139-D139)/D139))</f>
        <v>-0.254058854351305</v>
      </c>
      <c r="AK139" s="87" t="n">
        <f aca="false">IF(D139="","",IF(AI139="","",(AI139-D139)/D139))</f>
        <v>0.131742653960936</v>
      </c>
      <c r="AL139" s="87" t="n">
        <v>0.0228690228690229</v>
      </c>
      <c r="AM139" s="87" t="n">
        <f aca="false">IF(D139="","",IF(AD139="","",(AD139-D139)/D139))</f>
        <v>-0.0611581001951849</v>
      </c>
      <c r="AN139" s="64" t="n">
        <f aca="false">IF(NOT(AM139=""),ABS(AM139),"")</f>
        <v>0.0611581001951849</v>
      </c>
      <c r="AP139" s="65" t="n">
        <v>537</v>
      </c>
      <c r="AQ139" s="66" t="n">
        <v>900</v>
      </c>
      <c r="AR139" s="63" t="n">
        <v>30</v>
      </c>
      <c r="AS139" s="63" t="n">
        <v>269.534962852688</v>
      </c>
      <c r="AT139" s="63" t="n">
        <v>267.465037147312</v>
      </c>
      <c r="AU139" s="63" t="n">
        <v>806.534962852688</v>
      </c>
      <c r="AV139" s="87" t="n">
        <f aca="false">IF(D139="","",IF(AT139="","",(AT139-D139)/D139))</f>
        <v>-0.477947227428799</v>
      </c>
      <c r="AW139" s="87" t="n">
        <f aca="false">IF(D139="","",IF(AU139="","",(AU139-D139)/D139))</f>
        <v>0.574238704331858</v>
      </c>
      <c r="AX139" s="87" t="n">
        <v>0.0558659217877095</v>
      </c>
      <c r="AY139" s="45" t="n">
        <f aca="false">IF(D139="","",IF(AP139="","",(AP139-D139)/D139))</f>
        <v>0.0481457384515296</v>
      </c>
      <c r="AZ139" s="64" t="n">
        <f aca="false">IF(NOT(AY139=""),ABS(AY139),"")</f>
        <v>0.0481457384515296</v>
      </c>
    </row>
    <row r="140" customFormat="false" ht="12.8" hidden="false" customHeight="false" outlineLevel="0" collapsed="false">
      <c r="A140" s="56" t="n">
        <v>419</v>
      </c>
      <c r="B140" s="25" t="n">
        <v>685</v>
      </c>
      <c r="C140" s="57" t="n">
        <v>488</v>
      </c>
      <c r="D140" s="65" t="n">
        <v>530.666666666667</v>
      </c>
      <c r="E140" s="66" t="n">
        <v>12702.8888888889</v>
      </c>
      <c r="F140" s="63" t="n">
        <v>112.707093338835</v>
      </c>
      <c r="G140" s="63" t="n">
        <v>280.00253833069</v>
      </c>
      <c r="H140" s="63" t="n">
        <v>250.664128335976</v>
      </c>
      <c r="I140" s="63" t="n">
        <v>810.669204997357</v>
      </c>
      <c r="J140" s="64" t="n">
        <v>0.212387738703835</v>
      </c>
      <c r="L140" s="58" t="n">
        <v>373</v>
      </c>
      <c r="M140" s="0" t="n">
        <v>355</v>
      </c>
      <c r="N140" s="59" t="n">
        <v>336</v>
      </c>
      <c r="O140" s="59" t="n">
        <f aca="false">IF(A140="","",IF(L140="","",A140-L140))</f>
        <v>46</v>
      </c>
      <c r="P140" s="59" t="n">
        <f aca="false">IF(B140="","",IF(M140="","",B140-M140))</f>
        <v>330</v>
      </c>
      <c r="Q140" s="59" t="n">
        <f aca="false">IF(C140="","",IF(N140="","",C140-N140))</f>
        <v>152</v>
      </c>
      <c r="R140" s="65" t="n">
        <v>355</v>
      </c>
      <c r="S140" s="66" t="n">
        <v>228.222222222222</v>
      </c>
      <c r="T140" s="63" t="n">
        <v>15.1070255914995</v>
      </c>
      <c r="U140" s="63" t="n">
        <v>37.5309608910751</v>
      </c>
      <c r="V140" s="63" t="n">
        <v>317</v>
      </c>
      <c r="W140" s="63" t="n">
        <v>392</v>
      </c>
      <c r="X140" s="87" t="n">
        <f aca="false">IF(D140="","",IF(V140="","",(V140-D140)/D140))</f>
        <v>-0.402638190954774</v>
      </c>
      <c r="Y140" s="87" t="n">
        <f aca="false">IF(D140="","",IF(W140="","",(W140-D140)/D140))</f>
        <v>-0.261306532663317</v>
      </c>
      <c r="Z140" s="87" t="n">
        <v>0.0425949969685138</v>
      </c>
      <c r="AA140" s="87" t="n">
        <f aca="false">IF(D140="","",IF(R140="","",(R140-D140)/D140))</f>
        <v>-0.331030150753769</v>
      </c>
      <c r="AB140" s="64" t="n">
        <f aca="false">IF(NOT(AA140=""),ABS(AA140),"")</f>
        <v>0.331030150753769</v>
      </c>
      <c r="AD140" s="65" t="n">
        <v>434.666666666667</v>
      </c>
      <c r="AE140" s="66" t="n">
        <v>4374.22222222222</v>
      </c>
      <c r="AF140" s="63" t="n">
        <v>66.1379030679248</v>
      </c>
      <c r="AG140" s="63" t="n">
        <v>164.308919610006</v>
      </c>
      <c r="AH140" s="63" t="n">
        <v>270.357747056661</v>
      </c>
      <c r="AI140" s="63" t="n">
        <v>598.975586276673</v>
      </c>
      <c r="AJ140" s="87" t="n">
        <f aca="false">IF(D140="","",IF(AH140="","",(AH140-D140)/D140))</f>
        <v>-0.490531883687197</v>
      </c>
      <c r="AK140" s="87" t="n">
        <f aca="false">IF(D140="","",IF(AI140="","",(AI140-D140)/D140))</f>
        <v>0.128722838461067</v>
      </c>
      <c r="AL140" s="87" t="n">
        <v>0.152157752456882</v>
      </c>
      <c r="AM140" s="87" t="n">
        <f aca="false">IF(D140="","",IF(AD140="","",(AD140-D140)/D140))</f>
        <v>-0.180904522613065</v>
      </c>
      <c r="AN140" s="64" t="n">
        <f aca="false">IF(NOT(AM140=""),ABS(AM140),"")</f>
        <v>0.180904522613065</v>
      </c>
      <c r="AP140" s="65" t="n">
        <v>458</v>
      </c>
      <c r="AQ140" s="66" t="n">
        <v>25</v>
      </c>
      <c r="AR140" s="63" t="n">
        <v>5</v>
      </c>
      <c r="AS140" s="63" t="n">
        <v>44.9224938087814</v>
      </c>
      <c r="AT140" s="63" t="n">
        <v>413.077506191219</v>
      </c>
      <c r="AU140" s="63" t="n">
        <v>502.922493808781</v>
      </c>
      <c r="AV140" s="87" t="n">
        <f aca="false">IF(D140="","",IF(AT140="","",(AT140-D140)/D140))</f>
        <v>-0.221587613961271</v>
      </c>
      <c r="AW140" s="87" t="n">
        <f aca="false">IF(D140="","",IF(AU140="","",(AU140-D140)/D140))</f>
        <v>-0.0522817327723982</v>
      </c>
      <c r="AX140" s="87" t="n">
        <v>0.0109170305676856</v>
      </c>
      <c r="AY140" s="45" t="n">
        <f aca="false">IF(D140="","",IF(AP140="","",(AP140-D140)/D140))</f>
        <v>-0.136934673366835</v>
      </c>
      <c r="AZ140" s="64" t="n">
        <f aca="false">IF(NOT(AY140=""),ABS(AY140),"")</f>
        <v>0.136934673366835</v>
      </c>
    </row>
    <row r="141" customFormat="false" ht="12.8" hidden="false" customHeight="false" outlineLevel="0" collapsed="false">
      <c r="A141" s="56" t="n">
        <v>348</v>
      </c>
      <c r="B141" s="25" t="n">
        <v>383</v>
      </c>
      <c r="C141" s="57" t="n">
        <v>384</v>
      </c>
      <c r="D141" s="65" t="n">
        <v>371.666666666667</v>
      </c>
      <c r="E141" s="66" t="n">
        <v>280.222222222222</v>
      </c>
      <c r="F141" s="63" t="n">
        <v>16.739839372653</v>
      </c>
      <c r="G141" s="63" t="n">
        <v>41.5874225546708</v>
      </c>
      <c r="H141" s="63" t="n">
        <v>330.079244111996</v>
      </c>
      <c r="I141" s="63" t="n">
        <v>413.254089221338</v>
      </c>
      <c r="J141" s="64" t="n">
        <v>0.0450399265631918</v>
      </c>
      <c r="L141" s="58" t="n">
        <v>305</v>
      </c>
      <c r="M141" s="0" t="n">
        <v>276</v>
      </c>
      <c r="N141" s="59" t="n">
        <v>323</v>
      </c>
      <c r="O141" s="59" t="n">
        <f aca="false">IF(A141="","",IF(L141="","",A141-L141))</f>
        <v>43</v>
      </c>
      <c r="P141" s="59" t="n">
        <f aca="false">IF(B141="","",IF(M141="","",B141-M141))</f>
        <v>107</v>
      </c>
      <c r="Q141" s="59" t="n">
        <f aca="false">IF(C141="","",IF(N141="","",C141-N141))</f>
        <v>61</v>
      </c>
      <c r="R141" s="65" t="n">
        <v>301</v>
      </c>
      <c r="S141" s="66" t="n">
        <v>374.888888888889</v>
      </c>
      <c r="T141" s="63" t="n">
        <v>19.3620476419435</v>
      </c>
      <c r="U141" s="63" t="n">
        <v>48.1018747482496</v>
      </c>
      <c r="V141" s="63" t="n">
        <v>253</v>
      </c>
      <c r="W141" s="63" t="n">
        <v>349</v>
      </c>
      <c r="X141" s="87" t="n">
        <f aca="false">IF(D141="","",IF(V141="","",(V141-D141)/D141))</f>
        <v>-0.319282511210763</v>
      </c>
      <c r="Y141" s="87" t="n">
        <f aca="false">IF(D141="","",IF(W141="","",(W141-D141)/D141))</f>
        <v>-0.0609865470852027</v>
      </c>
      <c r="Z141" s="87" t="n">
        <v>0.0642545828825558</v>
      </c>
      <c r="AA141" s="87" t="n">
        <f aca="false">IF(D141="","",IF(R141="","",(R141-D141)/D141))</f>
        <v>-0.190134529147983</v>
      </c>
      <c r="AB141" s="64" t="n">
        <f aca="false">IF(NOT(AA141=""),ABS(AA141),"")</f>
        <v>0.190134529147983</v>
      </c>
      <c r="AD141" s="65" t="n">
        <v>361.666666666667</v>
      </c>
      <c r="AE141" s="66" t="n">
        <v>377.555555555556</v>
      </c>
      <c r="AF141" s="63" t="n">
        <v>19.4307888557196</v>
      </c>
      <c r="AG141" s="63" t="n">
        <v>48.2726511721201</v>
      </c>
      <c r="AH141" s="63" t="n">
        <v>313.394015494547</v>
      </c>
      <c r="AI141" s="63" t="n">
        <v>409.939317838787</v>
      </c>
      <c r="AJ141" s="87" t="n">
        <f aca="false">IF(D141="","",IF(AH141="","",(AH141-D141)/D141))</f>
        <v>-0.156787402256825</v>
      </c>
      <c r="AK141" s="87" t="n">
        <f aca="false">IF(D141="","",IF(AI141="","",(AI141-D141)/D141))</f>
        <v>0.102975743064</v>
      </c>
      <c r="AL141" s="87" t="n">
        <v>0.0537256834720357</v>
      </c>
      <c r="AM141" s="87" t="n">
        <f aca="false">IF(D141="","",IF(AD141="","",(AD141-D141)/D141))</f>
        <v>-0.0269058295964125</v>
      </c>
      <c r="AN141" s="64" t="n">
        <f aca="false">IF(NOT(AM141=""),ABS(AM141),"")</f>
        <v>0.0269058295964125</v>
      </c>
      <c r="AP141" s="65" t="n">
        <v>382</v>
      </c>
      <c r="AQ141" s="66" t="n">
        <v>576</v>
      </c>
      <c r="AR141" s="63" t="n">
        <v>24</v>
      </c>
      <c r="AS141" s="63" t="n">
        <v>215.627970282151</v>
      </c>
      <c r="AT141" s="63" t="n">
        <v>166.372029717849</v>
      </c>
      <c r="AU141" s="63" t="n">
        <v>597.627970282151</v>
      </c>
      <c r="AV141" s="87" t="n">
        <f aca="false">IF(D141="","",IF(AT141="","",(AT141-D141)/D141))</f>
        <v>-0.552362251880227</v>
      </c>
      <c r="AW141" s="87" t="n">
        <f aca="false">IF(D141="","",IF(AU141="","",(AU141-D141)/D141))</f>
        <v>0.607967633046145</v>
      </c>
      <c r="AX141" s="87" t="n">
        <v>0.0628272251308901</v>
      </c>
      <c r="AY141" s="45" t="n">
        <f aca="false">IF(D141="","",IF(AP141="","",(AP141-D141)/D141))</f>
        <v>0.0278026905829586</v>
      </c>
      <c r="AZ141" s="64" t="n">
        <f aca="false">IF(NOT(AY141=""),ABS(AY141),"")</f>
        <v>0.0278026905829586</v>
      </c>
    </row>
    <row r="142" customFormat="false" ht="12.8" hidden="false" customHeight="false" outlineLevel="0" collapsed="false">
      <c r="A142" s="56" t="n">
        <v>291</v>
      </c>
      <c r="B142" s="25" t="n">
        <v>341</v>
      </c>
      <c r="C142" s="57" t="n">
        <v>392</v>
      </c>
      <c r="D142" s="65" t="n">
        <v>341.333333333333</v>
      </c>
      <c r="E142" s="66" t="n">
        <v>1700.22222222222</v>
      </c>
      <c r="F142" s="63" t="n">
        <v>41.2337510083939</v>
      </c>
      <c r="G142" s="63" t="n">
        <v>102.438583102628</v>
      </c>
      <c r="H142" s="63" t="n">
        <v>238.894750230705</v>
      </c>
      <c r="I142" s="63" t="n">
        <v>443.771916435962</v>
      </c>
      <c r="J142" s="64" t="n">
        <v>0.120802004907404</v>
      </c>
      <c r="L142" s="58" t="n">
        <v>277</v>
      </c>
      <c r="M142" s="0" t="n">
        <v>284</v>
      </c>
      <c r="N142" s="59" t="n">
        <v>257</v>
      </c>
      <c r="O142" s="59" t="n">
        <f aca="false">IF(A142="","",IF(L142="","",A142-L142))</f>
        <v>14</v>
      </c>
      <c r="P142" s="59" t="n">
        <f aca="false">IF(B142="","",IF(M142="","",B142-M142))</f>
        <v>57</v>
      </c>
      <c r="Q142" s="59" t="n">
        <f aca="false">IF(C142="","",IF(N142="","",C142-N142))</f>
        <v>135</v>
      </c>
      <c r="R142" s="65" t="n">
        <v>273</v>
      </c>
      <c r="S142" s="66" t="n">
        <v>130.888888888889</v>
      </c>
      <c r="T142" s="63" t="n">
        <v>11.4406682011537</v>
      </c>
      <c r="U142" s="63" t="n">
        <v>28.4224891408716</v>
      </c>
      <c r="V142" s="63" t="n">
        <v>244</v>
      </c>
      <c r="W142" s="63" t="n">
        <v>301</v>
      </c>
      <c r="X142" s="87" t="n">
        <f aca="false">IF(D142="","",IF(V142="","",(V142-D142)/D142))</f>
        <v>-0.285156249999999</v>
      </c>
      <c r="Y142" s="87" t="n">
        <f aca="false">IF(D142="","",IF(W142="","",(W142-D142)/D142))</f>
        <v>-0.118164062499999</v>
      </c>
      <c r="Z142" s="87" t="n">
        <v>0.0419584408355269</v>
      </c>
      <c r="AA142" s="87" t="n">
        <f aca="false">IF(D142="","",IF(R142="","",(R142-D142)/D142))</f>
        <v>-0.200195312499999</v>
      </c>
      <c r="AB142" s="64" t="n">
        <f aca="false">IF(NOT(AA142=""),ABS(AA142),"")</f>
        <v>0.200195312499999</v>
      </c>
      <c r="AD142" s="65" t="n">
        <v>324.5</v>
      </c>
      <c r="AE142" s="66" t="n">
        <v>56.25</v>
      </c>
      <c r="AF142" s="63" t="n">
        <v>7.5</v>
      </c>
      <c r="AG142" s="63" t="n">
        <v>67.383740713172</v>
      </c>
      <c r="AH142" s="63" t="n">
        <v>257.116259286828</v>
      </c>
      <c r="AI142" s="63" t="n">
        <v>391.883740713172</v>
      </c>
      <c r="AJ142" s="87" t="n">
        <f aca="false">IF(D142="","",IF(AH142="","",(AH142-D142)/D142))</f>
        <v>-0.24672970912062</v>
      </c>
      <c r="AK142" s="87" t="n">
        <f aca="false">IF(D142="","",IF(AI142="","",(AI142-D142)/D142))</f>
        <v>0.148096896620622</v>
      </c>
      <c r="AL142" s="87" t="n">
        <v>0.0231124807395994</v>
      </c>
      <c r="AM142" s="87" t="n">
        <f aca="false">IF(D142="","",IF(AD142="","",(AD142-D142)/D142))</f>
        <v>-0.049316406249999</v>
      </c>
      <c r="AN142" s="64" t="n">
        <f aca="false">IF(NOT(AM142=""),ABS(AM142),"")</f>
        <v>0.049316406249999</v>
      </c>
      <c r="AP142" s="65" t="n">
        <v>349</v>
      </c>
      <c r="AQ142" s="66" t="n">
        <v>484</v>
      </c>
      <c r="AR142" s="63" t="n">
        <v>22</v>
      </c>
      <c r="AS142" s="63" t="n">
        <v>197.658972758638</v>
      </c>
      <c r="AT142" s="63" t="n">
        <v>151.341027241362</v>
      </c>
      <c r="AU142" s="63" t="n">
        <v>546.658972758638</v>
      </c>
      <c r="AV142" s="87" t="n">
        <f aca="false">IF(D142="","",IF(AT142="","",(AT142-D142)/D142))</f>
        <v>-0.556618084253822</v>
      </c>
      <c r="AW142" s="87" t="n">
        <f aca="false">IF(D142="","",IF(AU142="","",(AU142-D142)/D142))</f>
        <v>0.601539959253824</v>
      </c>
      <c r="AX142" s="87" t="n">
        <v>0.0630372492836676</v>
      </c>
      <c r="AY142" s="45" t="n">
        <f aca="false">IF(D142="","",IF(AP142="","",(AP142-D142)/D142))</f>
        <v>0.0224609375000011</v>
      </c>
      <c r="AZ142" s="64" t="n">
        <f aca="false">IF(NOT(AY142=""),ABS(AY142),"")</f>
        <v>0.0224609375000011</v>
      </c>
    </row>
    <row r="143" customFormat="false" ht="12.8" hidden="false" customHeight="false" outlineLevel="0" collapsed="false">
      <c r="A143" s="56"/>
      <c r="B143" s="25"/>
      <c r="C143" s="57"/>
      <c r="D143" s="65"/>
      <c r="E143" s="66"/>
      <c r="F143" s="63"/>
      <c r="G143" s="63"/>
      <c r="H143" s="63"/>
      <c r="I143" s="63"/>
      <c r="J143" s="64"/>
      <c r="L143" s="58"/>
      <c r="N143" s="59"/>
      <c r="O143" s="59" t="str">
        <f aca="false">IF(A143="","",IF(L143="","",A143-L143))</f>
        <v/>
      </c>
      <c r="P143" s="59" t="str">
        <f aca="false">IF(B143="","",IF(M143="","",B143-M143))</f>
        <v/>
      </c>
      <c r="Q143" s="59" t="str">
        <f aca="false">IF(C143="","",IF(N143="","",C143-N143))</f>
        <v/>
      </c>
      <c r="R143" s="65" t="str">
        <f aca="false">IF(COUNT(O143:Q143)&gt;0,AVERAGE(O143:Q143),"")</f>
        <v/>
      </c>
      <c r="S143" s="66"/>
      <c r="T143" s="63"/>
      <c r="U143" s="63"/>
      <c r="V143" s="63" t="str">
        <f aca="false">IF(R143="","",R143-U143)</f>
        <v/>
      </c>
      <c r="W143" s="63" t="str">
        <f aca="false">IF(R143="","",R143+U143)</f>
        <v/>
      </c>
      <c r="X143" s="87" t="str">
        <f aca="false">IF(D143="","",IF(V143="","",(V143-D143)/D143))</f>
        <v/>
      </c>
      <c r="Y143" s="87" t="str">
        <f aca="false">IF(D143="","",IF(W143="","",(W143-D143)/D143))</f>
        <v/>
      </c>
      <c r="Z143" s="87"/>
      <c r="AA143" s="87" t="str">
        <f aca="false">IF(D143="","",IF(R143="","",(R143-D143)/D143))</f>
        <v/>
      </c>
      <c r="AB143" s="64" t="str">
        <f aca="false">IF(NOT(AA143=""),ABS(AA143),"")</f>
        <v/>
      </c>
      <c r="AD143" s="65"/>
      <c r="AE143" s="66"/>
      <c r="AF143" s="63"/>
      <c r="AG143" s="63"/>
      <c r="AH143" s="63"/>
      <c r="AI143" s="63"/>
      <c r="AJ143" s="87" t="str">
        <f aca="false">IF(D143="","",IF(AH143="","",(AH143-D143)/D143))</f>
        <v/>
      </c>
      <c r="AK143" s="87" t="str">
        <f aca="false">IF(D143="","",IF(AI143="","",(AI143-D143)/D143))</f>
        <v/>
      </c>
      <c r="AL143" s="87"/>
      <c r="AM143" s="87" t="str">
        <f aca="false">IF(D143="","",IF(AD143="","",(AD143-D143)/D143))</f>
        <v/>
      </c>
      <c r="AN143" s="64" t="str">
        <f aca="false">IF(NOT(AM143=""),ABS(AM143),"")</f>
        <v/>
      </c>
      <c r="AP143" s="65"/>
      <c r="AQ143" s="66"/>
      <c r="AR143" s="63"/>
      <c r="AS143" s="63"/>
      <c r="AT143" s="63"/>
      <c r="AU143" s="63"/>
      <c r="AV143" s="87" t="str">
        <f aca="false">IF(D143="","",IF(AT143="","",(AT143-D143)/D143))</f>
        <v/>
      </c>
      <c r="AW143" s="87" t="str">
        <f aca="false">IF(D143="","",IF(AU143="","",(AU143-D143)/D143))</f>
        <v/>
      </c>
      <c r="AX143" s="87"/>
      <c r="AY143" s="45" t="str">
        <f aca="false">IF(D143="","",IF(AP143="","",(AP143-D143)/D143))</f>
        <v/>
      </c>
      <c r="AZ143" s="64" t="str">
        <f aca="false">IF(NOT(AY143=""),ABS(AY143),"")</f>
        <v/>
      </c>
    </row>
    <row r="144" customFormat="false" ht="12.8" hidden="false" customHeight="false" outlineLevel="0" collapsed="false">
      <c r="A144" s="56"/>
      <c r="B144" s="25"/>
      <c r="C144" s="57"/>
      <c r="D144" s="65"/>
      <c r="E144" s="66"/>
      <c r="F144" s="63"/>
      <c r="G144" s="63"/>
      <c r="H144" s="63"/>
      <c r="I144" s="63"/>
      <c r="J144" s="64"/>
      <c r="L144" s="58"/>
      <c r="N144" s="59"/>
      <c r="O144" s="59" t="str">
        <f aca="false">IF(A144="","",IF(L144="","",A144-L144))</f>
        <v/>
      </c>
      <c r="P144" s="59" t="str">
        <f aca="false">IF(B144="","",IF(M144="","",B144-M144))</f>
        <v/>
      </c>
      <c r="Q144" s="59" t="str">
        <f aca="false">IF(C144="","",IF(N144="","",C144-N144))</f>
        <v/>
      </c>
      <c r="R144" s="65" t="str">
        <f aca="false">IF(COUNT(O144:Q144)&gt;0,AVERAGE(O144:Q144),"")</f>
        <v/>
      </c>
      <c r="S144" s="66"/>
      <c r="T144" s="63"/>
      <c r="U144" s="63"/>
      <c r="V144" s="63" t="str">
        <f aca="false">IF(R144="","",R144-U144)</f>
        <v/>
      </c>
      <c r="W144" s="63" t="str">
        <f aca="false">IF(R144="","",R144+U144)</f>
        <v/>
      </c>
      <c r="X144" s="87" t="str">
        <f aca="false">IF(D144="","",IF(V144="","",(V144-D144)/D144))</f>
        <v/>
      </c>
      <c r="Y144" s="87" t="str">
        <f aca="false">IF(D144="","",IF(W144="","",(W144-D144)/D144))</f>
        <v/>
      </c>
      <c r="Z144" s="87"/>
      <c r="AA144" s="87" t="str">
        <f aca="false">IF(D144="","",IF(R144="","",(R144-D144)/D144))</f>
        <v/>
      </c>
      <c r="AB144" s="64" t="str">
        <f aca="false">IF(NOT(AA144=""),ABS(AA144),"")</f>
        <v/>
      </c>
      <c r="AD144" s="65"/>
      <c r="AE144" s="66"/>
      <c r="AF144" s="63"/>
      <c r="AG144" s="63"/>
      <c r="AH144" s="63"/>
      <c r="AI144" s="63"/>
      <c r="AJ144" s="87" t="str">
        <f aca="false">IF(D144="","",IF(AH144="","",(AH144-D144)/D144))</f>
        <v/>
      </c>
      <c r="AK144" s="87" t="str">
        <f aca="false">IF(D144="","",IF(AI144="","",(AI144-D144)/D144))</f>
        <v/>
      </c>
      <c r="AL144" s="87"/>
      <c r="AM144" s="87" t="str">
        <f aca="false">IF(D144="","",IF(AD144="","",(AD144-D144)/D144))</f>
        <v/>
      </c>
      <c r="AN144" s="64" t="str">
        <f aca="false">IF(NOT(AM144=""),ABS(AM144),"")</f>
        <v/>
      </c>
      <c r="AP144" s="65"/>
      <c r="AQ144" s="66"/>
      <c r="AR144" s="63"/>
      <c r="AS144" s="63"/>
      <c r="AT144" s="63"/>
      <c r="AU144" s="63"/>
      <c r="AV144" s="87" t="str">
        <f aca="false">IF(D144="","",IF(AT144="","",(AT144-D144)/D144))</f>
        <v/>
      </c>
      <c r="AW144" s="87" t="str">
        <f aca="false">IF(D144="","",IF(AU144="","",(AU144-D144)/D144))</f>
        <v/>
      </c>
      <c r="AX144" s="87"/>
      <c r="AY144" s="45" t="str">
        <f aca="false">IF(D144="","",IF(AP144="","",(AP144-D144)/D144))</f>
        <v/>
      </c>
      <c r="AZ144" s="64" t="str">
        <f aca="false">IF(NOT(AY144=""),ABS(AY144),"")</f>
        <v/>
      </c>
    </row>
    <row r="145" customFormat="false" ht="12.8" hidden="false" customHeight="false" outlineLevel="0" collapsed="false">
      <c r="A145" s="56" t="n">
        <v>3090</v>
      </c>
      <c r="B145" s="25"/>
      <c r="C145" s="57" t="n">
        <v>3682</v>
      </c>
      <c r="D145" s="65" t="n">
        <v>3386</v>
      </c>
      <c r="E145" s="66" t="n">
        <v>87616</v>
      </c>
      <c r="F145" s="63" t="n">
        <v>296</v>
      </c>
      <c r="G145" s="63" t="n">
        <v>2659.41163347986</v>
      </c>
      <c r="H145" s="63" t="n">
        <v>726.588366520144</v>
      </c>
      <c r="I145" s="63" t="n">
        <v>6045.41163347986</v>
      </c>
      <c r="J145" s="64" t="n">
        <v>0.0874187832250443</v>
      </c>
      <c r="L145" s="58"/>
      <c r="N145" s="59"/>
      <c r="O145" s="59" t="str">
        <f aca="false">IF(A145="","",IF(L145="","",A145-L145))</f>
        <v/>
      </c>
      <c r="P145" s="59" t="str">
        <f aca="false">IF(B145="","",IF(M145="","",B145-M145))</f>
        <v/>
      </c>
      <c r="Q145" s="59" t="str">
        <f aca="false">IF(C145="","",IF(N145="","",C145-N145))</f>
        <v/>
      </c>
      <c r="R145" s="65" t="str">
        <f aca="false">IF(COUNT(O145:Q145)&gt;0,AVERAGE(O145:Q145),"")</f>
        <v/>
      </c>
      <c r="S145" s="66"/>
      <c r="T145" s="63"/>
      <c r="U145" s="63"/>
      <c r="V145" s="63" t="str">
        <f aca="false">IF(R145="","",R145-U145)</f>
        <v/>
      </c>
      <c r="W145" s="63" t="str">
        <f aca="false">IF(R145="","",R145+U145)</f>
        <v/>
      </c>
      <c r="X145" s="87" t="str">
        <f aca="false">IF(D145="","",IF(V145="","",(V145-D145)/D145))</f>
        <v/>
      </c>
      <c r="Y145" s="87" t="str">
        <f aca="false">IF(D145="","",IF(W145="","",(W145-D145)/D145))</f>
        <v/>
      </c>
      <c r="Z145" s="87"/>
      <c r="AA145" s="87" t="str">
        <f aca="false">IF(D145="","",IF(R145="","",(R145-D145)/D145))</f>
        <v/>
      </c>
      <c r="AB145" s="64" t="str">
        <f aca="false">IF(NOT(AA145=""),ABS(AA145),"")</f>
        <v/>
      </c>
      <c r="AD145" s="65"/>
      <c r="AE145" s="66"/>
      <c r="AF145" s="63"/>
      <c r="AG145" s="63"/>
      <c r="AH145" s="63"/>
      <c r="AI145" s="63"/>
      <c r="AJ145" s="87" t="str">
        <f aca="false">IF(D145="","",IF(AH145="","",(AH145-D145)/D145))</f>
        <v/>
      </c>
      <c r="AK145" s="87" t="str">
        <f aca="false">IF(D145="","",IF(AI145="","",(AI145-D145)/D145))</f>
        <v/>
      </c>
      <c r="AL145" s="87"/>
      <c r="AM145" s="87" t="str">
        <f aca="false">IF(D145="","",IF(AD145="","",(AD145-D145)/D145))</f>
        <v/>
      </c>
      <c r="AN145" s="64" t="str">
        <f aca="false">IF(NOT(AM145=""),ABS(AM145),"")</f>
        <v/>
      </c>
      <c r="AP145" s="65"/>
      <c r="AQ145" s="66"/>
      <c r="AR145" s="63"/>
      <c r="AS145" s="63"/>
      <c r="AT145" s="63"/>
      <c r="AU145" s="63"/>
      <c r="AV145" s="87" t="str">
        <f aca="false">IF(D145="","",IF(AT145="","",(AT145-D145)/D145))</f>
        <v/>
      </c>
      <c r="AW145" s="87" t="str">
        <f aca="false">IF(D145="","",IF(AU145="","",(AU145-D145)/D145))</f>
        <v/>
      </c>
      <c r="AX145" s="87"/>
      <c r="AY145" s="45" t="str">
        <f aca="false">IF(D145="","",IF(AP145="","",(AP145-D145)/D145))</f>
        <v/>
      </c>
      <c r="AZ145" s="64" t="str">
        <f aca="false">IF(NOT(AY145=""),ABS(AY145),"")</f>
        <v/>
      </c>
    </row>
    <row r="146" customFormat="false" ht="12.8" hidden="false" customHeight="false" outlineLevel="0" collapsed="false">
      <c r="A146" s="56" t="n">
        <v>2172</v>
      </c>
      <c r="B146" s="25"/>
      <c r="C146" s="57" t="n">
        <v>2275</v>
      </c>
      <c r="D146" s="65" t="n">
        <v>2223.5</v>
      </c>
      <c r="E146" s="66" t="n">
        <v>2652.25</v>
      </c>
      <c r="F146" s="63" t="n">
        <v>51.5</v>
      </c>
      <c r="G146" s="63" t="n">
        <v>462.701686230448</v>
      </c>
      <c r="H146" s="63" t="n">
        <v>1760.79831376955</v>
      </c>
      <c r="I146" s="63" t="n">
        <v>2686.20168623045</v>
      </c>
      <c r="J146" s="64" t="n">
        <v>0.0231616820328311</v>
      </c>
      <c r="L146" s="58"/>
      <c r="N146" s="59"/>
      <c r="O146" s="59" t="str">
        <f aca="false">IF(A146="","",IF(L146="","",A146-L146))</f>
        <v/>
      </c>
      <c r="P146" s="59" t="str">
        <f aca="false">IF(B146="","",IF(M146="","",B146-M146))</f>
        <v/>
      </c>
      <c r="Q146" s="59" t="str">
        <f aca="false">IF(C146="","",IF(N146="","",C146-N146))</f>
        <v/>
      </c>
      <c r="R146" s="65" t="str">
        <f aca="false">IF(COUNT(O146:Q146)&gt;0,AVERAGE(O146:Q146),"")</f>
        <v/>
      </c>
      <c r="S146" s="66"/>
      <c r="T146" s="63"/>
      <c r="U146" s="63"/>
      <c r="V146" s="63" t="str">
        <f aca="false">IF(R146="","",R146-U146)</f>
        <v/>
      </c>
      <c r="W146" s="63" t="str">
        <f aca="false">IF(R146="","",R146+U146)</f>
        <v/>
      </c>
      <c r="X146" s="87" t="str">
        <f aca="false">IF(D146="","",IF(V146="","",(V146-D146)/D146))</f>
        <v/>
      </c>
      <c r="Y146" s="87" t="str">
        <f aca="false">IF(D146="","",IF(W146="","",(W146-D146)/D146))</f>
        <v/>
      </c>
      <c r="Z146" s="87"/>
      <c r="AA146" s="87" t="str">
        <f aca="false">IF(D146="","",IF(R146="","",(R146-D146)/D146))</f>
        <v/>
      </c>
      <c r="AB146" s="64" t="str">
        <f aca="false">IF(NOT(AA146=""),ABS(AA146),"")</f>
        <v/>
      </c>
      <c r="AD146" s="65"/>
      <c r="AE146" s="66"/>
      <c r="AF146" s="63"/>
      <c r="AG146" s="63"/>
      <c r="AH146" s="63"/>
      <c r="AI146" s="63"/>
      <c r="AJ146" s="87" t="str">
        <f aca="false">IF(D146="","",IF(AH146="","",(AH146-D146)/D146))</f>
        <v/>
      </c>
      <c r="AK146" s="87" t="str">
        <f aca="false">IF(D146="","",IF(AI146="","",(AI146-D146)/D146))</f>
        <v/>
      </c>
      <c r="AL146" s="87"/>
      <c r="AM146" s="87" t="str">
        <f aca="false">IF(D146="","",IF(AD146="","",(AD146-D146)/D146))</f>
        <v/>
      </c>
      <c r="AN146" s="64" t="str">
        <f aca="false">IF(NOT(AM146=""),ABS(AM146),"")</f>
        <v/>
      </c>
      <c r="AP146" s="65"/>
      <c r="AQ146" s="66"/>
      <c r="AR146" s="63"/>
      <c r="AS146" s="63"/>
      <c r="AT146" s="63"/>
      <c r="AU146" s="63"/>
      <c r="AV146" s="87" t="str">
        <f aca="false">IF(D146="","",IF(AT146="","",(AT146-D146)/D146))</f>
        <v/>
      </c>
      <c r="AW146" s="87" t="str">
        <f aca="false">IF(D146="","",IF(AU146="","",(AU146-D146)/D146))</f>
        <v/>
      </c>
      <c r="AX146" s="87"/>
      <c r="AY146" s="45" t="str">
        <f aca="false">IF(D146="","",IF(AP146="","",(AP146-D146)/D146))</f>
        <v/>
      </c>
      <c r="AZ146" s="64" t="str">
        <f aca="false">IF(NOT(AY146=""),ABS(AY146),"")</f>
        <v/>
      </c>
    </row>
    <row r="147" customFormat="false" ht="12.8" hidden="false" customHeight="false" outlineLevel="0" collapsed="false">
      <c r="A147" s="56" t="n">
        <v>2233</v>
      </c>
      <c r="B147" s="25" t="n">
        <v>1975</v>
      </c>
      <c r="C147" s="57" t="n">
        <v>1577</v>
      </c>
      <c r="D147" s="65" t="n">
        <v>1905</v>
      </c>
      <c r="E147" s="66" t="n">
        <v>107584</v>
      </c>
      <c r="F147" s="63" t="n">
        <v>328</v>
      </c>
      <c r="G147" s="63" t="n">
        <v>2946.91559385606</v>
      </c>
      <c r="H147" s="63" t="n">
        <v>-1041.91559385606</v>
      </c>
      <c r="I147" s="63" t="n">
        <v>4851.91559385606</v>
      </c>
      <c r="J147" s="64" t="n">
        <v>0.172178477690289</v>
      </c>
      <c r="L147" s="58"/>
      <c r="N147" s="59"/>
      <c r="O147" s="59" t="str">
        <f aca="false">IF(A147="","",IF(L147="","",A147-L147))</f>
        <v/>
      </c>
      <c r="P147" s="59" t="str">
        <f aca="false">IF(B147="","",IF(M147="","",B147-M147))</f>
        <v/>
      </c>
      <c r="Q147" s="59" t="str">
        <f aca="false">IF(C147="","",IF(N147="","",C147-N147))</f>
        <v/>
      </c>
      <c r="R147" s="65" t="str">
        <f aca="false">IF(COUNT(O147:Q147)&gt;0,AVERAGE(O147:Q147),"")</f>
        <v/>
      </c>
      <c r="S147" s="66"/>
      <c r="T147" s="63"/>
      <c r="U147" s="63"/>
      <c r="V147" s="63" t="str">
        <f aca="false">IF(R147="","",R147-U147)</f>
        <v/>
      </c>
      <c r="W147" s="63" t="str">
        <f aca="false">IF(R147="","",R147+U147)</f>
        <v/>
      </c>
      <c r="X147" s="87" t="str">
        <f aca="false">IF(D147="","",IF(V147="","",(V147-D147)/D147))</f>
        <v/>
      </c>
      <c r="Y147" s="87" t="str">
        <f aca="false">IF(D147="","",IF(W147="","",(W147-D147)/D147))</f>
        <v/>
      </c>
      <c r="Z147" s="87"/>
      <c r="AA147" s="87" t="str">
        <f aca="false">IF(D147="","",IF(R147="","",(R147-D147)/D147))</f>
        <v/>
      </c>
      <c r="AB147" s="64" t="str">
        <f aca="false">IF(NOT(AA147=""),ABS(AA147),"")</f>
        <v/>
      </c>
      <c r="AD147" s="65"/>
      <c r="AE147" s="66"/>
      <c r="AF147" s="63"/>
      <c r="AG147" s="63"/>
      <c r="AH147" s="63"/>
      <c r="AI147" s="63"/>
      <c r="AJ147" s="87" t="str">
        <f aca="false">IF(D147="","",IF(AH147="","",(AH147-D147)/D147))</f>
        <v/>
      </c>
      <c r="AK147" s="87" t="str">
        <f aca="false">IF(D147="","",IF(AI147="","",(AI147-D147)/D147))</f>
        <v/>
      </c>
      <c r="AL147" s="87"/>
      <c r="AM147" s="87" t="str">
        <f aca="false">IF(D147="","",IF(AD147="","",(AD147-D147)/D147))</f>
        <v/>
      </c>
      <c r="AN147" s="64" t="str">
        <f aca="false">IF(NOT(AM147=""),ABS(AM147),"")</f>
        <v/>
      </c>
      <c r="AP147" s="65"/>
      <c r="AQ147" s="66"/>
      <c r="AR147" s="63"/>
      <c r="AS147" s="63"/>
      <c r="AT147" s="63"/>
      <c r="AU147" s="63"/>
      <c r="AV147" s="87" t="str">
        <f aca="false">IF(D147="","",IF(AT147="","",(AT147-D147)/D147))</f>
        <v/>
      </c>
      <c r="AW147" s="87" t="str">
        <f aca="false">IF(D147="","",IF(AU147="","",(AU147-D147)/D147))</f>
        <v/>
      </c>
      <c r="AX147" s="87"/>
      <c r="AY147" s="45" t="str">
        <f aca="false">IF(D147="","",IF(AP147="","",(AP147-D147)/D147))</f>
        <v/>
      </c>
      <c r="AZ147" s="64" t="str">
        <f aca="false">IF(NOT(AY147=""),ABS(AY147),"")</f>
        <v/>
      </c>
    </row>
    <row r="148" customFormat="false" ht="12.8" hidden="false" customHeight="false" outlineLevel="0" collapsed="false">
      <c r="A148" s="56" t="n">
        <v>1339</v>
      </c>
      <c r="B148" s="25" t="n">
        <v>1151</v>
      </c>
      <c r="C148" s="57" t="n">
        <v>1576</v>
      </c>
      <c r="D148" s="65" t="n">
        <v>1457.5</v>
      </c>
      <c r="E148" s="66" t="n">
        <v>14042.25</v>
      </c>
      <c r="F148" s="63" t="n">
        <v>118.5</v>
      </c>
      <c r="G148" s="63" t="n">
        <v>1064.66310326812</v>
      </c>
      <c r="H148" s="63" t="n">
        <v>392.836896731882</v>
      </c>
      <c r="I148" s="63" t="n">
        <v>2522.16310326812</v>
      </c>
      <c r="J148" s="64" t="n">
        <v>0.081303602058319</v>
      </c>
      <c r="L148" s="58"/>
      <c r="N148" s="59"/>
      <c r="O148" s="59" t="str">
        <f aca="false">IF(A148="","",IF(L148="","",A148-L148))</f>
        <v/>
      </c>
      <c r="P148" s="59" t="str">
        <f aca="false">IF(B148="","",IF(M148="","",B148-M148))</f>
        <v/>
      </c>
      <c r="Q148" s="59" t="str">
        <f aca="false">IF(C148="","",IF(N148="","",C148-N148))</f>
        <v/>
      </c>
      <c r="R148" s="65" t="str">
        <f aca="false">IF(COUNT(O148:Q148)&gt;0,AVERAGE(O148:Q148),"")</f>
        <v/>
      </c>
      <c r="S148" s="66"/>
      <c r="T148" s="63"/>
      <c r="U148" s="63"/>
      <c r="V148" s="63" t="str">
        <f aca="false">IF(R148="","",R148-U148)</f>
        <v/>
      </c>
      <c r="W148" s="63" t="str">
        <f aca="false">IF(R148="","",R148+U148)</f>
        <v/>
      </c>
      <c r="X148" s="87" t="str">
        <f aca="false">IF(D148="","",IF(V148="","",(V148-D148)/D148))</f>
        <v/>
      </c>
      <c r="Y148" s="87" t="str">
        <f aca="false">IF(D148="","",IF(W148="","",(W148-D148)/D148))</f>
        <v/>
      </c>
      <c r="Z148" s="87"/>
      <c r="AA148" s="87" t="str">
        <f aca="false">IF(D148="","",IF(R148="","",(R148-D148)/D148))</f>
        <v/>
      </c>
      <c r="AB148" s="64" t="str">
        <f aca="false">IF(NOT(AA148=""),ABS(AA148),"")</f>
        <v/>
      </c>
      <c r="AD148" s="65"/>
      <c r="AE148" s="66"/>
      <c r="AF148" s="63"/>
      <c r="AG148" s="63"/>
      <c r="AH148" s="63"/>
      <c r="AI148" s="63"/>
      <c r="AJ148" s="87" t="str">
        <f aca="false">IF(D148="","",IF(AH148="","",(AH148-D148)/D148))</f>
        <v/>
      </c>
      <c r="AK148" s="87" t="str">
        <f aca="false">IF(D148="","",IF(AI148="","",(AI148-D148)/D148))</f>
        <v/>
      </c>
      <c r="AL148" s="87"/>
      <c r="AM148" s="87" t="str">
        <f aca="false">IF(D148="","",IF(AD148="","",(AD148-D148)/D148))</f>
        <v/>
      </c>
      <c r="AN148" s="64" t="str">
        <f aca="false">IF(NOT(AM148=""),ABS(AM148),"")</f>
        <v/>
      </c>
      <c r="AP148" s="65"/>
      <c r="AQ148" s="66"/>
      <c r="AR148" s="63"/>
      <c r="AS148" s="63"/>
      <c r="AT148" s="63"/>
      <c r="AU148" s="63"/>
      <c r="AV148" s="87" t="str">
        <f aca="false">IF(D148="","",IF(AT148="","",(AT148-D148)/D148))</f>
        <v/>
      </c>
      <c r="AW148" s="87" t="str">
        <f aca="false">IF(D148="","",IF(AU148="","",(AU148-D148)/D148))</f>
        <v/>
      </c>
      <c r="AX148" s="87"/>
      <c r="AY148" s="45" t="str">
        <f aca="false">IF(D148="","",IF(AP148="","",(AP148-D148)/D148))</f>
        <v/>
      </c>
      <c r="AZ148" s="64" t="str">
        <f aca="false">IF(NOT(AY148=""),ABS(AY148),"")</f>
        <v/>
      </c>
    </row>
    <row r="149" customFormat="false" ht="12.8" hidden="false" customHeight="false" outlineLevel="0" collapsed="false">
      <c r="A149" s="56" t="n">
        <v>1136</v>
      </c>
      <c r="B149" s="25" t="n">
        <v>998</v>
      </c>
      <c r="C149" s="57" t="n">
        <v>1028</v>
      </c>
      <c r="D149" s="65" t="n">
        <v>1082</v>
      </c>
      <c r="E149" s="66" t="n">
        <v>2916</v>
      </c>
      <c r="F149" s="63" t="n">
        <v>54</v>
      </c>
      <c r="G149" s="63" t="n">
        <v>485.162933134839</v>
      </c>
      <c r="H149" s="63" t="n">
        <v>596.837066865161</v>
      </c>
      <c r="I149" s="63" t="n">
        <v>1567.16293313484</v>
      </c>
      <c r="J149" s="64" t="n">
        <v>0.0499075785582255</v>
      </c>
      <c r="L149" s="58"/>
      <c r="N149" s="59"/>
      <c r="O149" s="59" t="str">
        <f aca="false">IF(A149="","",IF(L149="","",A149-L149))</f>
        <v/>
      </c>
      <c r="P149" s="59" t="str">
        <f aca="false">IF(B149="","",IF(M149="","",B149-M149))</f>
        <v/>
      </c>
      <c r="Q149" s="59" t="str">
        <f aca="false">IF(C149="","",IF(N149="","",C149-N149))</f>
        <v/>
      </c>
      <c r="R149" s="65" t="str">
        <f aca="false">IF(COUNT(O149:Q149)&gt;0,AVERAGE(O149:Q149),"")</f>
        <v/>
      </c>
      <c r="S149" s="66"/>
      <c r="T149" s="63"/>
      <c r="U149" s="63"/>
      <c r="V149" s="63" t="str">
        <f aca="false">IF(R149="","",R149-U149)</f>
        <v/>
      </c>
      <c r="W149" s="63" t="str">
        <f aca="false">IF(R149="","",R149+U149)</f>
        <v/>
      </c>
      <c r="X149" s="87" t="str">
        <f aca="false">IF(D149="","",IF(V149="","",(V149-D149)/D149))</f>
        <v/>
      </c>
      <c r="Y149" s="87" t="str">
        <f aca="false">IF(D149="","",IF(W149="","",(W149-D149)/D149))</f>
        <v/>
      </c>
      <c r="Z149" s="87"/>
      <c r="AA149" s="87" t="str">
        <f aca="false">IF(D149="","",IF(R149="","",(R149-D149)/D149))</f>
        <v/>
      </c>
      <c r="AB149" s="64" t="str">
        <f aca="false">IF(NOT(AA149=""),ABS(AA149),"")</f>
        <v/>
      </c>
      <c r="AD149" s="65"/>
      <c r="AE149" s="66"/>
      <c r="AF149" s="63"/>
      <c r="AG149" s="63"/>
      <c r="AH149" s="63"/>
      <c r="AI149" s="63"/>
      <c r="AJ149" s="87" t="str">
        <f aca="false">IF(D149="","",IF(AH149="","",(AH149-D149)/D149))</f>
        <v/>
      </c>
      <c r="AK149" s="87" t="str">
        <f aca="false">IF(D149="","",IF(AI149="","",(AI149-D149)/D149))</f>
        <v/>
      </c>
      <c r="AL149" s="87"/>
      <c r="AM149" s="87" t="str">
        <f aca="false">IF(D149="","",IF(AD149="","",(AD149-D149)/D149))</f>
        <v/>
      </c>
      <c r="AN149" s="64" t="str">
        <f aca="false">IF(NOT(AM149=""),ABS(AM149),"")</f>
        <v/>
      </c>
      <c r="AP149" s="65"/>
      <c r="AQ149" s="66"/>
      <c r="AR149" s="63"/>
      <c r="AS149" s="63"/>
      <c r="AT149" s="63"/>
      <c r="AU149" s="63"/>
      <c r="AV149" s="87" t="str">
        <f aca="false">IF(D149="","",IF(AT149="","",(AT149-D149)/D149))</f>
        <v/>
      </c>
      <c r="AW149" s="87" t="str">
        <f aca="false">IF(D149="","",IF(AU149="","",(AU149-D149)/D149))</f>
        <v/>
      </c>
      <c r="AX149" s="87"/>
      <c r="AY149" s="45" t="str">
        <f aca="false">IF(D149="","",IF(AP149="","",(AP149-D149)/D149))</f>
        <v/>
      </c>
      <c r="AZ149" s="64" t="str">
        <f aca="false">IF(NOT(AY149=""),ABS(AY149),"")</f>
        <v/>
      </c>
    </row>
    <row r="150" customFormat="false" ht="12.8" hidden="false" customHeight="false" outlineLevel="0" collapsed="false">
      <c r="A150" s="56" t="n">
        <v>831</v>
      </c>
      <c r="B150" s="25" t="n">
        <v>806</v>
      </c>
      <c r="C150" s="57" t="n">
        <v>818</v>
      </c>
      <c r="D150" s="65" t="n">
        <v>824.5</v>
      </c>
      <c r="E150" s="66" t="n">
        <v>42.25</v>
      </c>
      <c r="F150" s="63" t="n">
        <v>6.5</v>
      </c>
      <c r="G150" s="63" t="n">
        <v>58.3992419514158</v>
      </c>
      <c r="H150" s="63" t="n">
        <v>766.100758048584</v>
      </c>
      <c r="I150" s="63" t="n">
        <v>882.899241951416</v>
      </c>
      <c r="J150" s="64" t="n">
        <v>0.007883565797453</v>
      </c>
      <c r="L150" s="58"/>
      <c r="N150" s="59"/>
      <c r="O150" s="59" t="str">
        <f aca="false">IF(A150="","",IF(L150="","",A150-L150))</f>
        <v/>
      </c>
      <c r="P150" s="59" t="str">
        <f aca="false">IF(B150="","",IF(M150="","",B150-M150))</f>
        <v/>
      </c>
      <c r="Q150" s="59" t="str">
        <f aca="false">IF(C150="","",IF(N150="","",C150-N150))</f>
        <v/>
      </c>
      <c r="R150" s="65" t="str">
        <f aca="false">IF(COUNT(O150:Q150)&gt;0,AVERAGE(O150:Q150),"")</f>
        <v/>
      </c>
      <c r="S150" s="66"/>
      <c r="T150" s="63"/>
      <c r="U150" s="63"/>
      <c r="V150" s="63" t="str">
        <f aca="false">IF(R150="","",R150-U150)</f>
        <v/>
      </c>
      <c r="W150" s="63" t="str">
        <f aca="false">IF(R150="","",R150+U150)</f>
        <v/>
      </c>
      <c r="X150" s="87" t="str">
        <f aca="false">IF(D150="","",IF(V150="","",(V150-D150)/D150))</f>
        <v/>
      </c>
      <c r="Y150" s="87" t="str">
        <f aca="false">IF(D150="","",IF(W150="","",(W150-D150)/D150))</f>
        <v/>
      </c>
      <c r="Z150" s="87"/>
      <c r="AA150" s="87" t="str">
        <f aca="false">IF(D150="","",IF(R150="","",(R150-D150)/D150))</f>
        <v/>
      </c>
      <c r="AB150" s="64" t="str">
        <f aca="false">IF(NOT(AA150=""),ABS(AA150),"")</f>
        <v/>
      </c>
      <c r="AD150" s="65"/>
      <c r="AE150" s="66"/>
      <c r="AF150" s="63"/>
      <c r="AG150" s="63"/>
      <c r="AH150" s="63"/>
      <c r="AI150" s="63"/>
      <c r="AJ150" s="87" t="str">
        <f aca="false">IF(D150="","",IF(AH150="","",(AH150-D150)/D150))</f>
        <v/>
      </c>
      <c r="AK150" s="87" t="str">
        <f aca="false">IF(D150="","",IF(AI150="","",(AI150-D150)/D150))</f>
        <v/>
      </c>
      <c r="AL150" s="87"/>
      <c r="AM150" s="87" t="str">
        <f aca="false">IF(D150="","",IF(AD150="","",(AD150-D150)/D150))</f>
        <v/>
      </c>
      <c r="AN150" s="64" t="str">
        <f aca="false">IF(NOT(AM150=""),ABS(AM150),"")</f>
        <v/>
      </c>
      <c r="AP150" s="65"/>
      <c r="AQ150" s="66"/>
      <c r="AR150" s="63"/>
      <c r="AS150" s="63"/>
      <c r="AT150" s="63"/>
      <c r="AU150" s="63"/>
      <c r="AV150" s="87" t="str">
        <f aca="false">IF(D150="","",IF(AT150="","",(AT150-D150)/D150))</f>
        <v/>
      </c>
      <c r="AW150" s="87" t="str">
        <f aca="false">IF(D150="","",IF(AU150="","",(AU150-D150)/D150))</f>
        <v/>
      </c>
      <c r="AX150" s="87"/>
      <c r="AY150" s="45" t="str">
        <f aca="false">IF(D150="","",IF(AP150="","",(AP150-D150)/D150))</f>
        <v/>
      </c>
      <c r="AZ150" s="64" t="str">
        <f aca="false">IF(NOT(AY150=""),ABS(AY150),"")</f>
        <v/>
      </c>
    </row>
    <row r="151" customFormat="false" ht="12.8" hidden="false" customHeight="false" outlineLevel="0" collapsed="false">
      <c r="A151" s="56" t="n">
        <v>826</v>
      </c>
      <c r="B151" s="25" t="n">
        <v>682</v>
      </c>
      <c r="C151" s="57" t="n">
        <v>656</v>
      </c>
      <c r="D151" s="65" t="n">
        <v>741</v>
      </c>
      <c r="E151" s="66" t="n">
        <v>7225</v>
      </c>
      <c r="F151" s="63" t="n">
        <v>85</v>
      </c>
      <c r="G151" s="63" t="n">
        <v>763.682394749283</v>
      </c>
      <c r="H151" s="63" t="n">
        <v>-22.6823947492831</v>
      </c>
      <c r="I151" s="63" t="n">
        <v>1504.68239474928</v>
      </c>
      <c r="J151" s="64" t="n">
        <v>0.114709851551957</v>
      </c>
      <c r="L151" s="58"/>
      <c r="N151" s="59"/>
      <c r="O151" s="59" t="str">
        <f aca="false">IF(A151="","",IF(L151="","",A151-L151))</f>
        <v/>
      </c>
      <c r="P151" s="59" t="str">
        <f aca="false">IF(B151="","",IF(M151="","",B151-M151))</f>
        <v/>
      </c>
      <c r="Q151" s="59" t="str">
        <f aca="false">IF(C151="","",IF(N151="","",C151-N151))</f>
        <v/>
      </c>
      <c r="R151" s="65" t="str">
        <f aca="false">IF(COUNT(O151:Q151)&gt;0,AVERAGE(O151:Q151),"")</f>
        <v/>
      </c>
      <c r="S151" s="66"/>
      <c r="T151" s="63"/>
      <c r="U151" s="63"/>
      <c r="V151" s="63" t="str">
        <f aca="false">IF(R151="","",R151-U151)</f>
        <v/>
      </c>
      <c r="W151" s="63" t="str">
        <f aca="false">IF(R151="","",R151+U151)</f>
        <v/>
      </c>
      <c r="X151" s="87" t="str">
        <f aca="false">IF(D151="","",IF(V151="","",(V151-D151)/D151))</f>
        <v/>
      </c>
      <c r="Y151" s="87" t="str">
        <f aca="false">IF(D151="","",IF(W151="","",(W151-D151)/D151))</f>
        <v/>
      </c>
      <c r="Z151" s="87"/>
      <c r="AA151" s="87" t="str">
        <f aca="false">IF(D151="","",IF(R151="","",(R151-D151)/D151))</f>
        <v/>
      </c>
      <c r="AB151" s="64" t="str">
        <f aca="false">IF(NOT(AA151=""),ABS(AA151),"")</f>
        <v/>
      </c>
      <c r="AD151" s="65"/>
      <c r="AE151" s="66"/>
      <c r="AF151" s="63"/>
      <c r="AG151" s="63"/>
      <c r="AH151" s="63"/>
      <c r="AI151" s="63"/>
      <c r="AJ151" s="87" t="str">
        <f aca="false">IF(D151="","",IF(AH151="","",(AH151-D151)/D151))</f>
        <v/>
      </c>
      <c r="AK151" s="87" t="str">
        <f aca="false">IF(D151="","",IF(AI151="","",(AI151-D151)/D151))</f>
        <v/>
      </c>
      <c r="AL151" s="87"/>
      <c r="AM151" s="87" t="str">
        <f aca="false">IF(D151="","",IF(AD151="","",(AD151-D151)/D151))</f>
        <v/>
      </c>
      <c r="AN151" s="64" t="str">
        <f aca="false">IF(NOT(AM151=""),ABS(AM151),"")</f>
        <v/>
      </c>
      <c r="AP151" s="65"/>
      <c r="AQ151" s="66"/>
      <c r="AR151" s="63"/>
      <c r="AS151" s="63"/>
      <c r="AT151" s="63"/>
      <c r="AU151" s="63"/>
      <c r="AV151" s="87" t="str">
        <f aca="false">IF(D151="","",IF(AT151="","",(AT151-D151)/D151))</f>
        <v/>
      </c>
      <c r="AW151" s="87" t="str">
        <f aca="false">IF(D151="","",IF(AU151="","",(AU151-D151)/D151))</f>
        <v/>
      </c>
      <c r="AX151" s="87"/>
      <c r="AY151" s="45" t="str">
        <f aca="false">IF(D151="","",IF(AP151="","",(AP151-D151)/D151))</f>
        <v/>
      </c>
      <c r="AZ151" s="64" t="str">
        <f aca="false">IF(NOT(AY151=""),ABS(AY151),"")</f>
        <v/>
      </c>
    </row>
    <row r="152" customFormat="false" ht="12.8" hidden="false" customHeight="false" outlineLevel="0" collapsed="false">
      <c r="A152" s="56" t="n">
        <v>602</v>
      </c>
      <c r="B152" s="25" t="n">
        <v>583</v>
      </c>
      <c r="C152" s="57" t="n">
        <v>520</v>
      </c>
      <c r="D152" s="65" t="n">
        <v>561</v>
      </c>
      <c r="E152" s="66" t="n">
        <v>1681</v>
      </c>
      <c r="F152" s="63" t="n">
        <v>41</v>
      </c>
      <c r="G152" s="63" t="n">
        <v>368.364449232007</v>
      </c>
      <c r="H152" s="63" t="n">
        <v>192.635550767993</v>
      </c>
      <c r="I152" s="63" t="n">
        <v>929.364449232007</v>
      </c>
      <c r="J152" s="64" t="n">
        <v>0.0730837789661319</v>
      </c>
      <c r="L152" s="58"/>
      <c r="N152" s="59"/>
      <c r="O152" s="59" t="str">
        <f aca="false">IF(A152="","",IF(L152="","",A152-L152))</f>
        <v/>
      </c>
      <c r="P152" s="59" t="str">
        <f aca="false">IF(B152="","",IF(M152="","",B152-M152))</f>
        <v/>
      </c>
      <c r="Q152" s="59" t="str">
        <f aca="false">IF(C152="","",IF(N152="","",C152-N152))</f>
        <v/>
      </c>
      <c r="R152" s="65" t="str">
        <f aca="false">IF(COUNT(O152:Q152)&gt;0,AVERAGE(O152:Q152),"")</f>
        <v/>
      </c>
      <c r="S152" s="66"/>
      <c r="T152" s="63"/>
      <c r="U152" s="63"/>
      <c r="V152" s="63" t="str">
        <f aca="false">IF(R152="","",R152-U152)</f>
        <v/>
      </c>
      <c r="W152" s="63" t="str">
        <f aca="false">IF(R152="","",R152+U152)</f>
        <v/>
      </c>
      <c r="X152" s="87" t="str">
        <f aca="false">IF(D152="","",IF(V152="","",(V152-D152)/D152))</f>
        <v/>
      </c>
      <c r="Y152" s="87" t="str">
        <f aca="false">IF(D152="","",IF(W152="","",(W152-D152)/D152))</f>
        <v/>
      </c>
      <c r="Z152" s="87"/>
      <c r="AA152" s="87" t="str">
        <f aca="false">IF(D152="","",IF(R152="","",(R152-D152)/D152))</f>
        <v/>
      </c>
      <c r="AB152" s="64" t="str">
        <f aca="false">IF(NOT(AA152=""),ABS(AA152),"")</f>
        <v/>
      </c>
      <c r="AD152" s="65"/>
      <c r="AE152" s="66"/>
      <c r="AF152" s="63"/>
      <c r="AG152" s="63"/>
      <c r="AH152" s="63"/>
      <c r="AI152" s="63"/>
      <c r="AJ152" s="87" t="str">
        <f aca="false">IF(D152="","",IF(AH152="","",(AH152-D152)/D152))</f>
        <v/>
      </c>
      <c r="AK152" s="87" t="str">
        <f aca="false">IF(D152="","",IF(AI152="","",(AI152-D152)/D152))</f>
        <v/>
      </c>
      <c r="AL152" s="87"/>
      <c r="AM152" s="87" t="str">
        <f aca="false">IF(D152="","",IF(AD152="","",(AD152-D152)/D152))</f>
        <v/>
      </c>
      <c r="AN152" s="64" t="str">
        <f aca="false">IF(NOT(AM152=""),ABS(AM152),"")</f>
        <v/>
      </c>
      <c r="AP152" s="65"/>
      <c r="AQ152" s="66"/>
      <c r="AR152" s="63"/>
      <c r="AS152" s="63"/>
      <c r="AT152" s="63"/>
      <c r="AU152" s="63"/>
      <c r="AV152" s="87" t="str">
        <f aca="false">IF(D152="","",IF(AT152="","",(AT152-D152)/D152))</f>
        <v/>
      </c>
      <c r="AW152" s="87" t="str">
        <f aca="false">IF(D152="","",IF(AU152="","",(AU152-D152)/D152))</f>
        <v/>
      </c>
      <c r="AX152" s="87"/>
      <c r="AY152" s="45" t="str">
        <f aca="false">IF(D152="","",IF(AP152="","",(AP152-D152)/D152))</f>
        <v/>
      </c>
      <c r="AZ152" s="64" t="str">
        <f aca="false">IF(NOT(AY152=""),ABS(AY152),"")</f>
        <v/>
      </c>
    </row>
    <row r="153" customFormat="false" ht="12.8" hidden="false" customHeight="false" outlineLevel="0" collapsed="false">
      <c r="A153" s="56"/>
      <c r="B153" s="25"/>
      <c r="C153" s="57"/>
      <c r="D153" s="65"/>
      <c r="E153" s="66"/>
      <c r="F153" s="63"/>
      <c r="G153" s="63"/>
      <c r="H153" s="63"/>
      <c r="I153" s="63"/>
      <c r="J153" s="64"/>
      <c r="L153" s="58"/>
      <c r="N153" s="59"/>
      <c r="O153" s="59" t="str">
        <f aca="false">IF(A153="","",IF(L153="","",A153-L153))</f>
        <v/>
      </c>
      <c r="P153" s="59" t="str">
        <f aca="false">IF(B153="","",IF(M153="","",B153-M153))</f>
        <v/>
      </c>
      <c r="Q153" s="59" t="str">
        <f aca="false">IF(C153="","",IF(N153="","",C153-N153))</f>
        <v/>
      </c>
      <c r="R153" s="65" t="str">
        <f aca="false">IF(COUNT(O153:Q153)&gt;0,AVERAGE(O153:Q153),"")</f>
        <v/>
      </c>
      <c r="S153" s="66"/>
      <c r="T153" s="63"/>
      <c r="U153" s="63"/>
      <c r="V153" s="63" t="str">
        <f aca="false">IF(R153="","",R153-U153)</f>
        <v/>
      </c>
      <c r="W153" s="63" t="str">
        <f aca="false">IF(R153="","",R153+U153)</f>
        <v/>
      </c>
      <c r="X153" s="87" t="str">
        <f aca="false">IF(D153="","",IF(V153="","",(V153-D153)/D153))</f>
        <v/>
      </c>
      <c r="Y153" s="87" t="str">
        <f aca="false">IF(D153="","",IF(W153="","",(W153-D153)/D153))</f>
        <v/>
      </c>
      <c r="Z153" s="87"/>
      <c r="AA153" s="87" t="str">
        <f aca="false">IF(D153="","",IF(R153="","",(R153-D153)/D153))</f>
        <v/>
      </c>
      <c r="AB153" s="64" t="str">
        <f aca="false">IF(NOT(AA153=""),ABS(AA153),"")</f>
        <v/>
      </c>
      <c r="AD153" s="65" t="n">
        <v>1266</v>
      </c>
      <c r="AE153" s="66" t="n">
        <v>0</v>
      </c>
      <c r="AF153" s="63" t="n">
        <v>0</v>
      </c>
      <c r="AG153" s="63" t="n">
        <v>0</v>
      </c>
      <c r="AH153" s="63" t="n">
        <v>1266</v>
      </c>
      <c r="AI153" s="63" t="n">
        <v>1266</v>
      </c>
      <c r="AJ153" s="87" t="str">
        <f aca="false">IF(D153="","",IF(AH153="","",(AH153-D153)/D153))</f>
        <v/>
      </c>
      <c r="AK153" s="87" t="str">
        <f aca="false">IF(D153="","",IF(AI153="","",(AI153-D153)/D153))</f>
        <v/>
      </c>
      <c r="AL153" s="87" t="n">
        <v>0</v>
      </c>
      <c r="AM153" s="87" t="str">
        <f aca="false">IF(D153="","",IF(AD153="","",(AD153-D153)/D153))</f>
        <v/>
      </c>
      <c r="AN153" s="64" t="str">
        <f aca="false">IF(NOT(AM153=""),ABS(AM153),"")</f>
        <v/>
      </c>
      <c r="AP153" s="65"/>
      <c r="AQ153" s="66"/>
      <c r="AR153" s="63"/>
      <c r="AS153" s="63"/>
      <c r="AT153" s="63"/>
      <c r="AU153" s="63"/>
      <c r="AV153" s="87" t="str">
        <f aca="false">IF(D153="","",IF(AT153="","",(AT153-D153)/D153))</f>
        <v/>
      </c>
      <c r="AW153" s="87" t="str">
        <f aca="false">IF(D153="","",IF(AU153="","",(AU153-D153)/D153))</f>
        <v/>
      </c>
      <c r="AX153" s="87"/>
      <c r="AY153" s="45" t="str">
        <f aca="false">IF(D153="","",IF(AP153="","",(AP153-D153)/D153))</f>
        <v/>
      </c>
      <c r="AZ153" s="64" t="str">
        <f aca="false">IF(NOT(AY153=""),ABS(AY153),"")</f>
        <v/>
      </c>
    </row>
    <row r="154" customFormat="false" ht="12.8" hidden="false" customHeight="false" outlineLevel="0" collapsed="false">
      <c r="A154" s="56" t="n">
        <v>1323</v>
      </c>
      <c r="B154" s="25" t="n">
        <v>1271</v>
      </c>
      <c r="C154" s="57" t="n">
        <v>1329</v>
      </c>
      <c r="D154" s="65" t="n">
        <v>1307.66666666667</v>
      </c>
      <c r="E154" s="66" t="n">
        <v>678.222222222222</v>
      </c>
      <c r="F154" s="63" t="n">
        <v>26.0426999794995</v>
      </c>
      <c r="G154" s="63" t="n">
        <v>64.6988746069621</v>
      </c>
      <c r="H154" s="63" t="n">
        <v>1242.9677920597</v>
      </c>
      <c r="I154" s="63" t="n">
        <v>1372.36554127363</v>
      </c>
      <c r="J154" s="64" t="n">
        <v>0.019915396364644</v>
      </c>
      <c r="L154" s="58" t="n">
        <v>1277</v>
      </c>
      <c r="N154" s="59" t="n">
        <v>1237</v>
      </c>
      <c r="O154" s="59" t="n">
        <f aca="false">IF(A154="","",IF(L154="","",A154-L154))</f>
        <v>46</v>
      </c>
      <c r="P154" s="59" t="str">
        <f aca="false">IF(B154="","",IF(M154="","",B154-M154))</f>
        <v/>
      </c>
      <c r="Q154" s="59" t="n">
        <f aca="false">IF(C154="","",IF(N154="","",C154-N154))</f>
        <v>92</v>
      </c>
      <c r="R154" s="65" t="n">
        <v>1257</v>
      </c>
      <c r="S154" s="66" t="n">
        <v>400</v>
      </c>
      <c r="T154" s="63" t="n">
        <v>20</v>
      </c>
      <c r="U154" s="63" t="n">
        <v>179.689975235125</v>
      </c>
      <c r="V154" s="63" t="n">
        <v>1077</v>
      </c>
      <c r="W154" s="63" t="n">
        <v>1437</v>
      </c>
      <c r="X154" s="87" t="n">
        <f aca="false">IF(D154="","",IF(V154="","",(V154-D154)/D154))</f>
        <v>-0.176395615600308</v>
      </c>
      <c r="Y154" s="87" t="n">
        <f aca="false">IF(D154="","",IF(W154="","",(W154-D154)/D154))</f>
        <v>0.0989039000764694</v>
      </c>
      <c r="Z154" s="87" t="n">
        <v>0.0159108989657916</v>
      </c>
      <c r="AA154" s="87" t="n">
        <f aca="false">IF(D154="","",IF(R154="","",(R154-D154)/D154))</f>
        <v>-0.0387458577619193</v>
      </c>
      <c r="AB154" s="64" t="n">
        <f aca="false">IF(NOT(AA154=""),ABS(AA154),"")</f>
        <v>0.0387458577619193</v>
      </c>
      <c r="AD154" s="65" t="n">
        <v>1538.5</v>
      </c>
      <c r="AE154" s="66" t="n">
        <v>20592.25</v>
      </c>
      <c r="AF154" s="63" t="n">
        <v>143.5</v>
      </c>
      <c r="AG154" s="63" t="n">
        <v>1289.27557231203</v>
      </c>
      <c r="AH154" s="63" t="n">
        <v>249.224427687975</v>
      </c>
      <c r="AI154" s="63" t="n">
        <v>2827.77557231203</v>
      </c>
      <c r="AJ154" s="87" t="n">
        <f aca="false">IF(D154="","",IF(AH154="","",(AH154-D154)/D154))</f>
        <v>-0.809412877118551</v>
      </c>
      <c r="AK154" s="87" t="n">
        <f aca="false">IF(D154="","",IF(AI154="","",(AI154-D154)/D154))</f>
        <v>1.16245901527812</v>
      </c>
      <c r="AL154" s="87" t="n">
        <v>0.0932726681832954</v>
      </c>
      <c r="AM154" s="87" t="n">
        <f aca="false">IF(D154="","",IF(AD154="","",(AD154-D154)/D154))</f>
        <v>0.176523069079783</v>
      </c>
      <c r="AN154" s="64" t="n">
        <f aca="false">IF(NOT(AM154=""),ABS(AM154),"")</f>
        <v>0.176523069079783</v>
      </c>
      <c r="AP154" s="65" t="n">
        <v>1300</v>
      </c>
      <c r="AQ154" s="66" t="n">
        <v>841</v>
      </c>
      <c r="AR154" s="63" t="n">
        <v>29</v>
      </c>
      <c r="AS154" s="63" t="n">
        <v>260.550464090932</v>
      </c>
      <c r="AT154" s="63" t="n">
        <v>1039.44953590907</v>
      </c>
      <c r="AU154" s="63" t="n">
        <v>1560.55046409093</v>
      </c>
      <c r="AV154" s="87" t="n">
        <f aca="false">IF(D154="","",IF(AT154="","",(AT154-D154)/D154))</f>
        <v>-0.205111239427173</v>
      </c>
      <c r="AW154" s="87" t="n">
        <f aca="false">IF(D154="","",IF(AU154="","",(AU154-D154)/D154))</f>
        <v>0.193385519315009</v>
      </c>
      <c r="AX154" s="87" t="n">
        <v>0.0223076923076923</v>
      </c>
      <c r="AY154" s="45" t="n">
        <f aca="false">IF(D154="","",IF(AP154="","",(AP154-D154)/D154))</f>
        <v>-0.00586286005608201</v>
      </c>
      <c r="AZ154" s="64" t="n">
        <f aca="false">IF(NOT(AY154=""),ABS(AY154),"")</f>
        <v>0.00586286005608201</v>
      </c>
    </row>
    <row r="155" customFormat="false" ht="12.8" hidden="false" customHeight="false" outlineLevel="0" collapsed="false">
      <c r="A155" s="56" t="n">
        <v>790</v>
      </c>
      <c r="B155" s="25" t="n">
        <v>1303</v>
      </c>
      <c r="C155" s="57" t="n">
        <v>1304</v>
      </c>
      <c r="D155" s="65" t="n">
        <v>1132.33333333333</v>
      </c>
      <c r="E155" s="66" t="n">
        <v>58596.2222222222</v>
      </c>
      <c r="F155" s="63" t="n">
        <v>242.066565684363</v>
      </c>
      <c r="G155" s="63" t="n">
        <v>601.375218087183</v>
      </c>
      <c r="H155" s="63" t="n">
        <v>530.95811524615</v>
      </c>
      <c r="I155" s="63" t="n">
        <v>1733.70855142052</v>
      </c>
      <c r="J155" s="64" t="n">
        <v>0.213776772756282</v>
      </c>
      <c r="L155" s="58" t="n">
        <v>861</v>
      </c>
      <c r="M155" s="0" t="n">
        <v>1165</v>
      </c>
      <c r="N155" s="59" t="n">
        <v>1026</v>
      </c>
      <c r="O155" s="59" t="n">
        <f aca="false">IF(A155="","",IF(L155="","",A155-L155))</f>
        <v>-71</v>
      </c>
      <c r="P155" s="59" t="n">
        <f aca="false">IF(B155="","",IF(M155="","",B155-M155))</f>
        <v>138</v>
      </c>
      <c r="Q155" s="59" t="n">
        <f aca="false">IF(C155="","",IF(N155="","",C155-N155))</f>
        <v>278</v>
      </c>
      <c r="R155" s="65" t="n">
        <v>1017</v>
      </c>
      <c r="S155" s="66" t="n">
        <v>15440.2222222222</v>
      </c>
      <c r="T155" s="63" t="n">
        <v>124.258690731161</v>
      </c>
      <c r="U155" s="63" t="n">
        <v>308.700613099608</v>
      </c>
      <c r="V155" s="63" t="n">
        <v>709</v>
      </c>
      <c r="W155" s="63" t="n">
        <v>1326</v>
      </c>
      <c r="X155" s="87" t="n">
        <f aca="false">IF(D155="","",IF(V155="","",(V155-D155)/D155))</f>
        <v>-0.37385928760671</v>
      </c>
      <c r="Y155" s="87" t="n">
        <f aca="false">IF(D155="","",IF(W155="","",(W155-D155)/D155))</f>
        <v>0.171033264645279</v>
      </c>
      <c r="Z155" s="87" t="n">
        <v>0.122141570181351</v>
      </c>
      <c r="AA155" s="87" t="n">
        <f aca="false">IF(D155="","",IF(R155="","",(R155-D155)/D155))</f>
        <v>-0.10185457756844</v>
      </c>
      <c r="AB155" s="64" t="n">
        <f aca="false">IF(NOT(AA155=""),ABS(AA155),"")</f>
        <v>0.10185457756844</v>
      </c>
      <c r="AD155" s="65" t="n">
        <v>1013.5</v>
      </c>
      <c r="AE155" s="66" t="n">
        <v>8190.25</v>
      </c>
      <c r="AF155" s="63" t="n">
        <v>90.5</v>
      </c>
      <c r="AG155" s="63" t="n">
        <v>813.097137938943</v>
      </c>
      <c r="AH155" s="63" t="n">
        <v>200.402862061057</v>
      </c>
      <c r="AI155" s="63" t="n">
        <v>1826.59713793894</v>
      </c>
      <c r="AJ155" s="87" t="n">
        <f aca="false">IF(D155="","",IF(AH155="","",(AH155-D155)/D155))</f>
        <v>-0.823017784461827</v>
      </c>
      <c r="AK155" s="87" t="n">
        <f aca="false">IF(D155="","",IF(AI155="","",(AI155-D155)/D155))</f>
        <v>0.613126704096802</v>
      </c>
      <c r="AL155" s="87" t="n">
        <v>0.0892945239269857</v>
      </c>
      <c r="AM155" s="87" t="n">
        <f aca="false">IF(D155="","",IF(AD155="","",(AD155-D155)/D155))</f>
        <v>-0.104945540182511</v>
      </c>
      <c r="AN155" s="64" t="n">
        <f aca="false">IF(NOT(AM155=""),ABS(AM155),"")</f>
        <v>0.104945540182511</v>
      </c>
      <c r="AP155" s="65" t="n">
        <v>1207.5</v>
      </c>
      <c r="AQ155" s="66" t="n">
        <v>9120.25</v>
      </c>
      <c r="AR155" s="63" t="n">
        <v>95.5</v>
      </c>
      <c r="AS155" s="63" t="n">
        <v>858.019631747724</v>
      </c>
      <c r="AT155" s="63" t="n">
        <v>349.480368252276</v>
      </c>
      <c r="AU155" s="63" t="n">
        <v>2065.51963174772</v>
      </c>
      <c r="AV155" s="87" t="n">
        <f aca="false">IF(D155="","",IF(AT155="","",(AT155-D155)/D155))</f>
        <v>-0.691362642108675</v>
      </c>
      <c r="AW155" s="87" t="n">
        <f aca="false">IF(D155="","",IF(AU155="","",(AU155-D155)/D155))</f>
        <v>0.824126845817833</v>
      </c>
      <c r="AX155" s="87" t="n">
        <v>0.0790890269151139</v>
      </c>
      <c r="AY155" s="45" t="n">
        <f aca="false">IF(D155="","",IF(AP155="","",(AP155-D155)/D155))</f>
        <v>0.0663821018545806</v>
      </c>
      <c r="AZ155" s="64" t="n">
        <f aca="false">IF(NOT(AY155=""),ABS(AY155),"")</f>
        <v>0.0663821018545806</v>
      </c>
    </row>
    <row r="156" customFormat="false" ht="12.8" hidden="false" customHeight="false" outlineLevel="0" collapsed="false">
      <c r="A156" s="56" t="n">
        <v>839</v>
      </c>
      <c r="B156" s="25" t="n">
        <v>799</v>
      </c>
      <c r="C156" s="57" t="n">
        <v>679</v>
      </c>
      <c r="D156" s="65" t="n">
        <v>772.333333333333</v>
      </c>
      <c r="E156" s="66" t="n">
        <v>4622.22222222222</v>
      </c>
      <c r="F156" s="63" t="n">
        <v>67.9869268479038</v>
      </c>
      <c r="G156" s="63" t="n">
        <v>168.902520034705</v>
      </c>
      <c r="H156" s="63" t="n">
        <v>603.430813298628</v>
      </c>
      <c r="I156" s="63" t="n">
        <v>941.235853368039</v>
      </c>
      <c r="J156" s="64" t="n">
        <v>0.0880279588017745</v>
      </c>
      <c r="L156" s="58" t="n">
        <v>664</v>
      </c>
      <c r="M156" s="0" t="n">
        <v>629</v>
      </c>
      <c r="N156" s="59" t="n">
        <v>637</v>
      </c>
      <c r="O156" s="59" t="n">
        <f aca="false">IF(A156="","",IF(L156="","",A156-L156))</f>
        <v>175</v>
      </c>
      <c r="P156" s="59" t="n">
        <f aca="false">IF(B156="","",IF(M156="","",B156-M156))</f>
        <v>170</v>
      </c>
      <c r="Q156" s="59" t="n">
        <f aca="false">IF(C156="","",IF(N156="","",C156-N156))</f>
        <v>42</v>
      </c>
      <c r="R156" s="65" t="n">
        <v>643</v>
      </c>
      <c r="S156" s="66" t="n">
        <v>224.222222222222</v>
      </c>
      <c r="T156" s="63" t="n">
        <v>14.9740516301441</v>
      </c>
      <c r="U156" s="63" t="n">
        <v>37.2006085981678</v>
      </c>
      <c r="V156" s="63" t="n">
        <v>606</v>
      </c>
      <c r="W156" s="63" t="n">
        <v>681</v>
      </c>
      <c r="X156" s="87" t="n">
        <f aca="false">IF(D156="","",IF(V156="","",(V156-D156)/D156))</f>
        <v>-0.215364695727233</v>
      </c>
      <c r="Y156" s="87" t="n">
        <f aca="false">IF(D156="","",IF(W156="","",(W156-D156)/D156))</f>
        <v>-0.118256365990505</v>
      </c>
      <c r="Z156" s="87" t="n">
        <v>0.0232757279225038</v>
      </c>
      <c r="AA156" s="87" t="n">
        <f aca="false">IF(D156="","",IF(R156="","",(R156-D156)/D156))</f>
        <v>-0.16745791972378</v>
      </c>
      <c r="AB156" s="64" t="n">
        <f aca="false">IF(NOT(AA156=""),ABS(AA156),"")</f>
        <v>0.16745791972378</v>
      </c>
      <c r="AD156" s="65" t="n">
        <v>616.333333333333</v>
      </c>
      <c r="AE156" s="66" t="n">
        <v>2950.88888888889</v>
      </c>
      <c r="AF156" s="63" t="n">
        <v>54.3220847251731</v>
      </c>
      <c r="AG156" s="63" t="n">
        <v>134.954430638505</v>
      </c>
      <c r="AH156" s="63" t="n">
        <v>481.378902694829</v>
      </c>
      <c r="AI156" s="63" t="n">
        <v>751.287763971838</v>
      </c>
      <c r="AJ156" s="87" t="n">
        <f aca="false">IF(D156="","",IF(AH156="","",(AH156-D156)/D156))</f>
        <v>-0.37672131718408</v>
      </c>
      <c r="AK156" s="87" t="n">
        <f aca="false">IF(D156="","",IF(AI156="","",(AI156-D156)/D156))</f>
        <v>-0.02724933452071</v>
      </c>
      <c r="AL156" s="87" t="n">
        <v>0.0881375090186692</v>
      </c>
      <c r="AM156" s="87" t="n">
        <f aca="false">IF(D156="","",IF(AD156="","",(AD156-D156)/D156))</f>
        <v>-0.201985325852395</v>
      </c>
      <c r="AN156" s="64" t="n">
        <f aca="false">IF(NOT(AM156=""),ABS(AM156),"")</f>
        <v>0.201985325852395</v>
      </c>
      <c r="AP156" s="65" t="n">
        <v>695.5</v>
      </c>
      <c r="AQ156" s="66" t="n">
        <v>1980.25</v>
      </c>
      <c r="AR156" s="63" t="n">
        <v>44.5</v>
      </c>
      <c r="AS156" s="63" t="n">
        <v>399.810194898154</v>
      </c>
      <c r="AT156" s="63" t="n">
        <v>295.689805101846</v>
      </c>
      <c r="AU156" s="63" t="n">
        <v>1095.31019489815</v>
      </c>
      <c r="AV156" s="87" t="n">
        <f aca="false">IF(D156="","",IF(AT156="","",(AT156-D156)/D156))</f>
        <v>-0.617147425418413</v>
      </c>
      <c r="AW156" s="87" t="n">
        <f aca="false">IF(D156="","",IF(AU156="","",(AU156-D156)/D156))</f>
        <v>0.418183247602266</v>
      </c>
      <c r="AX156" s="87" t="n">
        <v>0.0639827462257369</v>
      </c>
      <c r="AY156" s="45" t="n">
        <f aca="false">IF(D156="","",IF(AP156="","",(AP156-D156)/D156))</f>
        <v>-0.0994820889080704</v>
      </c>
      <c r="AZ156" s="64" t="n">
        <f aca="false">IF(NOT(AY156=""),ABS(AY156),"")</f>
        <v>0.0994820889080704</v>
      </c>
    </row>
    <row r="157" customFormat="false" ht="12.8" hidden="false" customHeight="false" outlineLevel="0" collapsed="false">
      <c r="A157" s="56" t="n">
        <v>525</v>
      </c>
      <c r="B157" s="25" t="n">
        <v>794</v>
      </c>
      <c r="C157" s="57" t="n">
        <v>528</v>
      </c>
      <c r="D157" s="65" t="n">
        <v>615.666666666667</v>
      </c>
      <c r="E157" s="66" t="n">
        <v>15902.8888888889</v>
      </c>
      <c r="F157" s="63" t="n">
        <v>126.106656798477</v>
      </c>
      <c r="G157" s="63" t="n">
        <v>313.291585808327</v>
      </c>
      <c r="H157" s="63" t="n">
        <v>302.37508085834</v>
      </c>
      <c r="I157" s="63" t="n">
        <v>928.958252474994</v>
      </c>
      <c r="J157" s="64" t="n">
        <v>0.204829437138837</v>
      </c>
      <c r="L157" s="58" t="n">
        <v>393</v>
      </c>
      <c r="M157" s="0" t="n">
        <v>452</v>
      </c>
      <c r="N157" s="59" t="n">
        <v>513</v>
      </c>
      <c r="O157" s="59" t="n">
        <f aca="false">IF(A157="","",IF(L157="","",A157-L157))</f>
        <v>132</v>
      </c>
      <c r="P157" s="59" t="n">
        <f aca="false">IF(B157="","",IF(M157="","",B157-M157))</f>
        <v>342</v>
      </c>
      <c r="Q157" s="59" t="n">
        <f aca="false">IF(C157="","",IF(N157="","",C157-N157))</f>
        <v>15</v>
      </c>
      <c r="R157" s="65" t="n">
        <v>453</v>
      </c>
      <c r="S157" s="66" t="n">
        <v>2400.22222222222</v>
      </c>
      <c r="T157" s="63" t="n">
        <v>48.9920628492231</v>
      </c>
      <c r="U157" s="63" t="n">
        <v>121.712853640885</v>
      </c>
      <c r="V157" s="63" t="n">
        <v>331</v>
      </c>
      <c r="W157" s="63" t="n">
        <v>574</v>
      </c>
      <c r="X157" s="87" t="n">
        <f aca="false">IF(D157="","",IF(V157="","",(V157-D157)/D157))</f>
        <v>-0.462371413102328</v>
      </c>
      <c r="Y157" s="87" t="n">
        <f aca="false">IF(D157="","",IF(W157="","",(W157-D157)/D157))</f>
        <v>-0.0676773145641586</v>
      </c>
      <c r="Z157" s="87" t="n">
        <v>0.108229888473983</v>
      </c>
      <c r="AA157" s="87" t="n">
        <f aca="false">IF(D157="","",IF(R157="","",(R157-D157)/D157))</f>
        <v>-0.264212236058474</v>
      </c>
      <c r="AB157" s="64" t="n">
        <f aca="false">IF(NOT(AA157=""),ABS(AA157),"")</f>
        <v>0.264212236058474</v>
      </c>
      <c r="AD157" s="65" t="n">
        <v>471.333333333333</v>
      </c>
      <c r="AE157" s="66" t="n">
        <v>3548.22222222222</v>
      </c>
      <c r="AF157" s="63" t="n">
        <v>59.5669557911282</v>
      </c>
      <c r="AG157" s="63" t="n">
        <v>147.984464225384</v>
      </c>
      <c r="AH157" s="63" t="n">
        <v>323.348869107949</v>
      </c>
      <c r="AI157" s="63" t="n">
        <v>619.317797558718</v>
      </c>
      <c r="AJ157" s="87" t="n">
        <f aca="false">IF(D157="","",IF(AH157="","",(AH157-D157)/D157))</f>
        <v>-0.474798804913998</v>
      </c>
      <c r="AK157" s="87" t="n">
        <f aca="false">IF(D157="","",IF(AI157="","",(AI157-D157)/D157))</f>
        <v>0.00593036961351004</v>
      </c>
      <c r="AL157" s="87" t="n">
        <v>0.126379679896312</v>
      </c>
      <c r="AM157" s="87" t="n">
        <f aca="false">IF(D157="","",IF(AD157="","",(AD157-D157)/D157))</f>
        <v>-0.234434217650245</v>
      </c>
      <c r="AN157" s="64" t="n">
        <f aca="false">IF(NOT(AM157=""),ABS(AM157),"")</f>
        <v>0.234434217650245</v>
      </c>
      <c r="AP157" s="65" t="n">
        <v>641</v>
      </c>
      <c r="AQ157" s="66" t="n">
        <v>23409</v>
      </c>
      <c r="AR157" s="63" t="n">
        <v>153</v>
      </c>
      <c r="AS157" s="63" t="n">
        <v>1374.62831054871</v>
      </c>
      <c r="AT157" s="63" t="n">
        <v>-733.62831054871</v>
      </c>
      <c r="AU157" s="63" t="n">
        <v>2015.62831054871</v>
      </c>
      <c r="AV157" s="87" t="n">
        <f aca="false">IF(D157="","",IF(AT157="","",(AT157-D157)/D157))</f>
        <v>-2.19159985470825</v>
      </c>
      <c r="AW157" s="87" t="n">
        <f aca="false">IF(D157="","",IF(AU157="","",(AU157-D157)/D157))</f>
        <v>2.27389546921826</v>
      </c>
      <c r="AX157" s="87" t="n">
        <v>0.238689547581903</v>
      </c>
      <c r="AY157" s="45" t="n">
        <f aca="false">IF(D157="","",IF(AP157="","",(AP157-D157)/D157))</f>
        <v>0.0411478072550076</v>
      </c>
      <c r="AZ157" s="64" t="n">
        <f aca="false">IF(NOT(AY157=""),ABS(AY157),"")</f>
        <v>0.0411478072550076</v>
      </c>
    </row>
    <row r="158" customFormat="false" ht="12.8" hidden="false" customHeight="false" outlineLevel="0" collapsed="false">
      <c r="A158" s="56" t="n">
        <v>375</v>
      </c>
      <c r="B158" s="25" t="n">
        <v>693</v>
      </c>
      <c r="C158" s="57" t="n">
        <v>353</v>
      </c>
      <c r="D158" s="65" t="n">
        <v>473.666666666667</v>
      </c>
      <c r="E158" s="66" t="n">
        <v>24134.2222222222</v>
      </c>
      <c r="F158" s="63" t="n">
        <v>155.35193021724</v>
      </c>
      <c r="G158" s="63" t="n">
        <v>385.946735975412</v>
      </c>
      <c r="H158" s="63" t="n">
        <v>87.7199306912551</v>
      </c>
      <c r="I158" s="63" t="n">
        <v>859.613402642078</v>
      </c>
      <c r="J158" s="64" t="n">
        <v>0.327977333322815</v>
      </c>
      <c r="L158" s="58" t="n">
        <v>347</v>
      </c>
      <c r="M158" s="0" t="n">
        <v>346</v>
      </c>
      <c r="N158" s="59" t="n">
        <v>344</v>
      </c>
      <c r="O158" s="59" t="n">
        <f aca="false">IF(A158="","",IF(L158="","",A158-L158))</f>
        <v>28</v>
      </c>
      <c r="P158" s="59" t="n">
        <f aca="false">IF(B158="","",IF(M158="","",B158-M158))</f>
        <v>347</v>
      </c>
      <c r="Q158" s="59" t="n">
        <f aca="false">IF(C158="","",IF(N158="","",C158-N158))</f>
        <v>9</v>
      </c>
      <c r="R158" s="65" t="n">
        <v>346</v>
      </c>
      <c r="S158" s="66" t="n">
        <v>1.55555555555556</v>
      </c>
      <c r="T158" s="63" t="n">
        <v>1.24721912892465</v>
      </c>
      <c r="U158" s="63" t="n">
        <v>3.09851413613878</v>
      </c>
      <c r="V158" s="63" t="n">
        <v>343</v>
      </c>
      <c r="W158" s="63" t="n">
        <v>349</v>
      </c>
      <c r="X158" s="87" t="n">
        <f aca="false">IF(D158="","",IF(V158="","",(V158-D158)/D158))</f>
        <v>-0.275862068965518</v>
      </c>
      <c r="Y158" s="87" t="n">
        <f aca="false">IF(D158="","",IF(W158="","",(W158-D158)/D158))</f>
        <v>-0.263194933145673</v>
      </c>
      <c r="Z158" s="87" t="n">
        <v>0.00360815562851875</v>
      </c>
      <c r="AA158" s="87" t="n">
        <f aca="false">IF(D158="","",IF(R158="","",(R158-D158)/D158))</f>
        <v>-0.269528501055595</v>
      </c>
      <c r="AB158" s="64" t="n">
        <f aca="false">IF(NOT(AA158=""),ABS(AA158),"")</f>
        <v>0.269528501055595</v>
      </c>
      <c r="AD158" s="65" t="n">
        <v>370</v>
      </c>
      <c r="AE158" s="66" t="n">
        <v>1618.66666666667</v>
      </c>
      <c r="AF158" s="63" t="n">
        <v>40.2326567189723</v>
      </c>
      <c r="AG158" s="63" t="n">
        <v>99.9515263092843</v>
      </c>
      <c r="AH158" s="63" t="n">
        <v>270.048473690716</v>
      </c>
      <c r="AI158" s="63" t="n">
        <v>469.951526309284</v>
      </c>
      <c r="AJ158" s="87" t="n">
        <f aca="false">IF(D158="","",IF(AH158="","",(AH158-D158)/D158))</f>
        <v>-0.429876550969636</v>
      </c>
      <c r="AK158" s="87" t="n">
        <f aca="false">IF(D158="","",IF(AI158="","",(AI158-D158)/D158))</f>
        <v>-0.00784336458279311</v>
      </c>
      <c r="AL158" s="87" t="n">
        <v>0.108736910051276</v>
      </c>
      <c r="AM158" s="87" t="n">
        <f aca="false">IF(D158="","",IF(AD158="","",(AD158-D158)/D158))</f>
        <v>-0.218859957776215</v>
      </c>
      <c r="AN158" s="64" t="n">
        <f aca="false">IF(NOT(AM158=""),ABS(AM158),"")</f>
        <v>0.218859957776215</v>
      </c>
      <c r="AP158" s="65" t="n">
        <v>547</v>
      </c>
      <c r="AQ158" s="66" t="n">
        <v>21316</v>
      </c>
      <c r="AR158" s="63" t="n">
        <v>146</v>
      </c>
      <c r="AS158" s="63" t="n">
        <v>1311.73681921642</v>
      </c>
      <c r="AT158" s="63" t="n">
        <v>-764.736819216416</v>
      </c>
      <c r="AU158" s="63" t="n">
        <v>1858.73681921642</v>
      </c>
      <c r="AV158" s="87" t="n">
        <f aca="false">IF(D158="","",IF(AT158="","",(AT158-D158)/D158))</f>
        <v>-2.61450419257512</v>
      </c>
      <c r="AW158" s="87" t="n">
        <f aca="false">IF(D158="","",IF(AU158="","",(AU158-D158)/D158))</f>
        <v>2.92414529039357</v>
      </c>
      <c r="AX158" s="87" t="n">
        <v>0.26691042047532</v>
      </c>
      <c r="AY158" s="45" t="n">
        <f aca="false">IF(D158="","",IF(AP158="","",(AP158-D158)/D158))</f>
        <v>0.154820548909218</v>
      </c>
      <c r="AZ158" s="64" t="n">
        <f aca="false">IF(NOT(AY158=""),ABS(AY158),"")</f>
        <v>0.154820548909218</v>
      </c>
    </row>
    <row r="159" customFormat="false" ht="12.8" hidden="false" customHeight="false" outlineLevel="0" collapsed="false">
      <c r="A159" s="56" t="n">
        <v>396</v>
      </c>
      <c r="B159" s="25" t="n">
        <v>380</v>
      </c>
      <c r="C159" s="57" t="n">
        <v>307</v>
      </c>
      <c r="D159" s="65" t="n">
        <v>361</v>
      </c>
      <c r="E159" s="66" t="n">
        <v>1500.66666666667</v>
      </c>
      <c r="F159" s="63" t="n">
        <v>38.7384391356527</v>
      </c>
      <c r="G159" s="63" t="n">
        <v>96.2393844754954</v>
      </c>
      <c r="H159" s="63" t="n">
        <v>264.760615524505</v>
      </c>
      <c r="I159" s="63" t="n">
        <v>457.239384475495</v>
      </c>
      <c r="J159" s="64" t="n">
        <v>0.107308695666628</v>
      </c>
      <c r="L159" s="58" t="n">
        <v>248</v>
      </c>
      <c r="M159" s="0" t="n">
        <v>254</v>
      </c>
      <c r="N159" s="59" t="n">
        <v>290</v>
      </c>
      <c r="O159" s="59" t="n">
        <f aca="false">IF(A159="","",IF(L159="","",A159-L159))</f>
        <v>148</v>
      </c>
      <c r="P159" s="59" t="n">
        <f aca="false">IF(B159="","",IF(M159="","",B159-M159))</f>
        <v>126</v>
      </c>
      <c r="Q159" s="59" t="n">
        <f aca="false">IF(C159="","",IF(N159="","",C159-N159))</f>
        <v>17</v>
      </c>
      <c r="R159" s="65" t="n">
        <v>264</v>
      </c>
      <c r="S159" s="66" t="n">
        <v>344</v>
      </c>
      <c r="T159" s="63" t="n">
        <v>18.5472369909914</v>
      </c>
      <c r="U159" s="63" t="n">
        <v>46.0776095155409</v>
      </c>
      <c r="V159" s="63" t="n">
        <v>218</v>
      </c>
      <c r="W159" s="63" t="n">
        <v>310</v>
      </c>
      <c r="X159" s="87" t="n">
        <f aca="false">IF(D159="","",IF(V159="","",(V159-D159)/D159))</f>
        <v>-0.39612188365651</v>
      </c>
      <c r="Y159" s="87" t="n">
        <f aca="false">IF(D159="","",IF(W159="","",(W159-D159)/D159))</f>
        <v>-0.141274238227147</v>
      </c>
      <c r="Z159" s="87" t="n">
        <v>0.0702546855719372</v>
      </c>
      <c r="AA159" s="87" t="n">
        <f aca="false">IF(D159="","",IF(R159="","",(R159-D159)/D159))</f>
        <v>-0.268698060941828</v>
      </c>
      <c r="AB159" s="64" t="n">
        <f aca="false">IF(NOT(AA159=""),ABS(AA159),"")</f>
        <v>0.268698060941828</v>
      </c>
      <c r="AD159" s="65" t="n">
        <v>334</v>
      </c>
      <c r="AE159" s="66" t="n">
        <v>104.666666666667</v>
      </c>
      <c r="AF159" s="63" t="n">
        <v>10.2306728354819</v>
      </c>
      <c r="AG159" s="63" t="n">
        <v>25.4164514220394</v>
      </c>
      <c r="AH159" s="63" t="n">
        <v>308.583548577961</v>
      </c>
      <c r="AI159" s="63" t="n">
        <v>359.416451422039</v>
      </c>
      <c r="AJ159" s="87" t="n">
        <f aca="false">IF(D159="","",IF(AH159="","",(AH159-D159)/D159))</f>
        <v>-0.145197926376839</v>
      </c>
      <c r="AK159" s="87" t="n">
        <f aca="false">IF(D159="","",IF(AI159="","",(AI159-D159)/D159))</f>
        <v>-0.00438656115778666</v>
      </c>
      <c r="AL159" s="87" t="n">
        <v>0.0306307569924607</v>
      </c>
      <c r="AM159" s="87" t="n">
        <f aca="false">IF(D159="","",IF(AD159="","",(AD159-D159)/D159))</f>
        <v>-0.074792243767313</v>
      </c>
      <c r="AN159" s="64" t="n">
        <f aca="false">IF(NOT(AM159=""),ABS(AM159),"")</f>
        <v>0.074792243767313</v>
      </c>
      <c r="AP159" s="65" t="n">
        <v>326.5</v>
      </c>
      <c r="AQ159" s="66" t="n">
        <v>380.25</v>
      </c>
      <c r="AR159" s="63" t="n">
        <v>19.5</v>
      </c>
      <c r="AS159" s="63" t="n">
        <v>175.197725854247</v>
      </c>
      <c r="AT159" s="63" t="n">
        <v>151.302274145753</v>
      </c>
      <c r="AU159" s="63" t="n">
        <v>501.697725854247</v>
      </c>
      <c r="AV159" s="87" t="n">
        <f aca="false">IF(D159="","",IF(AT159="","",(AT159-D159)/D159))</f>
        <v>-0.580880127020075</v>
      </c>
      <c r="AW159" s="87" t="n">
        <f aca="false">IF(D159="","",IF(AU159="","",(AU159-D159)/D159))</f>
        <v>0.389744392948053</v>
      </c>
      <c r="AX159" s="87" t="n">
        <v>0.0597243491577335</v>
      </c>
      <c r="AY159" s="45" t="n">
        <f aca="false">IF(D159="","",IF(AP159="","",(AP159-D159)/D159))</f>
        <v>-0.0955678670360111</v>
      </c>
      <c r="AZ159" s="64" t="n">
        <f aca="false">IF(NOT(AY159=""),ABS(AY159),"")</f>
        <v>0.0955678670360111</v>
      </c>
    </row>
    <row r="160" customFormat="false" ht="12.8" hidden="false" customHeight="false" outlineLevel="0" collapsed="false">
      <c r="A160" s="56" t="n">
        <v>293</v>
      </c>
      <c r="B160" s="25" t="n">
        <v>289</v>
      </c>
      <c r="C160" s="57" t="n">
        <v>295</v>
      </c>
      <c r="D160" s="65" t="n">
        <v>292.333333333333</v>
      </c>
      <c r="E160" s="66" t="n">
        <v>6.22222222222222</v>
      </c>
      <c r="F160" s="63" t="n">
        <v>2.49443825784929</v>
      </c>
      <c r="G160" s="63" t="n">
        <v>6.19702827227756</v>
      </c>
      <c r="H160" s="63" t="n">
        <v>286.136305061056</v>
      </c>
      <c r="I160" s="63" t="n">
        <v>298.530361605611</v>
      </c>
      <c r="J160" s="64" t="n">
        <v>0.00853285607018003</v>
      </c>
      <c r="L160" s="58" t="n">
        <v>265</v>
      </c>
      <c r="M160" s="0" t="n">
        <v>257</v>
      </c>
      <c r="N160" s="59" t="n">
        <v>213</v>
      </c>
      <c r="O160" s="59" t="n">
        <f aca="false">IF(A160="","",IF(L160="","",A160-L160))</f>
        <v>28</v>
      </c>
      <c r="P160" s="59" t="n">
        <f aca="false">IF(B160="","",IF(M160="","",B160-M160))</f>
        <v>32</v>
      </c>
      <c r="Q160" s="59" t="n">
        <f aca="false">IF(C160="","",IF(N160="","",C160-N160))</f>
        <v>82</v>
      </c>
      <c r="R160" s="65" t="n">
        <v>245</v>
      </c>
      <c r="S160" s="66" t="n">
        <v>522.666666666667</v>
      </c>
      <c r="T160" s="63" t="n">
        <v>22.8619042659763</v>
      </c>
      <c r="U160" s="63" t="n">
        <v>56.7967022829867</v>
      </c>
      <c r="V160" s="63" t="n">
        <v>188</v>
      </c>
      <c r="W160" s="63" t="n">
        <v>302</v>
      </c>
      <c r="X160" s="87" t="n">
        <f aca="false">IF(D160="","",IF(V160="","",(V160-D160)/D160))</f>
        <v>-0.356898517673887</v>
      </c>
      <c r="Y160" s="87" t="n">
        <f aca="false">IF(D160="","",IF(W160="","",(W160-D160)/D160))</f>
        <v>0.0330672748004574</v>
      </c>
      <c r="Z160" s="87" t="n">
        <v>0.0933138949631687</v>
      </c>
      <c r="AA160" s="87" t="n">
        <f aca="false">IF(D160="","",IF(R160="","",(R160-D160)/D160))</f>
        <v>-0.161915621436715</v>
      </c>
      <c r="AB160" s="64" t="n">
        <f aca="false">IF(NOT(AA160=""),ABS(AA160),"")</f>
        <v>0.161915621436715</v>
      </c>
      <c r="AD160" s="65" t="n">
        <v>276.666666666667</v>
      </c>
      <c r="AE160" s="66" t="n">
        <v>1030.22222222222</v>
      </c>
      <c r="AF160" s="63" t="n">
        <v>32.0970749792286</v>
      </c>
      <c r="AG160" s="63" t="n">
        <v>79.7399897463045</v>
      </c>
      <c r="AH160" s="63" t="n">
        <v>196.926676920362</v>
      </c>
      <c r="AI160" s="63" t="n">
        <v>356.406656412971</v>
      </c>
      <c r="AJ160" s="87" t="n">
        <f aca="false">IF(D160="","",IF(AH160="","",(AH160-D160)/D160))</f>
        <v>-0.326362564696594</v>
      </c>
      <c r="AK160" s="87" t="n">
        <f aca="false">IF(D160="","",IF(AI160="","",(AI160-D160)/D160))</f>
        <v>0.21917898430891</v>
      </c>
      <c r="AL160" s="87" t="n">
        <v>0.116013524021308</v>
      </c>
      <c r="AM160" s="87" t="n">
        <f aca="false">IF(D160="","",IF(AD160="","",(AD160-D160)/D160))</f>
        <v>-0.0535917901938403</v>
      </c>
      <c r="AN160" s="64" t="n">
        <f aca="false">IF(NOT(AM160=""),ABS(AM160),"")</f>
        <v>0.0535917901938403</v>
      </c>
      <c r="AP160" s="65" t="n">
        <v>264</v>
      </c>
      <c r="AQ160" s="66" t="n">
        <v>16</v>
      </c>
      <c r="AR160" s="63" t="n">
        <v>4</v>
      </c>
      <c r="AS160" s="63" t="n">
        <v>35.9379950470251</v>
      </c>
      <c r="AT160" s="63" t="n">
        <v>228.062004952975</v>
      </c>
      <c r="AU160" s="63" t="n">
        <v>299.937995047025</v>
      </c>
      <c r="AV160" s="87" t="n">
        <f aca="false">IF(D160="","",IF(AT160="","",(AT160-D160)/D160))</f>
        <v>-0.219856311449343</v>
      </c>
      <c r="AW160" s="87" t="n">
        <f aca="false">IF(D160="","",IF(AU160="","",(AU160-D160)/D160))</f>
        <v>0.0260136660673617</v>
      </c>
      <c r="AX160" s="87" t="n">
        <v>0.0151515151515152</v>
      </c>
      <c r="AY160" s="45" t="n">
        <f aca="false">IF(D160="","",IF(AP160="","",(AP160-D160)/D160))</f>
        <v>-0.0969213226909909</v>
      </c>
      <c r="AZ160" s="64" t="n">
        <f aca="false">IF(NOT(AY160=""),ABS(AY160),"")</f>
        <v>0.0969213226909909</v>
      </c>
    </row>
    <row r="161" customFormat="false" ht="12.8" hidden="false" customHeight="false" outlineLevel="0" collapsed="false">
      <c r="A161" s="56" t="n">
        <v>246</v>
      </c>
      <c r="B161" s="25" t="n">
        <v>224</v>
      </c>
      <c r="C161" s="57" t="n">
        <v>208</v>
      </c>
      <c r="D161" s="65" t="n">
        <v>226</v>
      </c>
      <c r="E161" s="66" t="n">
        <v>242.666666666667</v>
      </c>
      <c r="F161" s="63" t="n">
        <v>15.5777619273972</v>
      </c>
      <c r="G161" s="63" t="n">
        <v>38.7004291563917</v>
      </c>
      <c r="H161" s="63" t="n">
        <v>187.299570843608</v>
      </c>
      <c r="I161" s="63" t="n">
        <v>264.700429156392</v>
      </c>
      <c r="J161" s="64" t="n">
        <v>0.0689281501212267</v>
      </c>
      <c r="L161" s="58" t="n">
        <v>216</v>
      </c>
      <c r="M161" s="0" t="n">
        <v>183</v>
      </c>
      <c r="N161" s="59" t="n">
        <v>196</v>
      </c>
      <c r="O161" s="59" t="n">
        <f aca="false">IF(A161="","",IF(L161="","",A161-L161))</f>
        <v>30</v>
      </c>
      <c r="P161" s="59" t="n">
        <f aca="false">IF(B161="","",IF(M161="","",B161-M161))</f>
        <v>41</v>
      </c>
      <c r="Q161" s="59" t="n">
        <f aca="false">IF(C161="","",IF(N161="","",C161-N161))</f>
        <v>12</v>
      </c>
      <c r="R161" s="65" t="n">
        <v>198</v>
      </c>
      <c r="S161" s="66" t="n">
        <v>184.222222222222</v>
      </c>
      <c r="T161" s="63" t="n">
        <v>13.5728487143349</v>
      </c>
      <c r="U161" s="63" t="n">
        <v>33.7195466568093</v>
      </c>
      <c r="V161" s="63" t="n">
        <v>165</v>
      </c>
      <c r="W161" s="63" t="n">
        <v>232</v>
      </c>
      <c r="X161" s="87" t="n">
        <f aca="false">IF(D161="","",IF(V161="","",(V161-D161)/D161))</f>
        <v>-0.269911504424779</v>
      </c>
      <c r="Y161" s="87" t="n">
        <f aca="false">IF(D161="","",IF(W161="","",(W161-D161)/D161))</f>
        <v>0.0265486725663717</v>
      </c>
      <c r="Z161" s="87" t="n">
        <v>0.0684345313327809</v>
      </c>
      <c r="AA161" s="87" t="n">
        <f aca="false">IF(D161="","",IF(R161="","",(R161-D161)/D161))</f>
        <v>-0.123893805309735</v>
      </c>
      <c r="AB161" s="64" t="n">
        <f aca="false">IF(NOT(AA161=""),ABS(AA161),"")</f>
        <v>0.123893805309735</v>
      </c>
      <c r="AD161" s="65" t="n">
        <v>266</v>
      </c>
      <c r="AE161" s="66" t="n">
        <v>1724.66666666667</v>
      </c>
      <c r="AF161" s="63" t="n">
        <v>41.5291062589441</v>
      </c>
      <c r="AG161" s="63" t="n">
        <v>103.172345436599</v>
      </c>
      <c r="AH161" s="63" t="n">
        <v>162.827654563401</v>
      </c>
      <c r="AI161" s="63" t="n">
        <v>369.172345436599</v>
      </c>
      <c r="AJ161" s="87" t="n">
        <f aca="false">IF(D161="","",IF(AH161="","",(AH161-D161)/D161))</f>
        <v>-0.279523652374332</v>
      </c>
      <c r="AK161" s="87" t="n">
        <f aca="false">IF(D161="","",IF(AI161="","",(AI161-D161)/D161))</f>
        <v>0.633505953259288</v>
      </c>
      <c r="AL161" s="87" t="n">
        <v>0.15612445962009</v>
      </c>
      <c r="AM161" s="87" t="n">
        <f aca="false">IF(D161="","",IF(AD161="","",(AD161-D161)/D161))</f>
        <v>0.176991150442478</v>
      </c>
      <c r="AN161" s="64" t="n">
        <f aca="false">IF(NOT(AM161=""),ABS(AM161),"")</f>
        <v>0.176991150442478</v>
      </c>
      <c r="AP161" s="65" t="n">
        <v>218.5</v>
      </c>
      <c r="AQ161" s="66" t="n">
        <v>132.25</v>
      </c>
      <c r="AR161" s="63" t="n">
        <v>11.5</v>
      </c>
      <c r="AS161" s="63" t="n">
        <v>103.321735760197</v>
      </c>
      <c r="AT161" s="63" t="n">
        <v>115.178264239803</v>
      </c>
      <c r="AU161" s="63" t="n">
        <v>321.821735760197</v>
      </c>
      <c r="AV161" s="87" t="n">
        <f aca="false">IF(D161="","",IF(AT161="","",(AT161-D161)/D161))</f>
        <v>-0.490361662655739</v>
      </c>
      <c r="AW161" s="87" t="n">
        <f aca="false">IF(D161="","",IF(AU161="","",(AU161-D161)/D161))</f>
        <v>0.42398998123981</v>
      </c>
      <c r="AX161" s="87" t="n">
        <v>0.0526315789473684</v>
      </c>
      <c r="AY161" s="45" t="n">
        <f aca="false">IF(D161="","",IF(AP161="","",(AP161-D161)/D161))</f>
        <v>-0.0331858407079646</v>
      </c>
      <c r="AZ161" s="64" t="n">
        <f aca="false">IF(NOT(AY161=""),ABS(AY161),"")</f>
        <v>0.0331858407079646</v>
      </c>
    </row>
    <row r="162" customFormat="false" ht="12.8" hidden="false" customHeight="false" outlineLevel="0" collapsed="false">
      <c r="A162" s="56" t="n">
        <v>185</v>
      </c>
      <c r="B162" s="25" t="n">
        <v>261</v>
      </c>
      <c r="C162" s="57" t="n">
        <v>185</v>
      </c>
      <c r="D162" s="65" t="n">
        <v>210.333333333333</v>
      </c>
      <c r="E162" s="66" t="n">
        <v>1283.55555555556</v>
      </c>
      <c r="F162" s="63" t="n">
        <v>35.8267435801184</v>
      </c>
      <c r="G162" s="63" t="n">
        <v>89.0057479558775</v>
      </c>
      <c r="H162" s="63" t="n">
        <v>121.327585377456</v>
      </c>
      <c r="I162" s="63" t="n">
        <v>299.339081289211</v>
      </c>
      <c r="J162" s="64" t="n">
        <v>0.170333170745412</v>
      </c>
      <c r="L162" s="58" t="n">
        <v>163</v>
      </c>
      <c r="M162" s="0" t="n">
        <v>157</v>
      </c>
      <c r="N162" s="59" t="n">
        <v>174</v>
      </c>
      <c r="O162" s="59" t="n">
        <f aca="false">IF(A162="","",IF(L162="","",A162-L162))</f>
        <v>22</v>
      </c>
      <c r="P162" s="59" t="n">
        <f aca="false">IF(B162="","",IF(M162="","",B162-M162))</f>
        <v>104</v>
      </c>
      <c r="Q162" s="59" t="n">
        <f aca="false">IF(C162="","",IF(N162="","",C162-N162))</f>
        <v>11</v>
      </c>
      <c r="R162" s="65" t="n">
        <v>165</v>
      </c>
      <c r="S162" s="66" t="n">
        <v>49.5555555555556</v>
      </c>
      <c r="T162" s="63" t="n">
        <v>7.03957069398096</v>
      </c>
      <c r="U162" s="63" t="n">
        <v>17.4886744452475</v>
      </c>
      <c r="V162" s="63" t="n">
        <v>147</v>
      </c>
      <c r="W162" s="63" t="n">
        <v>182</v>
      </c>
      <c r="X162" s="87" t="n">
        <f aca="false">IF(D162="","",IF(V162="","",(V162-D162)/D162))</f>
        <v>-0.301109350237717</v>
      </c>
      <c r="Y162" s="87" t="n">
        <f aca="false">IF(D162="","",IF(W162="","",(W162-D162)/D162))</f>
        <v>-0.13470681458003</v>
      </c>
      <c r="Z162" s="87" t="n">
        <v>0.0427504293156738</v>
      </c>
      <c r="AA162" s="87" t="n">
        <f aca="false">IF(D162="","",IF(R162="","",(R162-D162)/D162))</f>
        <v>-0.215530903328049</v>
      </c>
      <c r="AB162" s="64" t="n">
        <f aca="false">IF(NOT(AA162=""),ABS(AA162),"")</f>
        <v>0.215530903328049</v>
      </c>
      <c r="AD162" s="65" t="n">
        <v>206.5</v>
      </c>
      <c r="AE162" s="66" t="n">
        <v>30.25</v>
      </c>
      <c r="AF162" s="63" t="n">
        <v>5.5</v>
      </c>
      <c r="AG162" s="63" t="n">
        <v>49.4147431896595</v>
      </c>
      <c r="AH162" s="63" t="n">
        <v>157.085256810341</v>
      </c>
      <c r="AI162" s="63" t="n">
        <v>255.91474318966</v>
      </c>
      <c r="AJ162" s="87" t="n">
        <f aca="false">IF(D162="","",IF(AH162="","",(AH162-D162)/D162))</f>
        <v>-0.253160427209154</v>
      </c>
      <c r="AK162" s="87" t="n">
        <f aca="false">IF(D162="","",IF(AI162="","",(AI162-D162)/D162))</f>
        <v>0.216710347969859</v>
      </c>
      <c r="AL162" s="87" t="n">
        <v>0.026634382566586</v>
      </c>
      <c r="AM162" s="87" t="n">
        <f aca="false">IF(D162="","",IF(AD162="","",(AD162-D162)/D162))</f>
        <v>-0.0182250396196498</v>
      </c>
      <c r="AN162" s="64" t="n">
        <f aca="false">IF(NOT(AM162=""),ABS(AM162),"")</f>
        <v>0.0182250396196498</v>
      </c>
      <c r="AP162" s="65" t="n">
        <v>194.5</v>
      </c>
      <c r="AQ162" s="66" t="n">
        <v>462.25</v>
      </c>
      <c r="AR162" s="63" t="n">
        <v>21.5</v>
      </c>
      <c r="AS162" s="63" t="n">
        <v>193.16672337776</v>
      </c>
      <c r="AT162" s="63" t="n">
        <v>1.33327662224016</v>
      </c>
      <c r="AU162" s="63" t="n">
        <v>387.66672337776</v>
      </c>
      <c r="AV162" s="87" t="n">
        <f aca="false">IF(D162="","",IF(AT162="","",(AT162-D162)/D162))</f>
        <v>-0.993661125409318</v>
      </c>
      <c r="AW162" s="87" t="n">
        <f aca="false">IF(D162="","",IF(AU162="","",(AU162-D162)/D162))</f>
        <v>0.843106450290462</v>
      </c>
      <c r="AX162" s="87" t="n">
        <v>0.110539845758355</v>
      </c>
      <c r="AY162" s="45" t="n">
        <f aca="false">IF(D162="","",IF(AP162="","",(AP162-D162)/D162))</f>
        <v>-0.075277337559428</v>
      </c>
      <c r="AZ162" s="64" t="n">
        <f aca="false">IF(NOT(AY162=""),ABS(AY162),"")</f>
        <v>0.075277337559428</v>
      </c>
    </row>
    <row r="163" customFormat="false" ht="12.8" hidden="false" customHeight="false" outlineLevel="0" collapsed="false">
      <c r="A163" s="56"/>
      <c r="B163" s="25"/>
      <c r="C163" s="57"/>
      <c r="D163" s="65"/>
      <c r="E163" s="66"/>
      <c r="F163" s="63"/>
      <c r="G163" s="63"/>
      <c r="H163" s="63"/>
      <c r="I163" s="63"/>
      <c r="J163" s="64"/>
      <c r="L163" s="58"/>
      <c r="N163" s="59"/>
      <c r="O163" s="59" t="str">
        <f aca="false">IF(A163="","",IF(L163="","",A163-L163))</f>
        <v/>
      </c>
      <c r="P163" s="59" t="str">
        <f aca="false">IF(B163="","",IF(M163="","",B163-M163))</f>
        <v/>
      </c>
      <c r="Q163" s="59" t="str">
        <f aca="false">IF(C163="","",IF(N163="","",C163-N163))</f>
        <v/>
      </c>
      <c r="R163" s="65" t="str">
        <f aca="false">IF(COUNT(O163:Q163)&gt;0,AVERAGE(O163:Q163),"")</f>
        <v/>
      </c>
      <c r="S163" s="66"/>
      <c r="T163" s="63"/>
      <c r="U163" s="63"/>
      <c r="V163" s="63" t="str">
        <f aca="false">IF(R163="","",R163-U163)</f>
        <v/>
      </c>
      <c r="W163" s="63" t="str">
        <f aca="false">IF(R163="","",R163+U163)</f>
        <v/>
      </c>
      <c r="X163" s="87" t="str">
        <f aca="false">IF(D163="","",IF(V163="","",(V163-D163)/D163))</f>
        <v/>
      </c>
      <c r="Y163" s="87" t="str">
        <f aca="false">IF(D163="","",IF(W163="","",(W163-D163)/D163))</f>
        <v/>
      </c>
      <c r="Z163" s="87"/>
      <c r="AA163" s="87" t="str">
        <f aca="false">IF(D163="","",IF(R163="","",(R163-D163)/D163))</f>
        <v/>
      </c>
      <c r="AB163" s="64" t="str">
        <f aca="false">IF(NOT(AA163=""),ABS(AA163),"")</f>
        <v/>
      </c>
      <c r="AD163" s="65"/>
      <c r="AE163" s="66"/>
      <c r="AF163" s="63"/>
      <c r="AG163" s="63"/>
      <c r="AH163" s="63"/>
      <c r="AI163" s="63"/>
      <c r="AJ163" s="87" t="str">
        <f aca="false">IF(D163="","",IF(AH163="","",(AH163-D163)/D163))</f>
        <v/>
      </c>
      <c r="AK163" s="87" t="str">
        <f aca="false">IF(D163="","",IF(AI163="","",(AI163-D163)/D163))</f>
        <v/>
      </c>
      <c r="AL163" s="87"/>
      <c r="AM163" s="87" t="str">
        <f aca="false">IF(D163="","",IF(AD163="","",(AD163-D163)/D163))</f>
        <v/>
      </c>
      <c r="AN163" s="64" t="str">
        <f aca="false">IF(NOT(AM163=""),ABS(AM163),"")</f>
        <v/>
      </c>
      <c r="AP163" s="65"/>
      <c r="AQ163" s="66"/>
      <c r="AR163" s="63"/>
      <c r="AS163" s="63"/>
      <c r="AT163" s="63"/>
      <c r="AU163" s="63"/>
      <c r="AV163" s="87" t="str">
        <f aca="false">IF(D163="","",IF(AT163="","",(AT163-D163)/D163))</f>
        <v/>
      </c>
      <c r="AW163" s="87" t="str">
        <f aca="false">IF(D163="","",IF(AU163="","",(AU163-D163)/D163))</f>
        <v/>
      </c>
      <c r="AX163" s="87"/>
      <c r="AY163" s="45" t="str">
        <f aca="false">IF(D163="","",IF(AP163="","",(AP163-D163)/D163))</f>
        <v/>
      </c>
      <c r="AZ163" s="64" t="str">
        <f aca="false">IF(NOT(AY163=""),ABS(AY163),"")</f>
        <v/>
      </c>
    </row>
    <row r="164" customFormat="false" ht="12.8" hidden="false" customHeight="false" outlineLevel="0" collapsed="false">
      <c r="A164" s="56" t="n">
        <v>824</v>
      </c>
      <c r="B164" s="25" t="n">
        <v>930</v>
      </c>
      <c r="C164" s="57"/>
      <c r="D164" s="65" t="n">
        <v>824</v>
      </c>
      <c r="E164" s="66" t="n">
        <v>0</v>
      </c>
      <c r="F164" s="63" t="n">
        <v>0</v>
      </c>
      <c r="G164" s="63" t="n">
        <v>0</v>
      </c>
      <c r="H164" s="63" t="n">
        <v>824</v>
      </c>
      <c r="I164" s="63" t="n">
        <v>824</v>
      </c>
      <c r="J164" s="64" t="n">
        <v>0</v>
      </c>
      <c r="L164" s="58"/>
      <c r="N164" s="59"/>
      <c r="O164" s="59" t="str">
        <f aca="false">IF(A164="","",IF(L164="","",A164-L164))</f>
        <v/>
      </c>
      <c r="P164" s="59" t="str">
        <f aca="false">IF(B164="","",IF(M164="","",B164-M164))</f>
        <v/>
      </c>
      <c r="Q164" s="59" t="str">
        <f aca="false">IF(C164="","",IF(N164="","",C164-N164))</f>
        <v/>
      </c>
      <c r="R164" s="65" t="str">
        <f aca="false">IF(COUNT(O164:Q164)&gt;0,AVERAGE(O164:Q164),"")</f>
        <v/>
      </c>
      <c r="S164" s="66"/>
      <c r="T164" s="63"/>
      <c r="U164" s="63"/>
      <c r="V164" s="63" t="str">
        <f aca="false">IF(R164="","",R164-U164)</f>
        <v/>
      </c>
      <c r="W164" s="63" t="str">
        <f aca="false">IF(R164="","",R164+U164)</f>
        <v/>
      </c>
      <c r="X164" s="87" t="str">
        <f aca="false">IF(D164="","",IF(V164="","",(V164-D164)/D164))</f>
        <v/>
      </c>
      <c r="Y164" s="87" t="str">
        <f aca="false">IF(D164="","",IF(W164="","",(W164-D164)/D164))</f>
        <v/>
      </c>
      <c r="Z164" s="87"/>
      <c r="AA164" s="87" t="str">
        <f aca="false">IF(D164="","",IF(R164="","",(R164-D164)/D164))</f>
        <v/>
      </c>
      <c r="AB164" s="64" t="str">
        <f aca="false">IF(NOT(AA164=""),ABS(AA164),"")</f>
        <v/>
      </c>
      <c r="AD164" s="65"/>
      <c r="AE164" s="66"/>
      <c r="AF164" s="63"/>
      <c r="AG164" s="63"/>
      <c r="AH164" s="63"/>
      <c r="AI164" s="63"/>
      <c r="AJ164" s="87" t="str">
        <f aca="false">IF(D164="","",IF(AH164="","",(AH164-D164)/D164))</f>
        <v/>
      </c>
      <c r="AK164" s="87" t="str">
        <f aca="false">IF(D164="","",IF(AI164="","",(AI164-D164)/D164))</f>
        <v/>
      </c>
      <c r="AL164" s="87"/>
      <c r="AM164" s="87" t="str">
        <f aca="false">IF(D164="","",IF(AD164="","",(AD164-D164)/D164))</f>
        <v/>
      </c>
      <c r="AN164" s="64" t="str">
        <f aca="false">IF(NOT(AM164=""),ABS(AM164),"")</f>
        <v/>
      </c>
      <c r="AP164" s="65"/>
      <c r="AQ164" s="66"/>
      <c r="AR164" s="63"/>
      <c r="AS164" s="63"/>
      <c r="AT164" s="63"/>
      <c r="AU164" s="63"/>
      <c r="AV164" s="87" t="str">
        <f aca="false">IF(D164="","",IF(AT164="","",(AT164-D164)/D164))</f>
        <v/>
      </c>
      <c r="AW164" s="87" t="str">
        <f aca="false">IF(D164="","",IF(AU164="","",(AU164-D164)/D164))</f>
        <v/>
      </c>
      <c r="AX164" s="87"/>
      <c r="AY164" s="45" t="str">
        <f aca="false">IF(D164="","",IF(AP164="","",(AP164-D164)/D164))</f>
        <v/>
      </c>
      <c r="AZ164" s="64" t="str">
        <f aca="false">IF(NOT(AY164=""),ABS(AY164),"")</f>
        <v/>
      </c>
    </row>
    <row r="165" customFormat="false" ht="12.8" hidden="false" customHeight="false" outlineLevel="0" collapsed="false">
      <c r="A165" s="56" t="n">
        <v>587</v>
      </c>
      <c r="B165" s="25" t="n">
        <v>625</v>
      </c>
      <c r="C165" s="57" t="n">
        <v>591</v>
      </c>
      <c r="D165" s="65" t="n">
        <v>589</v>
      </c>
      <c r="E165" s="66" t="n">
        <v>4</v>
      </c>
      <c r="F165" s="63" t="n">
        <v>2</v>
      </c>
      <c r="G165" s="63" t="n">
        <v>17.9689975235125</v>
      </c>
      <c r="H165" s="63" t="n">
        <v>571.031002476487</v>
      </c>
      <c r="I165" s="63" t="n">
        <v>606.968997523513</v>
      </c>
      <c r="J165" s="64" t="n">
        <v>0.0033955857385399</v>
      </c>
      <c r="L165" s="58"/>
      <c r="N165" s="59"/>
      <c r="O165" s="59" t="str">
        <f aca="false">IF(A165="","",IF(L165="","",A165-L165))</f>
        <v/>
      </c>
      <c r="P165" s="59" t="str">
        <f aca="false">IF(B165="","",IF(M165="","",B165-M165))</f>
        <v/>
      </c>
      <c r="Q165" s="59" t="str">
        <f aca="false">IF(C165="","",IF(N165="","",C165-N165))</f>
        <v/>
      </c>
      <c r="R165" s="65" t="str">
        <f aca="false">IF(COUNT(O165:Q165)&gt;0,AVERAGE(O165:Q165),"")</f>
        <v/>
      </c>
      <c r="S165" s="66"/>
      <c r="T165" s="63"/>
      <c r="U165" s="63"/>
      <c r="V165" s="63" t="str">
        <f aca="false">IF(R165="","",R165-U165)</f>
        <v/>
      </c>
      <c r="W165" s="63" t="str">
        <f aca="false">IF(R165="","",R165+U165)</f>
        <v/>
      </c>
      <c r="X165" s="87" t="str">
        <f aca="false">IF(D165="","",IF(V165="","",(V165-D165)/D165))</f>
        <v/>
      </c>
      <c r="Y165" s="87" t="str">
        <f aca="false">IF(D165="","",IF(W165="","",(W165-D165)/D165))</f>
        <v/>
      </c>
      <c r="Z165" s="87"/>
      <c r="AA165" s="87" t="str">
        <f aca="false">IF(D165="","",IF(R165="","",(R165-D165)/D165))</f>
        <v/>
      </c>
      <c r="AB165" s="64" t="str">
        <f aca="false">IF(NOT(AA165=""),ABS(AA165),"")</f>
        <v/>
      </c>
      <c r="AD165" s="65"/>
      <c r="AE165" s="66"/>
      <c r="AF165" s="63"/>
      <c r="AG165" s="63"/>
      <c r="AH165" s="63"/>
      <c r="AI165" s="63"/>
      <c r="AJ165" s="87" t="str">
        <f aca="false">IF(D165="","",IF(AH165="","",(AH165-D165)/D165))</f>
        <v/>
      </c>
      <c r="AK165" s="87" t="str">
        <f aca="false">IF(D165="","",IF(AI165="","",(AI165-D165)/D165))</f>
        <v/>
      </c>
      <c r="AL165" s="87"/>
      <c r="AM165" s="87" t="str">
        <f aca="false">IF(D165="","",IF(AD165="","",(AD165-D165)/D165))</f>
        <v/>
      </c>
      <c r="AN165" s="64" t="str">
        <f aca="false">IF(NOT(AM165=""),ABS(AM165),"")</f>
        <v/>
      </c>
      <c r="AP165" s="65"/>
      <c r="AQ165" s="66"/>
      <c r="AR165" s="63"/>
      <c r="AS165" s="63"/>
      <c r="AT165" s="63"/>
      <c r="AU165" s="63"/>
      <c r="AV165" s="87" t="str">
        <f aca="false">IF(D165="","",IF(AT165="","",(AT165-D165)/D165))</f>
        <v/>
      </c>
      <c r="AW165" s="87" t="str">
        <f aca="false">IF(D165="","",IF(AU165="","",(AU165-D165)/D165))</f>
        <v/>
      </c>
      <c r="AX165" s="87"/>
      <c r="AY165" s="45" t="str">
        <f aca="false">IF(D165="","",IF(AP165="","",(AP165-D165)/D165))</f>
        <v/>
      </c>
      <c r="AZ165" s="64" t="str">
        <f aca="false">IF(NOT(AY165=""),ABS(AY165),"")</f>
        <v/>
      </c>
    </row>
    <row r="166" customFormat="false" ht="12.8" hidden="false" customHeight="false" outlineLevel="0" collapsed="false">
      <c r="A166" s="56" t="n">
        <v>449</v>
      </c>
      <c r="B166" s="25" t="n">
        <v>490</v>
      </c>
      <c r="C166" s="57" t="n">
        <v>530</v>
      </c>
      <c r="D166" s="65" t="n">
        <v>489.5</v>
      </c>
      <c r="E166" s="66" t="n">
        <v>1640.25</v>
      </c>
      <c r="F166" s="63" t="n">
        <v>40.5</v>
      </c>
      <c r="G166" s="63" t="n">
        <v>363.872199851129</v>
      </c>
      <c r="H166" s="63" t="n">
        <v>125.627800148871</v>
      </c>
      <c r="I166" s="63" t="n">
        <v>853.372199851129</v>
      </c>
      <c r="J166" s="64" t="n">
        <v>0.0827374872318693</v>
      </c>
      <c r="L166" s="58"/>
      <c r="N166" s="59"/>
      <c r="O166" s="59" t="str">
        <f aca="false">IF(A166="","",IF(L166="","",A166-L166))</f>
        <v/>
      </c>
      <c r="P166" s="59" t="str">
        <f aca="false">IF(B166="","",IF(M166="","",B166-M166))</f>
        <v/>
      </c>
      <c r="Q166" s="59" t="str">
        <f aca="false">IF(C166="","",IF(N166="","",C166-N166))</f>
        <v/>
      </c>
      <c r="R166" s="65" t="str">
        <f aca="false">IF(COUNT(O166:Q166)&gt;0,AVERAGE(O166:Q166),"")</f>
        <v/>
      </c>
      <c r="S166" s="66"/>
      <c r="T166" s="63"/>
      <c r="U166" s="63"/>
      <c r="V166" s="63" t="str">
        <f aca="false">IF(R166="","",R166-U166)</f>
        <v/>
      </c>
      <c r="W166" s="63" t="str">
        <f aca="false">IF(R166="","",R166+U166)</f>
        <v/>
      </c>
      <c r="X166" s="87" t="str">
        <f aca="false">IF(D166="","",IF(V166="","",(V166-D166)/D166))</f>
        <v/>
      </c>
      <c r="Y166" s="87" t="str">
        <f aca="false">IF(D166="","",IF(W166="","",(W166-D166)/D166))</f>
        <v/>
      </c>
      <c r="Z166" s="87"/>
      <c r="AA166" s="87" t="str">
        <f aca="false">IF(D166="","",IF(R166="","",(R166-D166)/D166))</f>
        <v/>
      </c>
      <c r="AB166" s="64" t="str">
        <f aca="false">IF(NOT(AA166=""),ABS(AA166),"")</f>
        <v/>
      </c>
      <c r="AD166" s="65"/>
      <c r="AE166" s="66"/>
      <c r="AF166" s="63"/>
      <c r="AG166" s="63"/>
      <c r="AH166" s="63"/>
      <c r="AI166" s="63"/>
      <c r="AJ166" s="87" t="str">
        <f aca="false">IF(D166="","",IF(AH166="","",(AH166-D166)/D166))</f>
        <v/>
      </c>
      <c r="AK166" s="87" t="str">
        <f aca="false">IF(D166="","",IF(AI166="","",(AI166-D166)/D166))</f>
        <v/>
      </c>
      <c r="AL166" s="87"/>
      <c r="AM166" s="87" t="str">
        <f aca="false">IF(D166="","",IF(AD166="","",(AD166-D166)/D166))</f>
        <v/>
      </c>
      <c r="AN166" s="64" t="str">
        <f aca="false">IF(NOT(AM166=""),ABS(AM166),"")</f>
        <v/>
      </c>
      <c r="AP166" s="65"/>
      <c r="AQ166" s="66"/>
      <c r="AR166" s="63"/>
      <c r="AS166" s="63"/>
      <c r="AT166" s="63"/>
      <c r="AU166" s="63"/>
      <c r="AV166" s="87" t="str">
        <f aca="false">IF(D166="","",IF(AT166="","",(AT166-D166)/D166))</f>
        <v/>
      </c>
      <c r="AW166" s="87" t="str">
        <f aca="false">IF(D166="","",IF(AU166="","",(AU166-D166)/D166))</f>
        <v/>
      </c>
      <c r="AX166" s="87"/>
      <c r="AY166" s="45" t="str">
        <f aca="false">IF(D166="","",IF(AP166="","",(AP166-D166)/D166))</f>
        <v/>
      </c>
      <c r="AZ166" s="64" t="str">
        <f aca="false">IF(NOT(AY166=""),ABS(AY166),"")</f>
        <v/>
      </c>
    </row>
    <row r="167" customFormat="false" ht="12.8" hidden="false" customHeight="false" outlineLevel="0" collapsed="false">
      <c r="A167" s="56" t="n">
        <v>356</v>
      </c>
      <c r="B167" s="25" t="n">
        <v>314</v>
      </c>
      <c r="C167" s="57" t="n">
        <v>444</v>
      </c>
      <c r="D167" s="65" t="n">
        <v>400</v>
      </c>
      <c r="E167" s="66" t="n">
        <v>1936</v>
      </c>
      <c r="F167" s="63" t="n">
        <v>44</v>
      </c>
      <c r="G167" s="63" t="n">
        <v>395.317945517276</v>
      </c>
      <c r="H167" s="63" t="n">
        <v>4.68205448272403</v>
      </c>
      <c r="I167" s="63" t="n">
        <v>795.317945517276</v>
      </c>
      <c r="J167" s="64" t="n">
        <v>0.11</v>
      </c>
      <c r="L167" s="58"/>
      <c r="N167" s="59"/>
      <c r="O167" s="59" t="str">
        <f aca="false">IF(A167="","",IF(L167="","",A167-L167))</f>
        <v/>
      </c>
      <c r="P167" s="59" t="str">
        <f aca="false">IF(B167="","",IF(M167="","",B167-M167))</f>
        <v/>
      </c>
      <c r="Q167" s="59" t="str">
        <f aca="false">IF(C167="","",IF(N167="","",C167-N167))</f>
        <v/>
      </c>
      <c r="R167" s="65" t="str">
        <f aca="false">IF(COUNT(O167:Q167)&gt;0,AVERAGE(O167:Q167),"")</f>
        <v/>
      </c>
      <c r="S167" s="66"/>
      <c r="T167" s="63"/>
      <c r="U167" s="63"/>
      <c r="V167" s="63" t="str">
        <f aca="false">IF(R167="","",R167-U167)</f>
        <v/>
      </c>
      <c r="W167" s="63" t="str">
        <f aca="false">IF(R167="","",R167+U167)</f>
        <v/>
      </c>
      <c r="X167" s="87" t="str">
        <f aca="false">IF(D167="","",IF(V167="","",(V167-D167)/D167))</f>
        <v/>
      </c>
      <c r="Y167" s="87" t="str">
        <f aca="false">IF(D167="","",IF(W167="","",(W167-D167)/D167))</f>
        <v/>
      </c>
      <c r="Z167" s="87"/>
      <c r="AA167" s="87" t="str">
        <f aca="false">IF(D167="","",IF(R167="","",(R167-D167)/D167))</f>
        <v/>
      </c>
      <c r="AB167" s="64" t="str">
        <f aca="false">IF(NOT(AA167=""),ABS(AA167),"")</f>
        <v/>
      </c>
      <c r="AD167" s="65"/>
      <c r="AE167" s="66"/>
      <c r="AF167" s="63"/>
      <c r="AG167" s="63"/>
      <c r="AH167" s="63"/>
      <c r="AI167" s="63"/>
      <c r="AJ167" s="87" t="str">
        <f aca="false">IF(D167="","",IF(AH167="","",(AH167-D167)/D167))</f>
        <v/>
      </c>
      <c r="AK167" s="87" t="str">
        <f aca="false">IF(D167="","",IF(AI167="","",(AI167-D167)/D167))</f>
        <v/>
      </c>
      <c r="AL167" s="87"/>
      <c r="AM167" s="87" t="str">
        <f aca="false">IF(D167="","",IF(AD167="","",(AD167-D167)/D167))</f>
        <v/>
      </c>
      <c r="AN167" s="64" t="str">
        <f aca="false">IF(NOT(AM167=""),ABS(AM167),"")</f>
        <v/>
      </c>
      <c r="AP167" s="65"/>
      <c r="AQ167" s="66"/>
      <c r="AR167" s="63"/>
      <c r="AS167" s="63"/>
      <c r="AT167" s="63"/>
      <c r="AU167" s="63"/>
      <c r="AV167" s="87" t="str">
        <f aca="false">IF(D167="","",IF(AT167="","",(AT167-D167)/D167))</f>
        <v/>
      </c>
      <c r="AW167" s="87" t="str">
        <f aca="false">IF(D167="","",IF(AU167="","",(AU167-D167)/D167))</f>
        <v/>
      </c>
      <c r="AX167" s="87"/>
      <c r="AY167" s="45" t="str">
        <f aca="false">IF(D167="","",IF(AP167="","",(AP167-D167)/D167))</f>
        <v/>
      </c>
      <c r="AZ167" s="64" t="str">
        <f aca="false">IF(NOT(AY167=""),ABS(AY167),"")</f>
        <v/>
      </c>
    </row>
    <row r="168" customFormat="false" ht="12.8" hidden="false" customHeight="false" outlineLevel="0" collapsed="false">
      <c r="A168" s="56" t="n">
        <v>286</v>
      </c>
      <c r="B168" s="25" t="n">
        <v>272</v>
      </c>
      <c r="C168" s="57" t="n">
        <v>237</v>
      </c>
      <c r="D168" s="65" t="n">
        <v>261.5</v>
      </c>
      <c r="E168" s="66" t="n">
        <v>600.25</v>
      </c>
      <c r="F168" s="63" t="n">
        <v>24.5</v>
      </c>
      <c r="G168" s="63" t="n">
        <v>220.120219663029</v>
      </c>
      <c r="H168" s="63" t="n">
        <v>41.3797803369714</v>
      </c>
      <c r="I168" s="63" t="n">
        <v>481.620219663029</v>
      </c>
      <c r="J168" s="64" t="n">
        <v>0.0936902485659656</v>
      </c>
      <c r="L168" s="58"/>
      <c r="N168" s="59"/>
      <c r="O168" s="59" t="str">
        <f aca="false">IF(A168="","",IF(L168="","",A168-L168))</f>
        <v/>
      </c>
      <c r="P168" s="59" t="str">
        <f aca="false">IF(B168="","",IF(M168="","",B168-M168))</f>
        <v/>
      </c>
      <c r="Q168" s="59" t="str">
        <f aca="false">IF(C168="","",IF(N168="","",C168-N168))</f>
        <v/>
      </c>
      <c r="R168" s="65" t="str">
        <f aca="false">IF(COUNT(O168:Q168)&gt;0,AVERAGE(O168:Q168),"")</f>
        <v/>
      </c>
      <c r="S168" s="66"/>
      <c r="T168" s="63"/>
      <c r="U168" s="63"/>
      <c r="V168" s="63" t="str">
        <f aca="false">IF(R168="","",R168-U168)</f>
        <v/>
      </c>
      <c r="W168" s="63" t="str">
        <f aca="false">IF(R168="","",R168+U168)</f>
        <v/>
      </c>
      <c r="X168" s="87" t="str">
        <f aca="false">IF(D168="","",IF(V168="","",(V168-D168)/D168))</f>
        <v/>
      </c>
      <c r="Y168" s="87" t="str">
        <f aca="false">IF(D168="","",IF(W168="","",(W168-D168)/D168))</f>
        <v/>
      </c>
      <c r="Z168" s="87"/>
      <c r="AA168" s="87" t="str">
        <f aca="false">IF(D168="","",IF(R168="","",(R168-D168)/D168))</f>
        <v/>
      </c>
      <c r="AB168" s="64" t="str">
        <f aca="false">IF(NOT(AA168=""),ABS(AA168),"")</f>
        <v/>
      </c>
      <c r="AD168" s="65"/>
      <c r="AE168" s="66"/>
      <c r="AF168" s="63"/>
      <c r="AG168" s="63"/>
      <c r="AH168" s="63"/>
      <c r="AI168" s="63"/>
      <c r="AJ168" s="87" t="str">
        <f aca="false">IF(D168="","",IF(AH168="","",(AH168-D168)/D168))</f>
        <v/>
      </c>
      <c r="AK168" s="87" t="str">
        <f aca="false">IF(D168="","",IF(AI168="","",(AI168-D168)/D168))</f>
        <v/>
      </c>
      <c r="AL168" s="87"/>
      <c r="AM168" s="87" t="str">
        <f aca="false">IF(D168="","",IF(AD168="","",(AD168-D168)/D168))</f>
        <v/>
      </c>
      <c r="AN168" s="64" t="str">
        <f aca="false">IF(NOT(AM168=""),ABS(AM168),"")</f>
        <v/>
      </c>
      <c r="AP168" s="65"/>
      <c r="AQ168" s="66"/>
      <c r="AR168" s="63"/>
      <c r="AS168" s="63"/>
      <c r="AT168" s="63"/>
      <c r="AU168" s="63"/>
      <c r="AV168" s="87" t="str">
        <f aca="false">IF(D168="","",IF(AT168="","",(AT168-D168)/D168))</f>
        <v/>
      </c>
      <c r="AW168" s="87" t="str">
        <f aca="false">IF(D168="","",IF(AU168="","",(AU168-D168)/D168))</f>
        <v/>
      </c>
      <c r="AX168" s="87"/>
      <c r="AY168" s="45" t="str">
        <f aca="false">IF(D168="","",IF(AP168="","",(AP168-D168)/D168))</f>
        <v/>
      </c>
      <c r="AZ168" s="64" t="str">
        <f aca="false">IF(NOT(AY168=""),ABS(AY168),"")</f>
        <v/>
      </c>
    </row>
    <row r="169" customFormat="false" ht="12.8" hidden="false" customHeight="false" outlineLevel="0" collapsed="false">
      <c r="A169" s="56"/>
      <c r="B169" s="25" t="n">
        <v>241</v>
      </c>
      <c r="C169" s="57" t="n">
        <v>290</v>
      </c>
      <c r="D169" s="65" t="n">
        <v>290</v>
      </c>
      <c r="E169" s="66" t="n">
        <v>0</v>
      </c>
      <c r="F169" s="63" t="n">
        <v>0</v>
      </c>
      <c r="G169" s="63" t="n">
        <v>0</v>
      </c>
      <c r="H169" s="63" t="n">
        <v>290</v>
      </c>
      <c r="I169" s="63" t="n">
        <v>290</v>
      </c>
      <c r="J169" s="64" t="n">
        <v>0</v>
      </c>
      <c r="L169" s="58"/>
      <c r="N169" s="59"/>
      <c r="O169" s="59" t="str">
        <f aca="false">IF(A169="","",IF(L169="","",A169-L169))</f>
        <v/>
      </c>
      <c r="P169" s="59" t="str">
        <f aca="false">IF(B169="","",IF(M169="","",B169-M169))</f>
        <v/>
      </c>
      <c r="Q169" s="59" t="str">
        <f aca="false">IF(C169="","",IF(N169="","",C169-N169))</f>
        <v/>
      </c>
      <c r="R169" s="65" t="str">
        <f aca="false">IF(COUNT(O169:Q169)&gt;0,AVERAGE(O169:Q169),"")</f>
        <v/>
      </c>
      <c r="S169" s="66"/>
      <c r="T169" s="63"/>
      <c r="U169" s="63"/>
      <c r="V169" s="63" t="str">
        <f aca="false">IF(R169="","",R169-U169)</f>
        <v/>
      </c>
      <c r="W169" s="63" t="str">
        <f aca="false">IF(R169="","",R169+U169)</f>
        <v/>
      </c>
      <c r="X169" s="87" t="str">
        <f aca="false">IF(D169="","",IF(V169="","",(V169-D169)/D169))</f>
        <v/>
      </c>
      <c r="Y169" s="87" t="str">
        <f aca="false">IF(D169="","",IF(W169="","",(W169-D169)/D169))</f>
        <v/>
      </c>
      <c r="Z169" s="87"/>
      <c r="AA169" s="87" t="str">
        <f aca="false">IF(D169="","",IF(R169="","",(R169-D169)/D169))</f>
        <v/>
      </c>
      <c r="AB169" s="64" t="str">
        <f aca="false">IF(NOT(AA169=""),ABS(AA169),"")</f>
        <v/>
      </c>
      <c r="AD169" s="65"/>
      <c r="AE169" s="66"/>
      <c r="AF169" s="63"/>
      <c r="AG169" s="63"/>
      <c r="AH169" s="63"/>
      <c r="AI169" s="63"/>
      <c r="AJ169" s="87" t="str">
        <f aca="false">IF(D169="","",IF(AH169="","",(AH169-D169)/D169))</f>
        <v/>
      </c>
      <c r="AK169" s="87" t="str">
        <f aca="false">IF(D169="","",IF(AI169="","",(AI169-D169)/D169))</f>
        <v/>
      </c>
      <c r="AL169" s="87"/>
      <c r="AM169" s="87" t="str">
        <f aca="false">IF(D169="","",IF(AD169="","",(AD169-D169)/D169))</f>
        <v/>
      </c>
      <c r="AN169" s="64" t="str">
        <f aca="false">IF(NOT(AM169=""),ABS(AM169),"")</f>
        <v/>
      </c>
      <c r="AP169" s="65"/>
      <c r="AQ169" s="66"/>
      <c r="AR169" s="63"/>
      <c r="AS169" s="63"/>
      <c r="AT169" s="63"/>
      <c r="AU169" s="63"/>
      <c r="AV169" s="87" t="str">
        <f aca="false">IF(D169="","",IF(AT169="","",(AT169-D169)/D169))</f>
        <v/>
      </c>
      <c r="AW169" s="87" t="str">
        <f aca="false">IF(D169="","",IF(AU169="","",(AU169-D169)/D169))</f>
        <v/>
      </c>
      <c r="AX169" s="87"/>
      <c r="AY169" s="45" t="str">
        <f aca="false">IF(D169="","",IF(AP169="","",(AP169-D169)/D169))</f>
        <v/>
      </c>
      <c r="AZ169" s="64" t="str">
        <f aca="false">IF(NOT(AY169=""),ABS(AY169),"")</f>
        <v/>
      </c>
    </row>
    <row r="170" customFormat="false" ht="12.8" hidden="false" customHeight="false" outlineLevel="0" collapsed="false">
      <c r="A170" s="56" t="n">
        <v>215</v>
      </c>
      <c r="B170" s="25" t="n">
        <v>194</v>
      </c>
      <c r="C170" s="57" t="n">
        <v>264</v>
      </c>
      <c r="D170" s="65" t="n">
        <v>239.5</v>
      </c>
      <c r="E170" s="66" t="n">
        <v>600.25</v>
      </c>
      <c r="F170" s="63" t="n">
        <v>24.5</v>
      </c>
      <c r="G170" s="63" t="n">
        <v>220.120219663029</v>
      </c>
      <c r="H170" s="63" t="n">
        <v>19.3797803369714</v>
      </c>
      <c r="I170" s="63" t="n">
        <v>459.620219663029</v>
      </c>
      <c r="J170" s="64" t="n">
        <v>0.102296450939457</v>
      </c>
      <c r="L170" s="58"/>
      <c r="N170" s="59"/>
      <c r="O170" s="59" t="str">
        <f aca="false">IF(A170="","",IF(L170="","",A170-L170))</f>
        <v/>
      </c>
      <c r="P170" s="59" t="str">
        <f aca="false">IF(B170="","",IF(M170="","",B170-M170))</f>
        <v/>
      </c>
      <c r="Q170" s="59" t="str">
        <f aca="false">IF(C170="","",IF(N170="","",C170-N170))</f>
        <v/>
      </c>
      <c r="R170" s="65" t="str">
        <f aca="false">IF(COUNT(O170:Q170)&gt;0,AVERAGE(O170:Q170),"")</f>
        <v/>
      </c>
      <c r="S170" s="66"/>
      <c r="T170" s="63"/>
      <c r="U170" s="63"/>
      <c r="V170" s="63" t="str">
        <f aca="false">IF(R170="","",R170-U170)</f>
        <v/>
      </c>
      <c r="W170" s="63" t="str">
        <f aca="false">IF(R170="","",R170+U170)</f>
        <v/>
      </c>
      <c r="X170" s="87" t="str">
        <f aca="false">IF(D170="","",IF(V170="","",(V170-D170)/D170))</f>
        <v/>
      </c>
      <c r="Y170" s="87" t="str">
        <f aca="false">IF(D170="","",IF(W170="","",(W170-D170)/D170))</f>
        <v/>
      </c>
      <c r="Z170" s="87"/>
      <c r="AA170" s="87" t="str">
        <f aca="false">IF(D170="","",IF(R170="","",(R170-D170)/D170))</f>
        <v/>
      </c>
      <c r="AB170" s="64" t="str">
        <f aca="false">IF(NOT(AA170=""),ABS(AA170),"")</f>
        <v/>
      </c>
      <c r="AD170" s="65"/>
      <c r="AE170" s="66"/>
      <c r="AF170" s="63"/>
      <c r="AG170" s="63"/>
      <c r="AH170" s="63"/>
      <c r="AI170" s="63"/>
      <c r="AJ170" s="87" t="str">
        <f aca="false">IF(D170="","",IF(AH170="","",(AH170-D170)/D170))</f>
        <v/>
      </c>
      <c r="AK170" s="87" t="str">
        <f aca="false">IF(D170="","",IF(AI170="","",(AI170-D170)/D170))</f>
        <v/>
      </c>
      <c r="AL170" s="87"/>
      <c r="AM170" s="87" t="str">
        <f aca="false">IF(D170="","",IF(AD170="","",(AD170-D170)/D170))</f>
        <v/>
      </c>
      <c r="AN170" s="64" t="str">
        <f aca="false">IF(NOT(AM170=""),ABS(AM170),"")</f>
        <v/>
      </c>
      <c r="AP170" s="65"/>
      <c r="AQ170" s="66"/>
      <c r="AR170" s="63"/>
      <c r="AS170" s="63"/>
      <c r="AT170" s="63"/>
      <c r="AU170" s="63"/>
      <c r="AV170" s="87" t="str">
        <f aca="false">IF(D170="","",IF(AT170="","",(AT170-D170)/D170))</f>
        <v/>
      </c>
      <c r="AW170" s="87" t="str">
        <f aca="false">IF(D170="","",IF(AU170="","",(AU170-D170)/D170))</f>
        <v/>
      </c>
      <c r="AX170" s="87"/>
      <c r="AY170" s="45" t="str">
        <f aca="false">IF(D170="","",IF(AP170="","",(AP170-D170)/D170))</f>
        <v/>
      </c>
      <c r="AZ170" s="64" t="str">
        <f aca="false">IF(NOT(AY170=""),ABS(AY170),"")</f>
        <v/>
      </c>
    </row>
    <row r="171" customFormat="false" ht="12.8" hidden="false" customHeight="false" outlineLevel="0" collapsed="false">
      <c r="A171" s="56" t="n">
        <v>164</v>
      </c>
      <c r="B171" s="25" t="n">
        <v>154</v>
      </c>
      <c r="C171" s="57" t="n">
        <v>169</v>
      </c>
      <c r="D171" s="65" t="n">
        <v>166.5</v>
      </c>
      <c r="E171" s="66" t="n">
        <v>6.25</v>
      </c>
      <c r="F171" s="63" t="n">
        <v>2.5</v>
      </c>
      <c r="G171" s="63" t="n">
        <v>22.4612469043907</v>
      </c>
      <c r="H171" s="63" t="n">
        <v>144.038753095609</v>
      </c>
      <c r="I171" s="63" t="n">
        <v>188.961246904391</v>
      </c>
      <c r="J171" s="64" t="n">
        <v>0.015015015015015</v>
      </c>
      <c r="L171" s="58"/>
      <c r="N171" s="59"/>
      <c r="O171" s="59" t="str">
        <f aca="false">IF(A171="","",IF(L171="","",A171-L171))</f>
        <v/>
      </c>
      <c r="P171" s="59" t="str">
        <f aca="false">IF(B171="","",IF(M171="","",B171-M171))</f>
        <v/>
      </c>
      <c r="Q171" s="59" t="str">
        <f aca="false">IF(C171="","",IF(N171="","",C171-N171))</f>
        <v/>
      </c>
      <c r="R171" s="65" t="str">
        <f aca="false">IF(COUNT(O171:Q171)&gt;0,AVERAGE(O171:Q171),"")</f>
        <v/>
      </c>
      <c r="S171" s="66"/>
      <c r="T171" s="63"/>
      <c r="U171" s="63"/>
      <c r="V171" s="63" t="str">
        <f aca="false">IF(R171="","",R171-U171)</f>
        <v/>
      </c>
      <c r="W171" s="63" t="str">
        <f aca="false">IF(R171="","",R171+U171)</f>
        <v/>
      </c>
      <c r="X171" s="87" t="str">
        <f aca="false">IF(D171="","",IF(V171="","",(V171-D171)/D171))</f>
        <v/>
      </c>
      <c r="Y171" s="87" t="str">
        <f aca="false">IF(D171="","",IF(W171="","",(W171-D171)/D171))</f>
        <v/>
      </c>
      <c r="Z171" s="87"/>
      <c r="AA171" s="87" t="str">
        <f aca="false">IF(D171="","",IF(R171="","",(R171-D171)/D171))</f>
        <v/>
      </c>
      <c r="AB171" s="64" t="str">
        <f aca="false">IF(NOT(AA171=""),ABS(AA171),"")</f>
        <v/>
      </c>
      <c r="AD171" s="65"/>
      <c r="AE171" s="66"/>
      <c r="AF171" s="63"/>
      <c r="AG171" s="63"/>
      <c r="AH171" s="63"/>
      <c r="AI171" s="63"/>
      <c r="AJ171" s="87" t="str">
        <f aca="false">IF(D171="","",IF(AH171="","",(AH171-D171)/D171))</f>
        <v/>
      </c>
      <c r="AK171" s="87" t="str">
        <f aca="false">IF(D171="","",IF(AI171="","",(AI171-D171)/D171))</f>
        <v/>
      </c>
      <c r="AL171" s="87"/>
      <c r="AM171" s="87" t="str">
        <f aca="false">IF(D171="","",IF(AD171="","",(AD171-D171)/D171))</f>
        <v/>
      </c>
      <c r="AN171" s="64" t="str">
        <f aca="false">IF(NOT(AM171=""),ABS(AM171),"")</f>
        <v/>
      </c>
      <c r="AP171" s="65"/>
      <c r="AQ171" s="66"/>
      <c r="AR171" s="63"/>
      <c r="AS171" s="63"/>
      <c r="AT171" s="63"/>
      <c r="AU171" s="63"/>
      <c r="AV171" s="87" t="str">
        <f aca="false">IF(D171="","",IF(AT171="","",(AT171-D171)/D171))</f>
        <v/>
      </c>
      <c r="AW171" s="87" t="str">
        <f aca="false">IF(D171="","",IF(AU171="","",(AU171-D171)/D171))</f>
        <v/>
      </c>
      <c r="AX171" s="87"/>
      <c r="AY171" s="45" t="str">
        <f aca="false">IF(D171="","",IF(AP171="","",(AP171-D171)/D171))</f>
        <v/>
      </c>
      <c r="AZ171" s="64" t="str">
        <f aca="false">IF(NOT(AY171=""),ABS(AY171),"")</f>
        <v/>
      </c>
    </row>
    <row r="172" customFormat="false" ht="12.8" hidden="false" customHeight="false" outlineLevel="0" collapsed="false">
      <c r="A172" s="56" t="n">
        <v>132</v>
      </c>
      <c r="B172" s="25" t="n">
        <v>145</v>
      </c>
      <c r="C172" s="57" t="n">
        <v>145</v>
      </c>
      <c r="D172" s="65" t="n">
        <v>138.5</v>
      </c>
      <c r="E172" s="66" t="n">
        <v>42.25</v>
      </c>
      <c r="F172" s="63" t="n">
        <v>6.5</v>
      </c>
      <c r="G172" s="63" t="n">
        <v>58.3992419514158</v>
      </c>
      <c r="H172" s="63" t="n">
        <v>80.1007580485842</v>
      </c>
      <c r="I172" s="63" t="n">
        <v>196.899241951416</v>
      </c>
      <c r="J172" s="64" t="n">
        <v>0.0469314079422383</v>
      </c>
      <c r="L172" s="58"/>
      <c r="N172" s="59"/>
      <c r="O172" s="59" t="str">
        <f aca="false">IF(A172="","",IF(L172="","",A172-L172))</f>
        <v/>
      </c>
      <c r="P172" s="59" t="str">
        <f aca="false">IF(B172="","",IF(M172="","",B172-M172))</f>
        <v/>
      </c>
      <c r="Q172" s="59" t="str">
        <f aca="false">IF(C172="","",IF(N172="","",C172-N172))</f>
        <v/>
      </c>
      <c r="R172" s="65" t="str">
        <f aca="false">IF(COUNT(O172:Q172)&gt;0,AVERAGE(O172:Q172),"")</f>
        <v/>
      </c>
      <c r="S172" s="66"/>
      <c r="T172" s="63"/>
      <c r="U172" s="63"/>
      <c r="V172" s="63" t="str">
        <f aca="false">IF(R172="","",R172-U172)</f>
        <v/>
      </c>
      <c r="W172" s="63" t="str">
        <f aca="false">IF(R172="","",R172+U172)</f>
        <v/>
      </c>
      <c r="X172" s="87" t="str">
        <f aca="false">IF(D172="","",IF(V172="","",(V172-D172)/D172))</f>
        <v/>
      </c>
      <c r="Y172" s="87" t="str">
        <f aca="false">IF(D172="","",IF(W172="","",(W172-D172)/D172))</f>
        <v/>
      </c>
      <c r="Z172" s="87"/>
      <c r="AA172" s="87" t="str">
        <f aca="false">IF(D172="","",IF(R172="","",(R172-D172)/D172))</f>
        <v/>
      </c>
      <c r="AB172" s="64" t="str">
        <f aca="false">IF(NOT(AA172=""),ABS(AA172),"")</f>
        <v/>
      </c>
      <c r="AD172" s="65"/>
      <c r="AE172" s="66"/>
      <c r="AF172" s="63"/>
      <c r="AG172" s="63"/>
      <c r="AH172" s="63"/>
      <c r="AI172" s="63"/>
      <c r="AJ172" s="87" t="str">
        <f aca="false">IF(D172="","",IF(AH172="","",(AH172-D172)/D172))</f>
        <v/>
      </c>
      <c r="AK172" s="87" t="str">
        <f aca="false">IF(D172="","",IF(AI172="","",(AI172-D172)/D172))</f>
        <v/>
      </c>
      <c r="AL172" s="87"/>
      <c r="AM172" s="87" t="str">
        <f aca="false">IF(D172="","",IF(AD172="","",(AD172-D172)/D172))</f>
        <v/>
      </c>
      <c r="AN172" s="64" t="str">
        <f aca="false">IF(NOT(AM172=""),ABS(AM172),"")</f>
        <v/>
      </c>
      <c r="AP172" s="65"/>
      <c r="AQ172" s="66"/>
      <c r="AR172" s="63"/>
      <c r="AS172" s="63"/>
      <c r="AT172" s="63"/>
      <c r="AU172" s="63"/>
      <c r="AV172" s="87" t="str">
        <f aca="false">IF(D172="","",IF(AT172="","",(AT172-D172)/D172))</f>
        <v/>
      </c>
      <c r="AW172" s="87" t="str">
        <f aca="false">IF(D172="","",IF(AU172="","",(AU172-D172)/D172))</f>
        <v/>
      </c>
      <c r="AX172" s="87"/>
      <c r="AY172" s="45" t="str">
        <f aca="false">IF(D172="","",IF(AP172="","",(AP172-D172)/D172))</f>
        <v/>
      </c>
      <c r="AZ172" s="64" t="str">
        <f aca="false">IF(NOT(AY172=""),ABS(AY172),"")</f>
        <v/>
      </c>
    </row>
    <row r="173" customFormat="false" ht="12.8" hidden="false" customHeight="false" outlineLevel="0" collapsed="false">
      <c r="A173" s="56"/>
      <c r="B173" s="25"/>
      <c r="C173" s="57"/>
      <c r="D173" s="65"/>
      <c r="E173" s="66"/>
      <c r="F173" s="63"/>
      <c r="G173" s="63"/>
      <c r="H173" s="63"/>
      <c r="I173" s="63"/>
      <c r="J173" s="64"/>
      <c r="L173" s="58"/>
      <c r="N173" s="59"/>
      <c r="O173" s="59" t="str">
        <f aca="false">IF(A173="","",IF(L173="","",A173-L173))</f>
        <v/>
      </c>
      <c r="P173" s="59" t="str">
        <f aca="false">IF(B173="","",IF(M173="","",B173-M173))</f>
        <v/>
      </c>
      <c r="Q173" s="59" t="str">
        <f aca="false">IF(C173="","",IF(N173="","",C173-N173))</f>
        <v/>
      </c>
      <c r="R173" s="65" t="str">
        <f aca="false">IF(COUNT(O173:Q173)&gt;0,AVERAGE(O173:Q173),"")</f>
        <v/>
      </c>
      <c r="S173" s="66"/>
      <c r="T173" s="63"/>
      <c r="U173" s="63"/>
      <c r="V173" s="63" t="str">
        <f aca="false">IF(R173="","",R173-U173)</f>
        <v/>
      </c>
      <c r="W173" s="63" t="str">
        <f aca="false">IF(R173="","",R173+U173)</f>
        <v/>
      </c>
      <c r="X173" s="87" t="str">
        <f aca="false">IF(D173="","",IF(V173="","",(V173-D173)/D173))</f>
        <v/>
      </c>
      <c r="Y173" s="87" t="str">
        <f aca="false">IF(D173="","",IF(W173="","",(W173-D173)/D173))</f>
        <v/>
      </c>
      <c r="Z173" s="87"/>
      <c r="AA173" s="87" t="str">
        <f aca="false">IF(D173="","",IF(R173="","",(R173-D173)/D173))</f>
        <v/>
      </c>
      <c r="AB173" s="64" t="str">
        <f aca="false">IF(NOT(AA173=""),ABS(AA173),"")</f>
        <v/>
      </c>
      <c r="AD173" s="65"/>
      <c r="AE173" s="66"/>
      <c r="AF173" s="63"/>
      <c r="AG173" s="63"/>
      <c r="AH173" s="63"/>
      <c r="AI173" s="63"/>
      <c r="AJ173" s="87" t="str">
        <f aca="false">IF(D173="","",IF(AH173="","",(AH173-D173)/D173))</f>
        <v/>
      </c>
      <c r="AK173" s="87" t="str">
        <f aca="false">IF(D173="","",IF(AI173="","",(AI173-D173)/D173))</f>
        <v/>
      </c>
      <c r="AL173" s="87"/>
      <c r="AM173" s="87" t="str">
        <f aca="false">IF(D173="","",IF(AD173="","",(AD173-D173)/D173))</f>
        <v/>
      </c>
      <c r="AN173" s="64" t="str">
        <f aca="false">IF(NOT(AM173=""),ABS(AM173),"")</f>
        <v/>
      </c>
      <c r="AP173" s="65"/>
      <c r="AQ173" s="66"/>
      <c r="AR173" s="63"/>
      <c r="AS173" s="63"/>
      <c r="AT173" s="63"/>
      <c r="AU173" s="63"/>
      <c r="AV173" s="87" t="str">
        <f aca="false">IF(D173="","",IF(AT173="","",(AT173-D173)/D173))</f>
        <v/>
      </c>
      <c r="AW173" s="87" t="str">
        <f aca="false">IF(D173="","",IF(AU173="","",(AU173-D173)/D173))</f>
        <v/>
      </c>
      <c r="AX173" s="87"/>
      <c r="AY173" s="45" t="str">
        <f aca="false">IF(D173="","",IF(AP173="","",(AP173-D173)/D173))</f>
        <v/>
      </c>
      <c r="AZ173" s="64" t="str">
        <f aca="false">IF(NOT(AY173=""),ABS(AY173),"")</f>
        <v/>
      </c>
    </row>
    <row r="174" customFormat="false" ht="12.8" hidden="false" customHeight="false" outlineLevel="0" collapsed="false">
      <c r="A174" s="56" t="n">
        <v>2545</v>
      </c>
      <c r="B174" s="25" t="n">
        <v>2059</v>
      </c>
      <c r="C174" s="57" t="n">
        <v>2038</v>
      </c>
      <c r="D174" s="65" t="n">
        <v>2214</v>
      </c>
      <c r="E174" s="66" t="n">
        <v>54854</v>
      </c>
      <c r="F174" s="63" t="n">
        <v>234.209308098547</v>
      </c>
      <c r="G174" s="63" t="n">
        <v>581.855132854104</v>
      </c>
      <c r="H174" s="63" t="n">
        <v>1632.1448671459</v>
      </c>
      <c r="I174" s="63" t="n">
        <v>2795.8551328541</v>
      </c>
      <c r="J174" s="64" t="n">
        <v>0.10578559534713</v>
      </c>
      <c r="L174" s="58"/>
      <c r="N174" s="59"/>
      <c r="O174" s="59" t="str">
        <f aca="false">IF(A174="","",IF(L174="","",A174-L174))</f>
        <v/>
      </c>
      <c r="P174" s="59" t="str">
        <f aca="false">IF(B174="","",IF(M174="","",B174-M174))</f>
        <v/>
      </c>
      <c r="Q174" s="59" t="str">
        <f aca="false">IF(C174="","",IF(N174="","",C174-N174))</f>
        <v/>
      </c>
      <c r="R174" s="65" t="str">
        <f aca="false">IF(COUNT(O174:Q174)&gt;0,AVERAGE(O174:Q174),"")</f>
        <v/>
      </c>
      <c r="S174" s="66"/>
      <c r="T174" s="63"/>
      <c r="U174" s="63"/>
      <c r="V174" s="63" t="str">
        <f aca="false">IF(R174="","",R174-U174)</f>
        <v/>
      </c>
      <c r="W174" s="63" t="str">
        <f aca="false">IF(R174="","",R174+U174)</f>
        <v/>
      </c>
      <c r="X174" s="87" t="str">
        <f aca="false">IF(D174="","",IF(V174="","",(V174-D174)/D174))</f>
        <v/>
      </c>
      <c r="Y174" s="87" t="str">
        <f aca="false">IF(D174="","",IF(W174="","",(W174-D174)/D174))</f>
        <v/>
      </c>
      <c r="Z174" s="87"/>
      <c r="AA174" s="87" t="str">
        <f aca="false">IF(D174="","",IF(R174="","",(R174-D174)/D174))</f>
        <v/>
      </c>
      <c r="AB174" s="64" t="str">
        <f aca="false">IF(NOT(AA174=""),ABS(AA174),"")</f>
        <v/>
      </c>
      <c r="AD174" s="65" t="n">
        <v>1974.5</v>
      </c>
      <c r="AE174" s="66" t="n">
        <v>5852.25</v>
      </c>
      <c r="AF174" s="63" t="n">
        <v>76.5</v>
      </c>
      <c r="AG174" s="63" t="n">
        <v>687.314155274355</v>
      </c>
      <c r="AH174" s="63" t="n">
        <v>1287.18584472565</v>
      </c>
      <c r="AI174" s="63" t="n">
        <v>2661.81415527435</v>
      </c>
      <c r="AJ174" s="87" t="n">
        <f aca="false">IF(D174="","",IF(AH174="","",(AH174-D174)/D174))</f>
        <v>-0.418615246284711</v>
      </c>
      <c r="AK174" s="87" t="n">
        <f aca="false">IF(D174="","",IF(AI174="","",(AI174-D174)/D174))</f>
        <v>0.202264749446409</v>
      </c>
      <c r="AL174" s="87" t="n">
        <v>0.0387439858191947</v>
      </c>
      <c r="AM174" s="87" t="n">
        <f aca="false">IF(D174="","",IF(AD174="","",(AD174-D174)/D174))</f>
        <v>-0.108175248419151</v>
      </c>
      <c r="AN174" s="64" t="n">
        <f aca="false">IF(NOT(AM174=""),ABS(AM174),"")</f>
        <v>0.108175248419151</v>
      </c>
      <c r="AP174" s="65" t="n">
        <v>2048.5</v>
      </c>
      <c r="AQ174" s="66" t="n">
        <v>110.25</v>
      </c>
      <c r="AR174" s="63" t="n">
        <v>10.5</v>
      </c>
      <c r="AS174" s="63" t="n">
        <v>94.3372369984409</v>
      </c>
      <c r="AT174" s="63" t="n">
        <v>1954.16276300156</v>
      </c>
      <c r="AU174" s="63" t="n">
        <v>2142.83723699844</v>
      </c>
      <c r="AV174" s="87" t="n">
        <f aca="false">IF(D174="","",IF(AT174="","",(AT174-D174)/D174))</f>
        <v>-0.117360992320885</v>
      </c>
      <c r="AW174" s="87" t="n">
        <f aca="false">IF(D174="","",IF(AU174="","",(AU174-D174)/D174))</f>
        <v>-0.0321421693773984</v>
      </c>
      <c r="AX174" s="87" t="n">
        <v>0.00512570173297535</v>
      </c>
      <c r="AY174" s="45" t="n">
        <f aca="false">IF(D174="","",IF(AP174="","",(AP174-D174)/D174))</f>
        <v>-0.0747515808491418</v>
      </c>
      <c r="AZ174" s="64" t="n">
        <f aca="false">IF(NOT(AY174=""),ABS(AY174),"")</f>
        <v>0.0747515808491418</v>
      </c>
    </row>
    <row r="175" customFormat="false" ht="12.8" hidden="false" customHeight="false" outlineLevel="0" collapsed="false">
      <c r="A175" s="56" t="n">
        <v>1466</v>
      </c>
      <c r="B175" s="25" t="n">
        <v>1391</v>
      </c>
      <c r="C175" s="57"/>
      <c r="D175" s="65" t="n">
        <v>1428.5</v>
      </c>
      <c r="E175" s="66" t="n">
        <v>1406.25</v>
      </c>
      <c r="F175" s="63" t="n">
        <v>37.5</v>
      </c>
      <c r="G175" s="63" t="n">
        <v>336.91870356586</v>
      </c>
      <c r="H175" s="63" t="n">
        <v>1091.58129643414</v>
      </c>
      <c r="I175" s="63" t="n">
        <v>1765.41870356586</v>
      </c>
      <c r="J175" s="64" t="n">
        <v>0.0262513125656283</v>
      </c>
      <c r="L175" s="58" t="n">
        <v>1287</v>
      </c>
      <c r="M175" s="0" t="n">
        <v>1187</v>
      </c>
      <c r="N175" s="59" t="n">
        <v>1055</v>
      </c>
      <c r="O175" s="59" t="n">
        <f aca="false">IF(A175="","",IF(L175="","",A175-L175))</f>
        <v>179</v>
      </c>
      <c r="P175" s="59" t="n">
        <f aca="false">IF(B175="","",IF(M175="","",B175-M175))</f>
        <v>204</v>
      </c>
      <c r="Q175" s="59" t="str">
        <f aca="false">IF(C175="","",IF(N175="","",C175-N175))</f>
        <v/>
      </c>
      <c r="R175" s="65" t="n">
        <v>1176</v>
      </c>
      <c r="S175" s="66" t="n">
        <v>9027.55555555556</v>
      </c>
      <c r="T175" s="63" t="n">
        <v>95.0134493403726</v>
      </c>
      <c r="U175" s="63" t="n">
        <v>236.045542500846</v>
      </c>
      <c r="V175" s="63" t="n">
        <v>940</v>
      </c>
      <c r="W175" s="63" t="n">
        <v>1412</v>
      </c>
      <c r="X175" s="87" t="n">
        <f aca="false">IF(D175="","",IF(V175="","",(V175-D175)/D175))</f>
        <v>-0.341967098354918</v>
      </c>
      <c r="Y175" s="87" t="n">
        <f aca="false">IF(D175="","",IF(W175="","",(W175-D175)/D175))</f>
        <v>-0.0115505775288764</v>
      </c>
      <c r="Z175" s="87" t="n">
        <v>0.0807708552057574</v>
      </c>
      <c r="AA175" s="87" t="n">
        <f aca="false">IF(D175="","",IF(R175="","",(R175-D175)/D175))</f>
        <v>-0.176758837941897</v>
      </c>
      <c r="AB175" s="64" t="n">
        <f aca="false">IF(NOT(AA175=""),ABS(AA175),"")</f>
        <v>0.176758837941897</v>
      </c>
      <c r="AD175" s="65" t="n">
        <v>1367</v>
      </c>
      <c r="AE175" s="66" t="n">
        <v>5476</v>
      </c>
      <c r="AF175" s="63" t="n">
        <v>74</v>
      </c>
      <c r="AG175" s="63" t="n">
        <v>664.852908369964</v>
      </c>
      <c r="AH175" s="63" t="n">
        <v>702.147091630036</v>
      </c>
      <c r="AI175" s="63" t="n">
        <v>2031.85290836996</v>
      </c>
      <c r="AJ175" s="87" t="n">
        <f aca="false">IF(D175="","",IF(AH175="","",(AH175-D175)/D175))</f>
        <v>-0.508472459481949</v>
      </c>
      <c r="AK175" s="87" t="n">
        <f aca="false">IF(D175="","",IF(AI175="","",(AI175-D175)/D175))</f>
        <v>0.422368154266685</v>
      </c>
      <c r="AL175" s="87" t="n">
        <v>0.0541331382589612</v>
      </c>
      <c r="AM175" s="87" t="n">
        <f aca="false">IF(D175="","",IF(AD175="","",(AD175-D175)/D175))</f>
        <v>-0.0430521526076304</v>
      </c>
      <c r="AN175" s="64" t="n">
        <f aca="false">IF(NOT(AM175=""),ABS(AM175),"")</f>
        <v>0.0430521526076304</v>
      </c>
      <c r="AP175" s="65" t="n">
        <v>1442.5</v>
      </c>
      <c r="AQ175" s="66" t="n">
        <v>12432.25</v>
      </c>
      <c r="AR175" s="63" t="n">
        <v>111.5</v>
      </c>
      <c r="AS175" s="63" t="n">
        <v>1001.77161193582</v>
      </c>
      <c r="AT175" s="63" t="n">
        <v>440.728388064176</v>
      </c>
      <c r="AU175" s="63" t="n">
        <v>2444.27161193582</v>
      </c>
      <c r="AV175" s="87" t="n">
        <f aca="false">IF(D175="","",IF(AT175="","",(AT175-D175)/D175))</f>
        <v>-0.691474702090181</v>
      </c>
      <c r="AW175" s="87" t="n">
        <f aca="false">IF(D175="","",IF(AU175="","",(AU175-D175)/D175))</f>
        <v>0.711075682139181</v>
      </c>
      <c r="AX175" s="87" t="n">
        <v>0.0772963604852686</v>
      </c>
      <c r="AY175" s="45" t="n">
        <f aca="false">IF(D175="","",IF(AP175="","",(AP175-D175)/D175))</f>
        <v>0.00980049002450122</v>
      </c>
      <c r="AZ175" s="64" t="n">
        <f aca="false">IF(NOT(AY175=""),ABS(AY175),"")</f>
        <v>0.00980049002450122</v>
      </c>
    </row>
    <row r="176" customFormat="false" ht="12.8" hidden="false" customHeight="false" outlineLevel="0" collapsed="false">
      <c r="A176" s="56" t="n">
        <v>965</v>
      </c>
      <c r="B176" s="25" t="n">
        <v>1043</v>
      </c>
      <c r="C176" s="57" t="n">
        <v>1225</v>
      </c>
      <c r="D176" s="65" t="n">
        <v>1077.66666666667</v>
      </c>
      <c r="E176" s="66" t="n">
        <v>11867.5555555556</v>
      </c>
      <c r="F176" s="63" t="n">
        <v>108.938310779797</v>
      </c>
      <c r="G176" s="63" t="n">
        <v>270.63960782041</v>
      </c>
      <c r="H176" s="63" t="n">
        <v>807.027058846257</v>
      </c>
      <c r="I176" s="63" t="n">
        <v>1348.30627448708</v>
      </c>
      <c r="J176" s="64" t="n">
        <v>0.101087204559044</v>
      </c>
      <c r="L176" s="58" t="n">
        <v>942</v>
      </c>
      <c r="M176" s="0" t="n">
        <v>902</v>
      </c>
      <c r="N176" s="59" t="n">
        <v>858</v>
      </c>
      <c r="O176" s="59" t="n">
        <f aca="false">IF(A176="","",IF(L176="","",A176-L176))</f>
        <v>23</v>
      </c>
      <c r="P176" s="59" t="n">
        <f aca="false">IF(B176="","",IF(M176="","",B176-M176))</f>
        <v>141</v>
      </c>
      <c r="Q176" s="59" t="n">
        <f aca="false">IF(C176="","",IF(N176="","",C176-N176))</f>
        <v>367</v>
      </c>
      <c r="R176" s="65" t="n">
        <v>901</v>
      </c>
      <c r="S176" s="66" t="n">
        <v>1176.88888888889</v>
      </c>
      <c r="T176" s="63" t="n">
        <v>34.3058142140496</v>
      </c>
      <c r="U176" s="63" t="n">
        <v>85.2272450195924</v>
      </c>
      <c r="V176" s="63" t="n">
        <v>815</v>
      </c>
      <c r="W176" s="63" t="n">
        <v>986</v>
      </c>
      <c r="X176" s="87" t="n">
        <f aca="false">IF(D176="","",IF(V176="","",(V176-D176)/D176))</f>
        <v>-0.243736467677082</v>
      </c>
      <c r="Y176" s="87" t="n">
        <f aca="false">IF(D176="","",IF(W176="","",(W176-D176)/D176))</f>
        <v>-0.0850603154964457</v>
      </c>
      <c r="Z176" s="87" t="n">
        <v>0.0380893570104178</v>
      </c>
      <c r="AA176" s="87" t="n">
        <f aca="false">IF(D176="","",IF(R176="","",(R176-D176)/D176))</f>
        <v>-0.163934426229511</v>
      </c>
      <c r="AB176" s="64" t="n">
        <f aca="false">IF(NOT(AA176=""),ABS(AA176),"")</f>
        <v>0.163934426229511</v>
      </c>
      <c r="AD176" s="65" t="n">
        <v>969.666666666667</v>
      </c>
      <c r="AE176" s="66" t="n">
        <v>25666.8888888889</v>
      </c>
      <c r="AF176" s="63" t="n">
        <v>160.208891416453</v>
      </c>
      <c r="AG176" s="63" t="n">
        <v>398.013070258959</v>
      </c>
      <c r="AH176" s="63" t="n">
        <v>571.653596407708</v>
      </c>
      <c r="AI176" s="63" t="n">
        <v>1367.67973692563</v>
      </c>
      <c r="AJ176" s="87" t="n">
        <f aca="false">IF(D176="","",IF(AH176="","",(AH176-D176)/D176))</f>
        <v>-0.469545069835101</v>
      </c>
      <c r="AK176" s="87" t="n">
        <f aca="false">IF(D176="","",IF(AI176="","",(AI176-D176)/D176))</f>
        <v>0.269112035501663</v>
      </c>
      <c r="AL176" s="87" t="n">
        <v>0.165220582416418</v>
      </c>
      <c r="AM176" s="87" t="n">
        <f aca="false">IF(D176="","",IF(AD176="","",(AD176-D176)/D176))</f>
        <v>-0.100216517166721</v>
      </c>
      <c r="AN176" s="64" t="n">
        <f aca="false">IF(NOT(AM176=""),ABS(AM176),"")</f>
        <v>0.100216517166721</v>
      </c>
      <c r="AP176" s="65" t="n">
        <v>1121.5</v>
      </c>
      <c r="AQ176" s="66" t="n">
        <v>18090.25</v>
      </c>
      <c r="AR176" s="63" t="n">
        <v>134.5</v>
      </c>
      <c r="AS176" s="63" t="n">
        <v>1208.41508345622</v>
      </c>
      <c r="AT176" s="63" t="n">
        <v>-86.9150834562186</v>
      </c>
      <c r="AU176" s="63" t="n">
        <v>2329.91508345622</v>
      </c>
      <c r="AV176" s="87" t="n">
        <f aca="false">IF(D176="","",IF(AT176="","",(AT176-D176)/D176))</f>
        <v>-1.08065117549293</v>
      </c>
      <c r="AW176" s="87" t="n">
        <f aca="false">IF(D176="","",IF(AU176="","",(AU176-D176)/D176))</f>
        <v>1.16199976813135</v>
      </c>
      <c r="AX176" s="87" t="n">
        <v>0.119928666963888</v>
      </c>
      <c r="AY176" s="45" t="n">
        <f aca="false">IF(D176="","",IF(AP176="","",(AP176-D176)/D176))</f>
        <v>0.040674296319205</v>
      </c>
      <c r="AZ176" s="64" t="n">
        <f aca="false">IF(NOT(AY176=""),ABS(AY176),"")</f>
        <v>0.040674296319205</v>
      </c>
    </row>
    <row r="177" customFormat="false" ht="12.8" hidden="false" customHeight="false" outlineLevel="0" collapsed="false">
      <c r="A177" s="56" t="n">
        <v>666</v>
      </c>
      <c r="B177" s="25" t="n">
        <v>734</v>
      </c>
      <c r="C177" s="57" t="n">
        <v>750</v>
      </c>
      <c r="D177" s="65" t="n">
        <v>716.666666666667</v>
      </c>
      <c r="E177" s="66" t="n">
        <v>1326.22222222222</v>
      </c>
      <c r="F177" s="63" t="n">
        <v>36.4173340899938</v>
      </c>
      <c r="G177" s="63" t="n">
        <v>90.4729745250338</v>
      </c>
      <c r="H177" s="63" t="n">
        <v>626.193692141633</v>
      </c>
      <c r="I177" s="63" t="n">
        <v>807.1396411917</v>
      </c>
      <c r="J177" s="64" t="n">
        <v>0.0508148847767355</v>
      </c>
      <c r="L177" s="58" t="n">
        <v>593</v>
      </c>
      <c r="M177" s="0" t="n">
        <v>540</v>
      </c>
      <c r="N177" s="59" t="n">
        <v>684</v>
      </c>
      <c r="O177" s="59" t="n">
        <f aca="false">IF(A177="","",IF(L177="","",A177-L177))</f>
        <v>73</v>
      </c>
      <c r="P177" s="59" t="n">
        <f aca="false">IF(B177="","",IF(M177="","",B177-M177))</f>
        <v>194</v>
      </c>
      <c r="Q177" s="59" t="n">
        <f aca="false">IF(C177="","",IF(N177="","",C177-N177))</f>
        <v>66</v>
      </c>
      <c r="R177" s="65" t="n">
        <v>606</v>
      </c>
      <c r="S177" s="66" t="n">
        <v>3536.22222222222</v>
      </c>
      <c r="T177" s="63" t="n">
        <v>59.4661434954565</v>
      </c>
      <c r="U177" s="63" t="n">
        <v>147.734012387378</v>
      </c>
      <c r="V177" s="63" t="n">
        <v>458</v>
      </c>
      <c r="W177" s="63" t="n">
        <v>753</v>
      </c>
      <c r="X177" s="87" t="n">
        <f aca="false">IF(D177="","",IF(V177="","",(V177-D177)/D177))</f>
        <v>-0.36093023255814</v>
      </c>
      <c r="Y177" s="87" t="n">
        <f aca="false">IF(D177="","",IF(W177="","",(W177-D177)/D177))</f>
        <v>0.0506976744186042</v>
      </c>
      <c r="Z177" s="87" t="n">
        <v>0.0981829556887009</v>
      </c>
      <c r="AA177" s="87" t="n">
        <f aca="false">IF(D177="","",IF(R177="","",(R177-D177)/D177))</f>
        <v>-0.154418604651163</v>
      </c>
      <c r="AB177" s="64" t="n">
        <f aca="false">IF(NOT(AA177=""),ABS(AA177),"")</f>
        <v>0.154418604651163</v>
      </c>
      <c r="AD177" s="65" t="n">
        <v>691.333333333333</v>
      </c>
      <c r="AE177" s="66" t="n">
        <v>2014.88888888889</v>
      </c>
      <c r="AF177" s="63" t="n">
        <v>44.8875137303113</v>
      </c>
      <c r="AG177" s="63" t="n">
        <v>111.515765436834</v>
      </c>
      <c r="AH177" s="63" t="n">
        <v>579.817567896499</v>
      </c>
      <c r="AI177" s="63" t="n">
        <v>802.849098770167</v>
      </c>
      <c r="AJ177" s="87" t="n">
        <f aca="false">IF(D177="","",IF(AH177="","",(AH177-D177)/D177))</f>
        <v>-0.190952230842095</v>
      </c>
      <c r="AK177" s="87" t="n">
        <f aca="false">IF(D177="","",IF(AI177="","",(AI177-D177)/D177))</f>
        <v>0.120254556423488</v>
      </c>
      <c r="AL177" s="87" t="n">
        <v>0.0649289012492449</v>
      </c>
      <c r="AM177" s="87" t="n">
        <f aca="false">IF(D177="","",IF(AD177="","",(AD177-D177)/D177))</f>
        <v>-0.0353488372093032</v>
      </c>
      <c r="AN177" s="64" t="n">
        <f aca="false">IF(NOT(AM177=""),ABS(AM177),"")</f>
        <v>0.0353488372093032</v>
      </c>
      <c r="AP177" s="65" t="n">
        <v>698.5</v>
      </c>
      <c r="AQ177" s="66" t="n">
        <v>210.25</v>
      </c>
      <c r="AR177" s="63" t="n">
        <v>14.5</v>
      </c>
      <c r="AS177" s="63" t="n">
        <v>130.275232045466</v>
      </c>
      <c r="AT177" s="63" t="n">
        <v>568.224767954534</v>
      </c>
      <c r="AU177" s="63" t="n">
        <v>828.775232045466</v>
      </c>
      <c r="AV177" s="87" t="n">
        <f aca="false">IF(D177="","",IF(AT177="","",(AT177-D177)/D177))</f>
        <v>-0.207128230761116</v>
      </c>
      <c r="AW177" s="87" t="n">
        <f aca="false">IF(D177="","",IF(AU177="","",(AU177-D177)/D177))</f>
        <v>0.15643055634251</v>
      </c>
      <c r="AX177" s="87" t="n">
        <v>0.0207587687902649</v>
      </c>
      <c r="AY177" s="45" t="n">
        <f aca="false">IF(D177="","",IF(AP177="","",(AP177-D177)/D177))</f>
        <v>-0.0253488372093027</v>
      </c>
      <c r="AZ177" s="64" t="n">
        <f aca="false">IF(NOT(AY177=""),ABS(AY177),"")</f>
        <v>0.0253488372093027</v>
      </c>
    </row>
    <row r="178" customFormat="false" ht="12.8" hidden="false" customHeight="false" outlineLevel="0" collapsed="false">
      <c r="A178" s="56" t="n">
        <v>542</v>
      </c>
      <c r="B178" s="25" t="n">
        <v>673</v>
      </c>
      <c r="C178" s="57" t="n">
        <v>632</v>
      </c>
      <c r="D178" s="65" t="n">
        <v>615.666666666667</v>
      </c>
      <c r="E178" s="66" t="n">
        <v>2993.55555555556</v>
      </c>
      <c r="F178" s="63" t="n">
        <v>54.7133946630581</v>
      </c>
      <c r="G178" s="63" t="n">
        <v>135.926576868489</v>
      </c>
      <c r="H178" s="63" t="n">
        <v>479.740089798178</v>
      </c>
      <c r="I178" s="63" t="n">
        <v>751.593243535155</v>
      </c>
      <c r="J178" s="64" t="n">
        <v>0.0888685349156331</v>
      </c>
      <c r="L178" s="58"/>
      <c r="M178" s="0" t="n">
        <v>515</v>
      </c>
      <c r="N178" s="59" t="n">
        <v>517</v>
      </c>
      <c r="O178" s="59" t="str">
        <f aca="false">IF(A178="","",IF(L178="","",A178-L178))</f>
        <v/>
      </c>
      <c r="P178" s="59" t="n">
        <f aca="false">IF(B178="","",IF(M178="","",B178-M178))</f>
        <v>158</v>
      </c>
      <c r="Q178" s="59" t="n">
        <f aca="false">IF(C178="","",IF(N178="","",C178-N178))</f>
        <v>115</v>
      </c>
      <c r="R178" s="65" t="n">
        <v>516</v>
      </c>
      <c r="S178" s="66" t="n">
        <v>1</v>
      </c>
      <c r="T178" s="63" t="n">
        <v>1</v>
      </c>
      <c r="U178" s="63" t="n">
        <v>8.98449876175627</v>
      </c>
      <c r="V178" s="63" t="n">
        <v>507</v>
      </c>
      <c r="W178" s="63" t="n">
        <v>525</v>
      </c>
      <c r="X178" s="87" t="n">
        <f aca="false">IF(D178="","",IF(V178="","",(V178-D178)/D178))</f>
        <v>-0.176502436383325</v>
      </c>
      <c r="Y178" s="87" t="n">
        <f aca="false">IF(D178="","",IF(W178="","",(W178-D178)/D178))</f>
        <v>-0.147265836491608</v>
      </c>
      <c r="Z178" s="87" t="n">
        <v>0.00193798449612403</v>
      </c>
      <c r="AA178" s="87" t="n">
        <f aca="false">IF(D178="","",IF(R178="","",(R178-D178)/D178))</f>
        <v>-0.161884136437467</v>
      </c>
      <c r="AB178" s="64" t="n">
        <f aca="false">IF(NOT(AA178=""),ABS(AA178),"")</f>
        <v>0.161884136437467</v>
      </c>
      <c r="AD178" s="65" t="n">
        <v>526.666666666667</v>
      </c>
      <c r="AE178" s="66" t="n">
        <v>6733.55555555556</v>
      </c>
      <c r="AF178" s="63" t="n">
        <v>82.0582448968753</v>
      </c>
      <c r="AG178" s="63" t="n">
        <v>203.86043310523</v>
      </c>
      <c r="AH178" s="63" t="n">
        <v>322.806233561437</v>
      </c>
      <c r="AI178" s="63" t="n">
        <v>730.527099771896</v>
      </c>
      <c r="AJ178" s="87" t="n">
        <f aca="false">IF(D178="","",IF(AH178="","",(AH178-D178)/D178))</f>
        <v>-0.475680183711797</v>
      </c>
      <c r="AK178" s="87" t="n">
        <f aca="false">IF(D178="","",IF(AI178="","",(AI178-D178)/D178))</f>
        <v>0.186562695893713</v>
      </c>
      <c r="AL178" s="87" t="n">
        <v>0.155806794107991</v>
      </c>
      <c r="AM178" s="87" t="n">
        <f aca="false">IF(D178="","",IF(AD178="","",(AD178-D178)/D178))</f>
        <v>-0.144558743909042</v>
      </c>
      <c r="AN178" s="64" t="n">
        <f aca="false">IF(NOT(AM178=""),ABS(AM178),"")</f>
        <v>0.144558743909042</v>
      </c>
      <c r="AP178" s="65" t="n">
        <v>619</v>
      </c>
      <c r="AQ178" s="66" t="n">
        <v>4761</v>
      </c>
      <c r="AR178" s="63" t="n">
        <v>69</v>
      </c>
      <c r="AS178" s="63" t="n">
        <v>619.930414561183</v>
      </c>
      <c r="AT178" s="63" t="n">
        <v>-0.930414561182715</v>
      </c>
      <c r="AU178" s="63" t="n">
        <v>1238.93041456118</v>
      </c>
      <c r="AV178" s="87" t="n">
        <f aca="false">IF(D178="","",IF(AT178="","",(AT178-D178)/D178))</f>
        <v>-1.00151123101437</v>
      </c>
      <c r="AW178" s="87" t="n">
        <f aca="false">IF(D178="","",IF(AU178="","",(AU178-D178)/D178))</f>
        <v>1.01233960134463</v>
      </c>
      <c r="AX178" s="87" t="n">
        <v>0.111470113085622</v>
      </c>
      <c r="AY178" s="45" t="n">
        <f aca="false">IF(D178="","",IF(AP178="","",(AP178-D178)/D178))</f>
        <v>0.00541418516513215</v>
      </c>
      <c r="AZ178" s="64" t="n">
        <f aca="false">IF(NOT(AY178=""),ABS(AY178),"")</f>
        <v>0.00541418516513215</v>
      </c>
    </row>
    <row r="179" customFormat="false" ht="12.8" hidden="false" customHeight="false" outlineLevel="0" collapsed="false">
      <c r="A179" s="56" t="n">
        <v>548</v>
      </c>
      <c r="B179" s="25" t="n">
        <v>468</v>
      </c>
      <c r="C179" s="57" t="n">
        <v>486</v>
      </c>
      <c r="D179" s="65" t="n">
        <v>500.666666666667</v>
      </c>
      <c r="E179" s="66" t="n">
        <v>1174.22222222222</v>
      </c>
      <c r="F179" s="63" t="n">
        <v>34.2669260690571</v>
      </c>
      <c r="G179" s="63" t="n">
        <v>85.1306337151365</v>
      </c>
      <c r="H179" s="63" t="n">
        <v>415.53603295153</v>
      </c>
      <c r="I179" s="63" t="n">
        <v>585.797300381803</v>
      </c>
      <c r="J179" s="64" t="n">
        <v>0.0684425953443217</v>
      </c>
      <c r="L179" s="58" t="n">
        <v>391</v>
      </c>
      <c r="M179" s="0" t="n">
        <v>393</v>
      </c>
      <c r="N179" s="59" t="n">
        <v>405</v>
      </c>
      <c r="O179" s="59" t="n">
        <f aca="false">IF(A179="","",IF(L179="","",A179-L179))</f>
        <v>157</v>
      </c>
      <c r="P179" s="59" t="n">
        <f aca="false">IF(B179="","",IF(M179="","",B179-M179))</f>
        <v>75</v>
      </c>
      <c r="Q179" s="59" t="n">
        <f aca="false">IF(C179="","",IF(N179="","",C179-N179))</f>
        <v>81</v>
      </c>
      <c r="R179" s="65" t="n">
        <v>396</v>
      </c>
      <c r="S179" s="66" t="n">
        <v>38.2222222222222</v>
      </c>
      <c r="T179" s="63" t="n">
        <v>6.18241233033047</v>
      </c>
      <c r="U179" s="63" t="n">
        <v>15.359203171847</v>
      </c>
      <c r="V179" s="63" t="n">
        <v>381</v>
      </c>
      <c r="W179" s="63" t="n">
        <v>412</v>
      </c>
      <c r="X179" s="87" t="n">
        <f aca="false">IF(D179="","",IF(V179="","",(V179-D179)/D179))</f>
        <v>-0.239014647137151</v>
      </c>
      <c r="Y179" s="87" t="n">
        <f aca="false">IF(D179="","",IF(W179="","",(W179-D179)/D179))</f>
        <v>-0.177097203728363</v>
      </c>
      <c r="Z179" s="87" t="n">
        <v>0.0155990218595386</v>
      </c>
      <c r="AA179" s="87" t="n">
        <f aca="false">IF(D179="","",IF(R179="","",(R179-D179)/D179))</f>
        <v>-0.209054593874834</v>
      </c>
      <c r="AB179" s="64" t="n">
        <f aca="false">IF(NOT(AA179=""),ABS(AA179),"")</f>
        <v>0.209054593874834</v>
      </c>
      <c r="AD179" s="65" t="n">
        <v>471</v>
      </c>
      <c r="AE179" s="66" t="n">
        <v>160.666666666667</v>
      </c>
      <c r="AF179" s="63" t="n">
        <v>12.675435561221</v>
      </c>
      <c r="AG179" s="63" t="n">
        <v>31.490068871877</v>
      </c>
      <c r="AH179" s="63" t="n">
        <v>439.509931128123</v>
      </c>
      <c r="AI179" s="63" t="n">
        <v>502.490068871877</v>
      </c>
      <c r="AJ179" s="87" t="n">
        <f aca="false">IF(D179="","",IF(AH179="","",(AH179-D179)/D179))</f>
        <v>-0.122150603605614</v>
      </c>
      <c r="AK179" s="87" t="n">
        <f aca="false">IF(D179="","",IF(AI179="","",(AI179-D179)/D179))</f>
        <v>0.00364194847911443</v>
      </c>
      <c r="AL179" s="87" t="n">
        <v>0.0269117527839088</v>
      </c>
      <c r="AM179" s="87" t="n">
        <f aca="false">IF(D179="","",IF(AD179="","",(AD179-D179)/D179))</f>
        <v>-0.0592543275632497</v>
      </c>
      <c r="AN179" s="64" t="n">
        <f aca="false">IF(NOT(AM179=""),ABS(AM179),"")</f>
        <v>0.0592543275632497</v>
      </c>
      <c r="AP179" s="65" t="n">
        <v>452</v>
      </c>
      <c r="AQ179" s="66" t="n">
        <v>1225</v>
      </c>
      <c r="AR179" s="63" t="n">
        <v>35</v>
      </c>
      <c r="AS179" s="63" t="n">
        <v>314.45745666147</v>
      </c>
      <c r="AT179" s="63" t="n">
        <v>137.542543338531</v>
      </c>
      <c r="AU179" s="63" t="n">
        <v>766.45745666147</v>
      </c>
      <c r="AV179" s="87" t="n">
        <f aca="false">IF(D179="","",IF(AT179="","",(AT179-D179)/D179))</f>
        <v>-0.725281205049539</v>
      </c>
      <c r="AW179" s="87" t="n">
        <f aca="false">IF(D179="","",IF(AU179="","",(AU179-D179)/D179))</f>
        <v>0.530873748325172</v>
      </c>
      <c r="AX179" s="87" t="n">
        <v>0.0774336283185841</v>
      </c>
      <c r="AY179" s="45" t="n">
        <f aca="false">IF(D179="","",IF(AP179="","",(AP179-D179)/D179))</f>
        <v>-0.0972037283621844</v>
      </c>
      <c r="AZ179" s="64" t="n">
        <f aca="false">IF(NOT(AY179=""),ABS(AY179),"")</f>
        <v>0.0972037283621844</v>
      </c>
    </row>
    <row r="180" customFormat="false" ht="12.8" hidden="false" customHeight="false" outlineLevel="0" collapsed="false">
      <c r="A180" s="56" t="n">
        <v>474</v>
      </c>
      <c r="B180" s="25" t="n">
        <v>376</v>
      </c>
      <c r="C180" s="57" t="n">
        <v>356</v>
      </c>
      <c r="D180" s="65" t="n">
        <v>402</v>
      </c>
      <c r="E180" s="66" t="n">
        <v>2658.66666666667</v>
      </c>
      <c r="F180" s="63" t="n">
        <v>51.562260100452</v>
      </c>
      <c r="G180" s="63" t="n">
        <v>128.098092875039</v>
      </c>
      <c r="H180" s="63" t="n">
        <v>273.901907124961</v>
      </c>
      <c r="I180" s="63" t="n">
        <v>530.098092875039</v>
      </c>
      <c r="J180" s="64" t="n">
        <v>0.12826432860809</v>
      </c>
      <c r="L180" s="58" t="n">
        <v>461</v>
      </c>
      <c r="M180" s="0" t="n">
        <v>399</v>
      </c>
      <c r="N180" s="59" t="n">
        <v>311</v>
      </c>
      <c r="O180" s="59" t="n">
        <f aca="false">IF(A180="","",IF(L180="","",A180-L180))</f>
        <v>13</v>
      </c>
      <c r="P180" s="59" t="n">
        <f aca="false">IF(B180="","",IF(M180="","",B180-M180))</f>
        <v>-23</v>
      </c>
      <c r="Q180" s="59" t="n">
        <f aca="false">IF(C180="","",IF(N180="","",C180-N180))</f>
        <v>45</v>
      </c>
      <c r="R180" s="65" t="n">
        <v>390</v>
      </c>
      <c r="S180" s="66" t="n">
        <v>3787.55555555556</v>
      </c>
      <c r="T180" s="63" t="n">
        <v>61.5431194818361</v>
      </c>
      <c r="U180" s="63" t="n">
        <v>152.893923188111</v>
      </c>
      <c r="V180" s="63" t="n">
        <v>237</v>
      </c>
      <c r="W180" s="63" t="n">
        <v>543</v>
      </c>
      <c r="X180" s="87" t="n">
        <f aca="false">IF(D180="","",IF(V180="","",(V180-D180)/D180))</f>
        <v>-0.41044776119403</v>
      </c>
      <c r="Y180" s="87" t="n">
        <f aca="false">IF(D180="","",IF(W180="","",(W180-D180)/D180))</f>
        <v>0.350746268656716</v>
      </c>
      <c r="Z180" s="87" t="n">
        <v>0.157668111396677</v>
      </c>
      <c r="AA180" s="87" t="n">
        <f aca="false">IF(D180="","",IF(R180="","",(R180-D180)/D180))</f>
        <v>-0.0298507462686567</v>
      </c>
      <c r="AB180" s="64" t="n">
        <f aca="false">IF(NOT(AA180=""),ABS(AA180),"")</f>
        <v>0.0298507462686567</v>
      </c>
      <c r="AD180" s="65" t="n">
        <v>380.333333333333</v>
      </c>
      <c r="AE180" s="66" t="n">
        <v>534.222222222222</v>
      </c>
      <c r="AF180" s="63" t="n">
        <v>23.1132477644796</v>
      </c>
      <c r="AG180" s="63" t="n">
        <v>57.421124539732</v>
      </c>
      <c r="AH180" s="63" t="n">
        <v>322.912208793601</v>
      </c>
      <c r="AI180" s="63" t="n">
        <v>437.754457873065</v>
      </c>
      <c r="AJ180" s="87" t="n">
        <f aca="false">IF(D180="","",IF(AH180="","",(AH180-D180)/D180))</f>
        <v>-0.196735799020893</v>
      </c>
      <c r="AK180" s="87" t="n">
        <f aca="false">IF(D180="","",IF(AI180="","",(AI180-D180)/D180))</f>
        <v>0.0889414374951866</v>
      </c>
      <c r="AL180" s="87" t="n">
        <v>0.060771028302751</v>
      </c>
      <c r="AM180" s="87" t="n">
        <f aca="false">IF(D180="","",IF(AD180="","",(AD180-D180)/D180))</f>
        <v>-0.0538971807628533</v>
      </c>
      <c r="AN180" s="64" t="n">
        <f aca="false">IF(NOT(AM180=""),ABS(AM180),"")</f>
        <v>0.0538971807628533</v>
      </c>
      <c r="AP180" s="65" t="n">
        <v>397.5</v>
      </c>
      <c r="AQ180" s="66" t="n">
        <v>600.25</v>
      </c>
      <c r="AR180" s="63" t="n">
        <v>24.5</v>
      </c>
      <c r="AS180" s="63" t="n">
        <v>220.120219663029</v>
      </c>
      <c r="AT180" s="63" t="n">
        <v>177.379780336971</v>
      </c>
      <c r="AU180" s="63" t="n">
        <v>617.620219663029</v>
      </c>
      <c r="AV180" s="87" t="n">
        <f aca="false">IF(D180="","",IF(AT180="","",(AT180-D180)/D180))</f>
        <v>-0.558756765330918</v>
      </c>
      <c r="AW180" s="87" t="n">
        <f aca="false">IF(D180="","",IF(AU180="","",(AU180-D180)/D180))</f>
        <v>0.536368705629426</v>
      </c>
      <c r="AX180" s="87" t="n">
        <v>0.0616352201257862</v>
      </c>
      <c r="AY180" s="45" t="n">
        <f aca="false">IF(D180="","",IF(AP180="","",(AP180-D180)/D180))</f>
        <v>-0.0111940298507463</v>
      </c>
      <c r="AZ180" s="64" t="n">
        <f aca="false">IF(NOT(AY180=""),ABS(AY180),"")</f>
        <v>0.0111940298507463</v>
      </c>
    </row>
    <row r="181" customFormat="false" ht="12.8" hidden="false" customHeight="false" outlineLevel="0" collapsed="false">
      <c r="A181" s="56" t="n">
        <v>364</v>
      </c>
      <c r="B181" s="25" t="n">
        <v>298</v>
      </c>
      <c r="C181" s="57" t="n">
        <v>309</v>
      </c>
      <c r="D181" s="65" t="n">
        <v>323.666666666667</v>
      </c>
      <c r="E181" s="66" t="n">
        <v>833.555555555556</v>
      </c>
      <c r="F181" s="63" t="n">
        <v>28.87136220471</v>
      </c>
      <c r="G181" s="63" t="n">
        <v>71.7262282514924</v>
      </c>
      <c r="H181" s="63" t="n">
        <v>251.940438415174</v>
      </c>
      <c r="I181" s="63" t="n">
        <v>395.392894918159</v>
      </c>
      <c r="J181" s="64" t="n">
        <v>0.0892009130938516</v>
      </c>
      <c r="L181" s="58" t="n">
        <v>239</v>
      </c>
      <c r="N181" s="59" t="n">
        <v>246</v>
      </c>
      <c r="O181" s="59" t="n">
        <f aca="false">IF(A181="","",IF(L181="","",A181-L181))</f>
        <v>125</v>
      </c>
      <c r="P181" s="59" t="str">
        <f aca="false">IF(B181="","",IF(M181="","",B181-M181))</f>
        <v/>
      </c>
      <c r="Q181" s="59" t="n">
        <f aca="false">IF(C181="","",IF(N181="","",C181-N181))</f>
        <v>63</v>
      </c>
      <c r="R181" s="65" t="n">
        <v>243</v>
      </c>
      <c r="S181" s="66" t="n">
        <v>12.25</v>
      </c>
      <c r="T181" s="63" t="n">
        <v>3.5</v>
      </c>
      <c r="U181" s="63" t="n">
        <v>31.445745666147</v>
      </c>
      <c r="V181" s="63" t="n">
        <v>211</v>
      </c>
      <c r="W181" s="63" t="n">
        <v>274</v>
      </c>
      <c r="X181" s="87" t="n">
        <f aca="false">IF(D181="","",IF(V181="","",(V181-D181)/D181))</f>
        <v>-0.348094747682802</v>
      </c>
      <c r="Y181" s="87" t="n">
        <f aca="false">IF(D181="","",IF(W181="","",(W181-D181)/D181))</f>
        <v>-0.153450051493307</v>
      </c>
      <c r="Z181" s="87" t="n">
        <v>0.0144329896907217</v>
      </c>
      <c r="AA181" s="87" t="n">
        <f aca="false">IF(D181="","",IF(R181="","",(R181-D181)/D181))</f>
        <v>-0.249227600411947</v>
      </c>
      <c r="AB181" s="64" t="n">
        <f aca="false">IF(NOT(AA181=""),ABS(AA181),"")</f>
        <v>0.249227600411947</v>
      </c>
      <c r="AD181" s="65" t="n">
        <v>330</v>
      </c>
      <c r="AE181" s="66" t="n">
        <v>494</v>
      </c>
      <c r="AF181" s="63" t="n">
        <v>22.2261107708929</v>
      </c>
      <c r="AG181" s="63" t="n">
        <v>55.2171762105476</v>
      </c>
      <c r="AH181" s="63" t="n">
        <v>274.782823789452</v>
      </c>
      <c r="AI181" s="63" t="n">
        <v>385.217176210548</v>
      </c>
      <c r="AJ181" s="87" t="n">
        <f aca="false">IF(D181="","",IF(AH181="","",(AH181-D181)/D181))</f>
        <v>-0.151031440403342</v>
      </c>
      <c r="AK181" s="87" t="n">
        <f aca="false">IF(D181="","",IF(AI181="","",(AI181-D181)/D181))</f>
        <v>0.19016635286472</v>
      </c>
      <c r="AL181" s="87" t="n">
        <v>0.0673518508208875</v>
      </c>
      <c r="AM181" s="87" t="n">
        <f aca="false">IF(D181="","",IF(AD181="","",(AD181-D181)/D181))</f>
        <v>0.0195674562306889</v>
      </c>
      <c r="AN181" s="64" t="n">
        <f aca="false">IF(NOT(AM181=""),ABS(AM181),"")</f>
        <v>0.0195674562306889</v>
      </c>
      <c r="AP181" s="65" t="n">
        <v>315.5</v>
      </c>
      <c r="AQ181" s="66" t="n">
        <v>12.25</v>
      </c>
      <c r="AR181" s="63" t="n">
        <v>3.5</v>
      </c>
      <c r="AS181" s="63" t="n">
        <v>31.445745666147</v>
      </c>
      <c r="AT181" s="63" t="n">
        <v>284.054254333853</v>
      </c>
      <c r="AU181" s="63" t="n">
        <v>346.945745666147</v>
      </c>
      <c r="AV181" s="87" t="n">
        <f aca="false">IF(D181="","",IF(AT181="","",(AT181-D181)/D181))</f>
        <v>-0.122386443870692</v>
      </c>
      <c r="AW181" s="87" t="n">
        <f aca="false">IF(D181="","",IF(AU181="","",(AU181-D181)/D181))</f>
        <v>0.0719230041178577</v>
      </c>
      <c r="AX181" s="87" t="n">
        <v>0.0110935023771791</v>
      </c>
      <c r="AY181" s="45" t="n">
        <f aca="false">IF(D181="","",IF(AP181="","",(AP181-D181)/D181))</f>
        <v>-0.0252317198764172</v>
      </c>
      <c r="AZ181" s="64" t="n">
        <f aca="false">IF(NOT(AY181=""),ABS(AY181),"")</f>
        <v>0.0252317198764172</v>
      </c>
    </row>
    <row r="182" customFormat="false" ht="12.8" hidden="false" customHeight="false" outlineLevel="0" collapsed="false">
      <c r="A182" s="68" t="n">
        <v>328</v>
      </c>
      <c r="B182" s="70" t="n">
        <v>229</v>
      </c>
      <c r="C182" s="69" t="n">
        <v>297</v>
      </c>
      <c r="D182" s="74" t="n">
        <v>284.666666666667</v>
      </c>
      <c r="E182" s="75" t="n">
        <v>1709.55555555556</v>
      </c>
      <c r="F182" s="75" t="n">
        <v>41.3467720088952</v>
      </c>
      <c r="G182" s="75" t="n">
        <v>102.719365492516</v>
      </c>
      <c r="H182" s="75" t="n">
        <v>181.94730117415</v>
      </c>
      <c r="I182" s="75" t="n">
        <v>387.386032159183</v>
      </c>
      <c r="J182" s="76" t="n">
        <v>0.145246271694011</v>
      </c>
      <c r="L182" s="71" t="n">
        <v>215</v>
      </c>
      <c r="M182" s="72" t="n">
        <v>211</v>
      </c>
      <c r="N182" s="73" t="n">
        <v>196</v>
      </c>
      <c r="O182" s="59" t="n">
        <f aca="false">IF(A182="","",IF(L182="","",A182-L182))</f>
        <v>113</v>
      </c>
      <c r="P182" s="59" t="n">
        <f aca="false">IF(B182="","",IF(M182="","",B182-M182))</f>
        <v>18</v>
      </c>
      <c r="Q182" s="59" t="n">
        <f aca="false">IF(C182="","",IF(N182="","",C182-N182))</f>
        <v>101</v>
      </c>
      <c r="R182" s="65" t="n">
        <v>207</v>
      </c>
      <c r="S182" s="75" t="n">
        <v>66.8888888888889</v>
      </c>
      <c r="T182" s="75" t="n">
        <v>8.17856276425687</v>
      </c>
      <c r="U182" s="75" t="n">
        <v>20.3183159644108</v>
      </c>
      <c r="V182" s="63" t="n">
        <v>187</v>
      </c>
      <c r="W182" s="63" t="n">
        <v>228</v>
      </c>
      <c r="X182" s="87" t="n">
        <f aca="false">IF(D182="","",IF(V182="","",(V182-D182)/D182))</f>
        <v>-0.343091334894614</v>
      </c>
      <c r="Y182" s="87" t="n">
        <f aca="false">IF(D182="","",IF(W182="","",(W182-D182)/D182))</f>
        <v>-0.199063231850118</v>
      </c>
      <c r="Z182" s="88" t="n">
        <v>0.0394464442005958</v>
      </c>
      <c r="AA182" s="87" t="n">
        <f aca="false">IF(D182="","",IF(R182="","",(R182-D182)/D182))</f>
        <v>-0.272833723653397</v>
      </c>
      <c r="AB182" s="76" t="n">
        <f aca="false">IF(NOT(AA182=""),ABS(AA182),"")</f>
        <v>0.272833723653397</v>
      </c>
      <c r="AD182" s="74" t="n">
        <v>271.5</v>
      </c>
      <c r="AE182" s="75" t="n">
        <v>870.25</v>
      </c>
      <c r="AF182" s="75" t="n">
        <v>29.5</v>
      </c>
      <c r="AG182" s="75" t="n">
        <v>265.04271347181</v>
      </c>
      <c r="AH182" s="75" t="n">
        <v>6.45728652818997</v>
      </c>
      <c r="AI182" s="75" t="n">
        <v>536.54271347181</v>
      </c>
      <c r="AJ182" s="87" t="n">
        <f aca="false">IF(D182="","",IF(AH182="","",(AH182-D182)/D182))</f>
        <v>-0.977316323671464</v>
      </c>
      <c r="AK182" s="87" t="n">
        <f aca="false">IF(D182="","",IF(AI182="","",(AI182-D182)/D182))</f>
        <v>0.884810468870525</v>
      </c>
      <c r="AL182" s="88" t="n">
        <v>0.10865561694291</v>
      </c>
      <c r="AM182" s="88" t="n">
        <f aca="false">IF(D182="","",IF(AD182="","",(AD182-D182)/D182))</f>
        <v>-0.0462529274004696</v>
      </c>
      <c r="AN182" s="76" t="n">
        <f aca="false">IF(NOT(AM182=""),ABS(AM182),"")</f>
        <v>0.0462529274004696</v>
      </c>
      <c r="AP182" s="74" t="n">
        <v>267.5</v>
      </c>
      <c r="AQ182" s="75" t="n">
        <v>462.25</v>
      </c>
      <c r="AR182" s="75" t="n">
        <v>21.5</v>
      </c>
      <c r="AS182" s="75" t="n">
        <v>193.16672337776</v>
      </c>
      <c r="AT182" s="75" t="n">
        <v>74.3332766222402</v>
      </c>
      <c r="AU182" s="75" t="n">
        <v>460.66672337776</v>
      </c>
      <c r="AV182" s="87" t="n">
        <f aca="false">IF(D182="","",IF(AT182="","",(AT182-D182)/D182))</f>
        <v>-0.738876077439438</v>
      </c>
      <c r="AW182" s="87" t="n">
        <f aca="false">IF(D182="","",IF(AU182="","",(AU182-D182)/D182))</f>
        <v>0.618267178142012</v>
      </c>
      <c r="AX182" s="88" t="n">
        <v>0.0803738317757009</v>
      </c>
      <c r="AY182" s="88" t="n">
        <f aca="false">IF(D182="","",IF(AP182="","",(AP182-D182)/D182))</f>
        <v>-0.0603044496487131</v>
      </c>
      <c r="AZ182" s="76" t="n">
        <f aca="false">IF(NOT(AY182=""),ABS(AY182),"")</f>
        <v>0.0603044496487131</v>
      </c>
    </row>
    <row r="183" customFormat="false" ht="12.8" hidden="false" customHeight="false" outlineLevel="0" collapsed="false">
      <c r="R183" s="0" t="n">
        <f aca="false">AVERAGE(R3:R182)</f>
        <v>534.758620689655</v>
      </c>
      <c r="U183" s="0" t="n">
        <f aca="false">AVERAGE(U3:U182)</f>
        <v>137.867459848391</v>
      </c>
      <c r="V183" s="0" t="n">
        <f aca="false">(R183-U183)/R183</f>
        <v>0.742187494480052</v>
      </c>
      <c r="W183" s="0" t="n">
        <f aca="false">(R183+U183)/R183</f>
        <v>1.25781250551995</v>
      </c>
      <c r="X183" s="45" t="n">
        <f aca="false">AVERAGE(X3:X182)</f>
        <v>-0.280304661347763</v>
      </c>
      <c r="Y183" s="45" t="n">
        <f aca="false">AVERAGE(Y3:Y182)</f>
        <v>0.154182850746908</v>
      </c>
      <c r="AA183" s="89" t="n">
        <f aca="false">AVERAGE(AA3:AA182)</f>
        <v>-0.063143913870126</v>
      </c>
      <c r="AB183" s="89" t="n">
        <f aca="false">AVERAGE(AB3:AB182)</f>
        <v>0.133040590158544</v>
      </c>
      <c r="AJ183" s="45" t="n">
        <f aca="false">AVERAGE(AJ3:AJ182)</f>
        <v>-0.471391863707204</v>
      </c>
      <c r="AK183" s="45" t="n">
        <f aca="false">AVERAGE(AK3:AK182)</f>
        <v>0.370370306665636</v>
      </c>
      <c r="AM183" s="90" t="n">
        <f aca="false">AVERAGE(AM3:AM182)</f>
        <v>-0.0505107785207839</v>
      </c>
      <c r="AN183" s="89" t="n">
        <f aca="false">AVERAGE(AN3:AN182)</f>
        <v>0.131645860302177</v>
      </c>
      <c r="AV183" s="87" t="n">
        <f aca="false">AVERAGE(AV3:AV182)</f>
        <v>-0.622001292712052</v>
      </c>
      <c r="AW183" s="87" t="n">
        <f aca="false">AVERAGE(AW3:AW182)</f>
        <v>0.570201155681348</v>
      </c>
      <c r="AY183" s="89" t="n">
        <f aca="false">AVERAGE(AY3:AY182)</f>
        <v>-0.0259000685153517</v>
      </c>
      <c r="AZ183" s="89" t="n">
        <f aca="false">AVERAGE(AZ3:AZ182)</f>
        <v>0.086042928043715</v>
      </c>
    </row>
    <row r="184" customFormat="false" ht="12.8" hidden="false" customHeight="false" outlineLevel="0" collapsed="false">
      <c r="U184" s="0" t="n">
        <f aca="false">U183/R183</f>
        <v>0.257812505519948</v>
      </c>
      <c r="AV184" s="63"/>
      <c r="AW184" s="63"/>
    </row>
    <row r="185" customFormat="false" ht="12.8" hidden="false" customHeight="false" outlineLevel="0" collapsed="false">
      <c r="AV185" s="63"/>
      <c r="AW185" s="63"/>
    </row>
    <row r="186" customFormat="false" ht="12.8" hidden="false" customHeight="false" outlineLevel="0" collapsed="false">
      <c r="AV186" s="63"/>
      <c r="AW186" s="63"/>
    </row>
    <row r="187" customFormat="false" ht="12.8" hidden="false" customHeight="false" outlineLevel="0" collapsed="false">
      <c r="AV187" s="63"/>
      <c r="AW187" s="63"/>
    </row>
    <row r="188" customFormat="false" ht="12.8" hidden="false" customHeight="false" outlineLevel="0" collapsed="false">
      <c r="AV188" s="63"/>
      <c r="AW188" s="63"/>
    </row>
    <row r="189" customFormat="false" ht="12.8" hidden="false" customHeight="false" outlineLevel="0" collapsed="false">
      <c r="AV189" s="63"/>
      <c r="AW189" s="63"/>
    </row>
    <row r="190" customFormat="false" ht="12.8" hidden="false" customHeight="false" outlineLevel="0" collapsed="false">
      <c r="AV190" s="63"/>
      <c r="AW190" s="63"/>
    </row>
    <row r="191" customFormat="false" ht="12.8" hidden="false" customHeight="false" outlineLevel="0" collapsed="false">
      <c r="AV191" s="63"/>
      <c r="AW191" s="63"/>
    </row>
    <row r="192" customFormat="false" ht="12.8" hidden="false" customHeight="false" outlineLevel="0" collapsed="false">
      <c r="AV192" s="63"/>
      <c r="AW192" s="63"/>
    </row>
    <row r="193" customFormat="false" ht="12.8" hidden="false" customHeight="false" outlineLevel="0" collapsed="false">
      <c r="AV193" s="63"/>
      <c r="AW193" s="63"/>
    </row>
    <row r="194" customFormat="false" ht="12.8" hidden="false" customHeight="false" outlineLevel="0" collapsed="false">
      <c r="AV194" s="63"/>
      <c r="AW194" s="63"/>
    </row>
    <row r="195" customFormat="false" ht="12.8" hidden="false" customHeight="false" outlineLevel="0" collapsed="false">
      <c r="AV195" s="63"/>
      <c r="AW195" s="63"/>
    </row>
    <row r="196" customFormat="false" ht="12.8" hidden="false" customHeight="false" outlineLevel="0" collapsed="false">
      <c r="AV196" s="63"/>
      <c r="AW196" s="63"/>
    </row>
    <row r="197" customFormat="false" ht="12.8" hidden="false" customHeight="false" outlineLevel="0" collapsed="false">
      <c r="AV197" s="63"/>
      <c r="AW197" s="63"/>
    </row>
    <row r="198" customFormat="false" ht="12.8" hidden="false" customHeight="false" outlineLevel="0" collapsed="false">
      <c r="AV198" s="63"/>
      <c r="AW198" s="63"/>
    </row>
    <row r="199" customFormat="false" ht="12.8" hidden="false" customHeight="false" outlineLevel="0" collapsed="false">
      <c r="AV199" s="63"/>
      <c r="AW199" s="63"/>
    </row>
    <row r="200" customFormat="false" ht="12.8" hidden="false" customHeight="false" outlineLevel="0" collapsed="false">
      <c r="AV200" s="63"/>
      <c r="AW200" s="63"/>
    </row>
    <row r="201" customFormat="false" ht="12.8" hidden="false" customHeight="false" outlineLevel="0" collapsed="false">
      <c r="AV201" s="63"/>
      <c r="AW201" s="63"/>
    </row>
    <row r="202" customFormat="false" ht="12.8" hidden="false" customHeight="false" outlineLevel="0" collapsed="false">
      <c r="AV202" s="63"/>
      <c r="AW202" s="63"/>
    </row>
    <row r="203" customFormat="false" ht="12.8" hidden="false" customHeight="false" outlineLevel="0" collapsed="false">
      <c r="AV203" s="63"/>
      <c r="AW203" s="63"/>
    </row>
    <row r="204" customFormat="false" ht="12.8" hidden="false" customHeight="false" outlineLevel="0" collapsed="false">
      <c r="AV204" s="63"/>
      <c r="AW204" s="63"/>
    </row>
    <row r="205" customFormat="false" ht="12.8" hidden="false" customHeight="false" outlineLevel="0" collapsed="false">
      <c r="AV205" s="63"/>
      <c r="AW205" s="63"/>
    </row>
    <row r="206" customFormat="false" ht="12.8" hidden="false" customHeight="false" outlineLevel="0" collapsed="false">
      <c r="AV206" s="63"/>
      <c r="AW206" s="63"/>
    </row>
  </sheetData>
  <mergeCells count="6">
    <mergeCell ref="A1:C1"/>
    <mergeCell ref="D1:J1"/>
    <mergeCell ref="L1:N1"/>
    <mergeCell ref="R1:Z1"/>
    <mergeCell ref="AD1:AL1"/>
    <mergeCell ref="AP1:AX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82"/>
  <sheetViews>
    <sheetView showFormulas="false" showGridLines="true" showRowColHeaders="true" showZeros="true" rightToLeft="false" tabSelected="false" showOutlineSymbols="true" defaultGridColor="true" view="normal" topLeftCell="A126" colorId="64" zoomScale="100" zoomScaleNormal="100" zoomScalePageLayoutView="100" workbookViewId="0">
      <selection pane="topLeft" activeCell="Q150" activeCellId="0" sqref="Q150"/>
    </sheetView>
  </sheetViews>
  <sheetFormatPr defaultColWidth="11.23046875" defaultRowHeight="12.8" customHeight="false" zeroHeight="false" outlineLevelRow="0" outlineLevelCol="0"/>
  <cols>
    <col collapsed="false" customWidth="true" hidden="false" outlineLevel="0" max="1" min="1" style="0" width="18.39"/>
    <col collapsed="false" customWidth="true" hidden="false" outlineLevel="0" max="5" min="3" style="0" width="7.59"/>
    <col collapsed="false" customWidth="true" hidden="false" outlineLevel="0" max="6" min="6" style="0" width="10.93"/>
    <col collapsed="false" customWidth="true" hidden="false" outlineLevel="0" max="9" min="7" style="0" width="6.21"/>
    <col collapsed="false" customWidth="true" hidden="false" outlineLevel="0" max="10" min="10" style="0" width="7.18"/>
    <col collapsed="false" customWidth="false" hidden="true" outlineLevel="0" max="16" min="11" style="0" width="11.23"/>
    <col collapsed="false" customWidth="true" hidden="false" outlineLevel="0" max="19" min="19" style="0" width="10.93"/>
    <col collapsed="false" customWidth="true" hidden="false" outlineLevel="0" max="22" min="20" style="0" width="6.21"/>
    <col collapsed="false" customWidth="true" hidden="false" outlineLevel="0" max="23" min="23" style="0" width="6.51"/>
    <col collapsed="false" customWidth="false" hidden="true" outlineLevel="0" max="29" min="24" style="0" width="11.23"/>
    <col collapsed="false" customWidth="true" hidden="false" outlineLevel="0" max="30" min="30" style="0" width="8.58"/>
    <col collapsed="false" customWidth="true" hidden="false" outlineLevel="0" max="32" min="31" style="0" width="8.72"/>
    <col collapsed="false" customWidth="true" hidden="false" outlineLevel="0" max="33" min="33" style="0" width="5.96"/>
    <col collapsed="false" customWidth="true" hidden="false" outlineLevel="0" max="34" min="34" style="0" width="5.41"/>
    <col collapsed="false" customWidth="true" hidden="false" outlineLevel="0" max="37" min="37" style="0" width="18.39"/>
    <col collapsed="false" customWidth="true" hidden="false" outlineLevel="0" max="38" min="38" style="0" width="7.9"/>
    <col collapsed="false" customWidth="true" hidden="true" outlineLevel="0" max="39" min="39" style="0" width="13.14"/>
    <col collapsed="false" customWidth="true" hidden="false" outlineLevel="0" max="40" min="40" style="0" width="13.14"/>
    <col collapsed="false" customWidth="true" hidden="false" outlineLevel="0" max="46" min="41" style="0" width="8.69"/>
    <col collapsed="false" customWidth="true" hidden="false" outlineLevel="0" max="49" min="47" style="0" width="8.56"/>
    <col collapsed="false" customWidth="true" hidden="false" outlineLevel="0" max="52" min="50" style="0" width="8.69"/>
  </cols>
  <sheetData>
    <row r="1" customFormat="false" ht="12.8" hidden="false" customHeight="false" outlineLevel="0" collapsed="false">
      <c r="A1" s="19" t="s">
        <v>21</v>
      </c>
      <c r="B1" s="19" t="s">
        <v>22</v>
      </c>
      <c r="C1" s="19" t="s">
        <v>102</v>
      </c>
      <c r="D1" s="19"/>
      <c r="E1" s="19"/>
      <c r="F1" s="18" t="s">
        <v>18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 t="s">
        <v>19</v>
      </c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83" t="s">
        <v>103</v>
      </c>
      <c r="AG1" s="19"/>
      <c r="AH1" s="19"/>
      <c r="AK1" s="19" t="s">
        <v>20</v>
      </c>
      <c r="AL1" s="19"/>
      <c r="AM1" s="19"/>
      <c r="AN1" s="19"/>
      <c r="AO1" s="19" t="s">
        <v>104</v>
      </c>
      <c r="AP1" s="19"/>
      <c r="AQ1" s="19"/>
      <c r="AR1" s="19"/>
      <c r="AS1" s="19"/>
      <c r="AT1" s="19"/>
      <c r="AU1" s="19" t="s">
        <v>105</v>
      </c>
      <c r="AV1" s="19"/>
      <c r="AW1" s="19"/>
      <c r="AX1" s="19"/>
      <c r="AY1" s="19"/>
      <c r="AZ1" s="19"/>
    </row>
    <row r="2" customFormat="false" ht="28.35" hidden="false" customHeight="false" outlineLevel="0" collapsed="false">
      <c r="A2" s="19"/>
      <c r="B2" s="19"/>
      <c r="C2" s="19"/>
      <c r="D2" s="19"/>
      <c r="E2" s="19"/>
      <c r="F2" s="19" t="s">
        <v>106</v>
      </c>
      <c r="G2" s="19" t="s">
        <v>107</v>
      </c>
      <c r="H2" s="19"/>
      <c r="I2" s="19"/>
      <c r="J2" s="19" t="s">
        <v>108</v>
      </c>
      <c r="K2" s="19" t="s">
        <v>109</v>
      </c>
      <c r="L2" s="19"/>
      <c r="M2" s="19"/>
      <c r="N2" s="19" t="s">
        <v>110</v>
      </c>
      <c r="O2" s="19" t="s">
        <v>111</v>
      </c>
      <c r="P2" s="19" t="s">
        <v>93</v>
      </c>
      <c r="Q2" s="19" t="s">
        <v>112</v>
      </c>
      <c r="R2" s="19" t="s">
        <v>113</v>
      </c>
      <c r="S2" s="19" t="s">
        <v>106</v>
      </c>
      <c r="T2" s="19" t="s">
        <v>107</v>
      </c>
      <c r="U2" s="19"/>
      <c r="V2" s="19"/>
      <c r="W2" s="19" t="s">
        <v>108</v>
      </c>
      <c r="X2" s="19" t="s">
        <v>109</v>
      </c>
      <c r="Y2" s="19"/>
      <c r="Z2" s="19"/>
      <c r="AA2" s="19" t="s">
        <v>110</v>
      </c>
      <c r="AB2" s="19" t="s">
        <v>111</v>
      </c>
      <c r="AC2" s="19" t="s">
        <v>93</v>
      </c>
      <c r="AD2" s="19" t="s">
        <v>112</v>
      </c>
      <c r="AE2" s="19" t="s">
        <v>113</v>
      </c>
      <c r="AF2" s="83"/>
      <c r="AG2" s="55" t="s">
        <v>93</v>
      </c>
      <c r="AH2" s="55"/>
      <c r="AK2" s="19" t="s">
        <v>21</v>
      </c>
      <c r="AL2" s="19" t="s">
        <v>27</v>
      </c>
      <c r="AM2" s="20" t="s">
        <v>23</v>
      </c>
      <c r="AN2" s="20" t="s">
        <v>24</v>
      </c>
      <c r="AO2" s="19" t="s">
        <v>114</v>
      </c>
      <c r="AP2" s="19"/>
      <c r="AQ2" s="19"/>
      <c r="AR2" s="19" t="s">
        <v>108</v>
      </c>
      <c r="AS2" s="19" t="s">
        <v>112</v>
      </c>
      <c r="AT2" s="19" t="s">
        <v>113</v>
      </c>
      <c r="AU2" s="19" t="s">
        <v>114</v>
      </c>
      <c r="AV2" s="19"/>
      <c r="AW2" s="19"/>
      <c r="AX2" s="19" t="s">
        <v>108</v>
      </c>
      <c r="AY2" s="19" t="s">
        <v>112</v>
      </c>
      <c r="AZ2" s="19" t="s">
        <v>113</v>
      </c>
    </row>
    <row r="3" customFormat="false" ht="12.8" hidden="false" customHeight="false" outlineLevel="0" collapsed="false">
      <c r="A3" s="56" t="s">
        <v>31</v>
      </c>
      <c r="B3" s="57" t="n">
        <v>5</v>
      </c>
      <c r="C3" s="56"/>
      <c r="D3" s="25"/>
      <c r="E3" s="77"/>
      <c r="F3" s="0" t="n">
        <v>2297</v>
      </c>
      <c r="G3" s="0" t="str">
        <f aca="false">IF(F3="", "", IF(C3="","", F3-C3))</f>
        <v/>
      </c>
      <c r="H3" s="0" t="str">
        <f aca="false">IF(F3="", "", IF(D3="","", F3-D3))</f>
        <v/>
      </c>
      <c r="I3" s="0" t="str">
        <f aca="false">IF(F3="", "", IF(E3="","", F3-E3))</f>
        <v/>
      </c>
      <c r="J3" s="66" t="str">
        <f aca="false">IF(SUM(C3:E3)&gt;0,AVERAGE(H3:I3),"")</f>
        <v/>
      </c>
      <c r="K3" s="66"/>
      <c r="L3" s="66"/>
      <c r="M3" s="66"/>
      <c r="N3" s="66" t="str">
        <f aca="false">IF(COUNT(K3:M3)&gt;0,SUM(K3:M3)/COUNT(K3:M3),"")</f>
        <v/>
      </c>
      <c r="O3" s="66" t="str">
        <f aca="false">IF(NOT(N3=""),SQRT(N3),"")</f>
        <v/>
      </c>
      <c r="P3" s="66" t="str">
        <f aca="false">IF(COUNT(K3:M3)&gt;0,VLOOKUP(COUNT(K3:M3),'t values'!$A$3:$C$5,3)*(O3/SQRT(COUNT(K3:M3))),"")</f>
        <v/>
      </c>
      <c r="Q3" s="66"/>
      <c r="R3" s="66"/>
      <c r="S3" s="0" t="n">
        <v>1966</v>
      </c>
      <c r="T3" s="0" t="str">
        <f aca="false">IF($S3="", "", IF(C3="","", $S3-C3))</f>
        <v/>
      </c>
      <c r="U3" s="0" t="str">
        <f aca="false">IF($S3="", "", IF(D3="","", $S3-D3))</f>
        <v/>
      </c>
      <c r="V3" s="0" t="str">
        <f aca="false">IF($S3="", "", IF(E3="","", $S3-E3))</f>
        <v/>
      </c>
      <c r="W3" s="66" t="str">
        <f aca="false">IF(SUM($C3:$E3)&gt;0,IF(NOT(S3=""),AVERAGE(T3:V3),""),"")</f>
        <v/>
      </c>
      <c r="X3" s="0" t="str">
        <f aca="false">IF(NOT(T3=""),(T3-$W3)^2,"")</f>
        <v/>
      </c>
      <c r="Y3" s="0" t="str">
        <f aca="false">IF(NOT(U3=""),(U3-$W3)^2,"")</f>
        <v/>
      </c>
      <c r="Z3" s="0" t="str">
        <f aca="false">IF(NOT(V3=""),(V3-$W3)^2,"")</f>
        <v/>
      </c>
      <c r="AD3" s="66"/>
      <c r="AE3" s="66"/>
      <c r="AF3" s="62"/>
      <c r="AG3" s="63"/>
      <c r="AH3" s="63"/>
      <c r="AK3" s="0" t="s">
        <v>31</v>
      </c>
      <c r="AL3" s="0" t="n">
        <v>28</v>
      </c>
      <c r="AM3" s="0" t="n">
        <v>99761</v>
      </c>
      <c r="AN3" s="0" t="n">
        <f aca="false">IF(NOT(ISBLANK(AM3)), ROUND(AM3/60,0), "")</f>
        <v>1663</v>
      </c>
      <c r="AO3" s="0" t="n">
        <f aca="false">AN3-C6</f>
        <v>809</v>
      </c>
      <c r="AP3" s="0" t="n">
        <f aca="false">AN3-D6</f>
        <v>960</v>
      </c>
      <c r="AQ3" s="0" t="n">
        <f aca="false">AN3-E6</f>
        <v>955</v>
      </c>
      <c r="AR3" s="66" t="n">
        <f aca="false">AVERAGE(AO3:AQ3)</f>
        <v>908</v>
      </c>
      <c r="AS3" s="66" t="n">
        <f aca="false">AR3-AG$6</f>
        <v>734</v>
      </c>
      <c r="AT3" s="66" t="n">
        <f aca="false">AR3+AG$6</f>
        <v>1082</v>
      </c>
      <c r="AU3" s="0" t="n">
        <f aca="false">AN3-C7</f>
        <v>896</v>
      </c>
      <c r="AV3" s="0" t="n">
        <f aca="false">AN3-D7</f>
        <v>1084</v>
      </c>
      <c r="AW3" s="0" t="n">
        <f aca="false">AN3-E7</f>
        <v>1075</v>
      </c>
      <c r="AX3" s="66" t="n">
        <f aca="false">AVERAGE(AU3:AW3)</f>
        <v>1018.33333333333</v>
      </c>
      <c r="AY3" s="66" t="n">
        <f aca="false">AX3-AG$7</f>
        <v>803.333333333333</v>
      </c>
      <c r="AZ3" s="66" t="n">
        <f aca="false">AX3+AG$7</f>
        <v>1233.33333333333</v>
      </c>
    </row>
    <row r="4" customFormat="false" ht="12.8" hidden="false" customHeight="false" outlineLevel="0" collapsed="false">
      <c r="A4" s="56" t="s">
        <v>31</v>
      </c>
      <c r="B4" s="57" t="n">
        <v>10</v>
      </c>
      <c r="C4" s="56" t="n">
        <v>1949</v>
      </c>
      <c r="D4" s="25" t="n">
        <v>2335</v>
      </c>
      <c r="E4" s="77" t="n">
        <v>1884</v>
      </c>
      <c r="F4" s="0" t="n">
        <v>1409</v>
      </c>
      <c r="G4" s="0" t="n">
        <f aca="false">IF(F4="", "", IF(C4="","", F4-C4))</f>
        <v>-540</v>
      </c>
      <c r="H4" s="0" t="n">
        <f aca="false">IF(F4="", "", IF(D4="","", F4-D4))</f>
        <v>-926</v>
      </c>
      <c r="I4" s="0" t="n">
        <f aca="false">IF(F4="", "", IF(E4="","", F4-E4))</f>
        <v>-475</v>
      </c>
      <c r="J4" s="66" t="n">
        <f aca="false">IF(SUM(C4:E4)&gt;0,AVERAGE(G4:I4),"")</f>
        <v>-647</v>
      </c>
      <c r="K4" s="66" t="n">
        <f aca="false">IF(NOT(G4=""),(G4-$J4)^2,"")</f>
        <v>11449</v>
      </c>
      <c r="L4" s="66" t="n">
        <f aca="false">IF(NOT(H4=""),(H4-$J4)^2,"")</f>
        <v>77841</v>
      </c>
      <c r="M4" s="66" t="n">
        <f aca="false">IF(NOT(I4=""),(I4-$J4)^2,"")</f>
        <v>29584</v>
      </c>
      <c r="N4" s="66" t="n">
        <f aca="false">IF(COUNT(K4:M4)&gt;0,SUM(K4:M4)/COUNT(K4:M4),"")</f>
        <v>39624.6666666667</v>
      </c>
      <c r="O4" s="66" t="n">
        <f aca="false">IF(NOT(N4=""),SQRT(N4),"")</f>
        <v>199.059455104918</v>
      </c>
      <c r="P4" s="66" t="n">
        <f aca="false">IF(COUNT(K4:M4)&gt;0,VLOOKUP(COUNT(K4:M4),'t values'!$A$3:$C$5,3)*(O4/SQRT(COUNT(K4:M4))),"")</f>
        <v>494.531010045095</v>
      </c>
      <c r="Q4" s="66" t="n">
        <f aca="false">IF(NOT(P4=""),J4-P4,"")</f>
        <v>-1141.5310100451</v>
      </c>
      <c r="R4" s="66" t="n">
        <f aca="false">IF(NOT(P4=""),J4+P4,"")</f>
        <v>-152.468989954905</v>
      </c>
      <c r="S4" s="0" t="n">
        <v>1694</v>
      </c>
      <c r="T4" s="0" t="n">
        <f aca="false">IF(S4="", "", IF(C4="","", S4-C4))</f>
        <v>-255</v>
      </c>
      <c r="U4" s="0" t="n">
        <f aca="false">IF($S4="", "", IF(D4="","", $S4-D4))</f>
        <v>-641</v>
      </c>
      <c r="V4" s="0" t="n">
        <f aca="false">IF($S4="", "", IF(E4="","", $S4-E4))</f>
        <v>-190</v>
      </c>
      <c r="W4" s="66" t="n">
        <f aca="false">IF(SUM($C4:$E4)&gt;0,IF(NOT(S4=""),AVERAGE(T4:V4),""),"")</f>
        <v>-362</v>
      </c>
      <c r="X4" s="66" t="n">
        <f aca="false">IF(NOT(T4=""),(T4-$W4)^2,"")</f>
        <v>11449</v>
      </c>
      <c r="Y4" s="66" t="n">
        <f aca="false">IF(NOT(U4=""),(U4-$W4)^2,"")</f>
        <v>77841</v>
      </c>
      <c r="Z4" s="66" t="n">
        <f aca="false">IF(NOT(V4=""),(V4-$W4)^2,"")</f>
        <v>29584</v>
      </c>
      <c r="AA4" s="0" t="n">
        <f aca="false">IF(COUNT(X4:Z4)&gt;0,SUM(X4:Z4)/COUNT(X4:Z4),"")</f>
        <v>39624.6666666667</v>
      </c>
      <c r="AB4" s="0" t="n">
        <f aca="false">IF(NOT(AA4=""),SQRT(AA4),"")</f>
        <v>199.059455104918</v>
      </c>
      <c r="AD4" s="66" t="n">
        <f aca="false">IF(NOT(W4=""),W4-AG4,"")</f>
        <v>-857</v>
      </c>
      <c r="AE4" s="66" t="n">
        <f aca="false">IF(NOT(W4=""),W4+AG4,"")</f>
        <v>133</v>
      </c>
      <c r="AF4" s="63" t="n">
        <v>199.059455104918</v>
      </c>
      <c r="AG4" s="63" t="n">
        <v>495</v>
      </c>
      <c r="AH4" s="63"/>
      <c r="AK4" s="0" t="s">
        <v>32</v>
      </c>
      <c r="AL4" s="0" t="n">
        <v>31</v>
      </c>
      <c r="AM4" s="0" t="n">
        <v>72499</v>
      </c>
      <c r="AN4" s="0" t="n">
        <f aca="false">IF(NOT(ISBLANK(AM4)), ROUND(AM4/60,0), "")</f>
        <v>1208</v>
      </c>
      <c r="AO4" s="0" t="n">
        <f aca="false">$AN$4-C17</f>
        <v>561</v>
      </c>
      <c r="AP4" s="0" t="n">
        <f aca="false">$AN$4-D17</f>
        <v>653</v>
      </c>
      <c r="AQ4" s="0" t="n">
        <f aca="false">$AN$4-E17</f>
        <v>579</v>
      </c>
      <c r="AR4" s="66" t="n">
        <f aca="false">AVERAGE(AO4:AQ4)</f>
        <v>597.666666666667</v>
      </c>
      <c r="AS4" s="66" t="n">
        <f aca="false">AR4-AG$17</f>
        <v>498.666666666667</v>
      </c>
      <c r="AT4" s="66" t="n">
        <f aca="false">AR4+AG$17</f>
        <v>696.666666666667</v>
      </c>
      <c r="AU4" s="0" t="n">
        <f aca="false">$AN$4-C18</f>
        <v>789</v>
      </c>
      <c r="AV4" s="0" t="n">
        <f aca="false">$AN$4-D18</f>
        <v>650</v>
      </c>
      <c r="AW4" s="0" t="n">
        <f aca="false">$AN$4-E18</f>
        <v>725</v>
      </c>
      <c r="AX4" s="66" t="n">
        <f aca="false">AVERAGE(AU4:AW4)</f>
        <v>721.333333333333</v>
      </c>
      <c r="AY4" s="66" t="n">
        <f aca="false">AX4-AG$18</f>
        <v>580.333333333333</v>
      </c>
      <c r="AZ4" s="66" t="n">
        <f aca="false">AX4+AG$18</f>
        <v>862.333333333333</v>
      </c>
    </row>
    <row r="5" customFormat="false" ht="12.8" hidden="false" customHeight="false" outlineLevel="0" collapsed="false">
      <c r="A5" s="56" t="s">
        <v>31</v>
      </c>
      <c r="B5" s="57" t="n">
        <v>15</v>
      </c>
      <c r="C5" s="56" t="n">
        <v>976</v>
      </c>
      <c r="D5" s="25" t="n">
        <v>1058</v>
      </c>
      <c r="E5" s="77" t="n">
        <v>1014</v>
      </c>
      <c r="F5" s="0" t="n">
        <v>1445</v>
      </c>
      <c r="G5" s="0" t="n">
        <f aca="false">IF(F5="", "", IF(C5="","", F5-C5))</f>
        <v>469</v>
      </c>
      <c r="H5" s="0" t="n">
        <f aca="false">IF(F5="", "", IF(D5="","", F5-D5))</f>
        <v>387</v>
      </c>
      <c r="I5" s="0" t="n">
        <f aca="false">IF(F5="", "", IF(E5="","", F5-E5))</f>
        <v>431</v>
      </c>
      <c r="J5" s="66" t="n">
        <f aca="false">IF(SUM(C5:E5)&gt;0,AVERAGE(G5:I5),"")</f>
        <v>429</v>
      </c>
      <c r="K5" s="66" t="n">
        <f aca="false">IF(NOT(G5=""),(G5-$J5)^2,"")</f>
        <v>1600</v>
      </c>
      <c r="L5" s="66" t="n">
        <f aca="false">IF(NOT(H5=""),(H5-$J5)^2,"")</f>
        <v>1764</v>
      </c>
      <c r="M5" s="66" t="n">
        <f aca="false">IF(NOT(I5=""),(I5-$J5)^2,"")</f>
        <v>4</v>
      </c>
      <c r="N5" s="66" t="n">
        <f aca="false">IF(COUNT(K5:M5)&gt;0,SUM(K5:M5)/COUNT(K5:M5),"")</f>
        <v>1122.66666666667</v>
      </c>
      <c r="O5" s="66" t="n">
        <f aca="false">IF(NOT(N5=""),SQRT(N5),"")</f>
        <v>33.5062183283442</v>
      </c>
      <c r="P5" s="66" t="n">
        <f aca="false">IF(COUNT(K5:M5)&gt;0,VLOOKUP(COUNT(K5:M5),'t values'!$A$3:$C$5,3)*(O5/SQRT(COUNT(K5:M5))),"")</f>
        <v>83.2407784095165</v>
      </c>
      <c r="Q5" s="66" t="n">
        <f aca="false">IF(NOT(P5=""),J5-P5,"")</f>
        <v>345.759221590484</v>
      </c>
      <c r="R5" s="66" t="n">
        <f aca="false">IF(NOT(P5=""),J5+P5,"")</f>
        <v>512.240778409517</v>
      </c>
      <c r="S5" s="0" t="n">
        <v>1151</v>
      </c>
      <c r="T5" s="0" t="n">
        <f aca="false">IF(S5="", "", IF(C5="","", S5-C5))</f>
        <v>175</v>
      </c>
      <c r="U5" s="0" t="n">
        <f aca="false">IF($S5="", "", IF(D5="","", $S5-D5))</f>
        <v>93</v>
      </c>
      <c r="V5" s="0" t="n">
        <f aca="false">IF($S5="", "", IF(E5="","", $S5-E5))</f>
        <v>137</v>
      </c>
      <c r="W5" s="66" t="n">
        <f aca="false">IF(SUM($C5:$E5)&gt;0,IF(NOT(S5=""),AVERAGE(T5:V5),""),"")</f>
        <v>135</v>
      </c>
      <c r="X5" s="66" t="n">
        <f aca="false">IF(NOT(T5=""),(T5-$W5)^2,"")</f>
        <v>1600</v>
      </c>
      <c r="Y5" s="66" t="n">
        <f aca="false">IF(NOT(U5=""),(U5-$W5)^2,"")</f>
        <v>1764</v>
      </c>
      <c r="Z5" s="66" t="n">
        <f aca="false">IF(NOT(V5=""),(V5-$W5)^2,"")</f>
        <v>4</v>
      </c>
      <c r="AA5" s="0" t="n">
        <f aca="false">IF(COUNT(X5:Z5)&gt;0,SUM(X5:Z5)/COUNT(X5:Z5),"")</f>
        <v>1122.66666666667</v>
      </c>
      <c r="AB5" s="0" t="n">
        <f aca="false">IF(NOT(AA5=""),SQRT(AA5),"")</f>
        <v>33.5062183283442</v>
      </c>
      <c r="AD5" s="66" t="n">
        <f aca="false">IF(NOT(W5=""),W5-AG5,"")</f>
        <v>52</v>
      </c>
      <c r="AE5" s="66" t="n">
        <f aca="false">IF(NOT(W5=""),W5+AG5,"")</f>
        <v>218</v>
      </c>
      <c r="AF5" s="63" t="n">
        <v>33.5062183283442</v>
      </c>
      <c r="AG5" s="63" t="n">
        <v>83</v>
      </c>
      <c r="AH5" s="63"/>
      <c r="AK5" s="0" t="s">
        <v>33</v>
      </c>
      <c r="AL5" s="0" t="n">
        <v>90</v>
      </c>
      <c r="AM5" s="0" t="n">
        <v>109800</v>
      </c>
      <c r="AN5" s="0" t="n">
        <f aca="false">IF(NOT(ISBLANK(AM5)), ROUND(AM5/60,0), "")</f>
        <v>1830</v>
      </c>
      <c r="AO5" s="0" t="n">
        <f aca="false">$AN$5-C31</f>
        <v>1362</v>
      </c>
      <c r="AP5" s="0" t="n">
        <f aca="false">$AN$5-D31</f>
        <v>1407</v>
      </c>
      <c r="AQ5" s="0" t="n">
        <f aca="false">$AN$5-E31</f>
        <v>1242</v>
      </c>
      <c r="AR5" s="66" t="n">
        <f aca="false">AVERAGE(AO5:AQ5)</f>
        <v>1337</v>
      </c>
      <c r="AS5" s="66" t="n">
        <f aca="false">AR5-AG$31</f>
        <v>1164</v>
      </c>
      <c r="AT5" s="66" t="n">
        <f aca="false">AR5+AG$31</f>
        <v>1510</v>
      </c>
      <c r="AU5" s="0" t="n">
        <f aca="false">$AN$5-C32</f>
        <v>1494</v>
      </c>
      <c r="AV5" s="0" t="n">
        <f aca="false">$AN$5-D32</f>
        <v>1415</v>
      </c>
      <c r="AW5" s="0" t="n">
        <f aca="false">$AN$5-E32</f>
        <v>1262</v>
      </c>
      <c r="AX5" s="66" t="n">
        <f aca="false">AVERAGE(AU5:AW5)</f>
        <v>1390.33333333333</v>
      </c>
      <c r="AY5" s="66" t="n">
        <f aca="false">AX5-AG$32</f>
        <v>1151.33333333333</v>
      </c>
      <c r="AZ5" s="66" t="n">
        <f aca="false">AX5+AM$31</f>
        <v>1390.33333333333</v>
      </c>
    </row>
    <row r="6" customFormat="false" ht="12.8" hidden="false" customHeight="false" outlineLevel="0" collapsed="false">
      <c r="A6" s="56" t="s">
        <v>31</v>
      </c>
      <c r="B6" s="57" t="n">
        <v>20</v>
      </c>
      <c r="C6" s="56" t="n">
        <v>854</v>
      </c>
      <c r="D6" s="25" t="n">
        <v>703</v>
      </c>
      <c r="E6" s="77" t="n">
        <v>708</v>
      </c>
      <c r="F6" s="0" t="n">
        <v>813</v>
      </c>
      <c r="G6" s="0" t="n">
        <f aca="false">IF(F6="", "", IF(C6="","", F6-C6))</f>
        <v>-41</v>
      </c>
      <c r="H6" s="0" t="n">
        <f aca="false">IF(F6="", "", IF(D6="","", F6-D6))</f>
        <v>110</v>
      </c>
      <c r="I6" s="0" t="n">
        <f aca="false">IF(F6="", "", IF(E6="","", F6-E6))</f>
        <v>105</v>
      </c>
      <c r="J6" s="66" t="n">
        <f aca="false">IF(SUM(C6:E6)&gt;0,AVERAGE(G6:I6),"")</f>
        <v>58</v>
      </c>
      <c r="K6" s="66" t="n">
        <f aca="false">IF(NOT(G6=""),(G6-$J6)^2,"")</f>
        <v>9801</v>
      </c>
      <c r="L6" s="66" t="n">
        <f aca="false">IF(NOT(H6=""),(H6-$J6)^2,"")</f>
        <v>2704</v>
      </c>
      <c r="M6" s="66" t="n">
        <f aca="false">IF(NOT(I6=""),(I6-$J6)^2,"")</f>
        <v>2209</v>
      </c>
      <c r="N6" s="66" t="n">
        <f aca="false">IF(COUNT(K6:M6)&gt;0,SUM(K6:M6)/COUNT(K6:M6),"")</f>
        <v>4904.66666666667</v>
      </c>
      <c r="O6" s="66" t="n">
        <f aca="false">IF(NOT(N6=""),SQRT(N6),"")</f>
        <v>70.0333254006024</v>
      </c>
      <c r="P6" s="66" t="n">
        <f aca="false">IF(COUNT(K6:M6)&gt;0,VLOOKUP(COUNT(K6:M6),'t values'!$A$3:$C$5,3)*(O6/SQRT(COUNT(K6:M6))),"")</f>
        <v>173.986466148631</v>
      </c>
      <c r="Q6" s="66" t="n">
        <f aca="false">IF(NOT(P6=""),J6-P6,"")</f>
        <v>-115.986466148631</v>
      </c>
      <c r="R6" s="66" t="n">
        <f aca="false">IF(NOT(P6=""),J6+P6,"")</f>
        <v>231.986466148631</v>
      </c>
      <c r="S6" s="0" t="n">
        <v>895</v>
      </c>
      <c r="T6" s="0" t="n">
        <f aca="false">IF(S6="", "", IF(C6="","", S6-C6))</f>
        <v>41</v>
      </c>
      <c r="U6" s="0" t="n">
        <f aca="false">IF($S6="", "", IF(D6="","", $S6-D6))</f>
        <v>192</v>
      </c>
      <c r="V6" s="0" t="n">
        <f aca="false">IF($S6="", "", IF(E6="","", $S6-E6))</f>
        <v>187</v>
      </c>
      <c r="W6" s="66" t="n">
        <f aca="false">IF(SUM($C6:$E6)&gt;0,IF(NOT(S6=""),AVERAGE(T6:V6),""),"")</f>
        <v>140</v>
      </c>
      <c r="X6" s="66" t="n">
        <f aca="false">IF(NOT(T6=""),(T6-$W6)^2,"")</f>
        <v>9801</v>
      </c>
      <c r="Y6" s="66" t="n">
        <f aca="false">IF(NOT(U6=""),(U6-$W6)^2,"")</f>
        <v>2704</v>
      </c>
      <c r="Z6" s="66" t="n">
        <f aca="false">IF(NOT(V6=""),(V6-$W6)^2,"")</f>
        <v>2209</v>
      </c>
      <c r="AA6" s="0" t="n">
        <f aca="false">IF(COUNT(X6:Z6)&gt;0,SUM(X6:Z6)/COUNT(X6:Z6),"")</f>
        <v>4904.66666666667</v>
      </c>
      <c r="AB6" s="0" t="n">
        <f aca="false">IF(NOT(AA6=""),SQRT(AA6),"")</f>
        <v>70.0333254006024</v>
      </c>
      <c r="AD6" s="66" t="n">
        <f aca="false">IF(NOT(W6=""),W6-AG6,"")</f>
        <v>-34</v>
      </c>
      <c r="AE6" s="66" t="n">
        <f aca="false">IF(NOT(W6=""),W6+AG6,"")</f>
        <v>314</v>
      </c>
      <c r="AF6" s="63" t="n">
        <v>70.0333254006024</v>
      </c>
      <c r="AG6" s="63" t="n">
        <v>174</v>
      </c>
      <c r="AH6" s="63"/>
      <c r="AK6" s="0" t="s">
        <v>34</v>
      </c>
      <c r="AL6" s="0" t="n">
        <v>19</v>
      </c>
      <c r="AM6" s="0" t="n">
        <v>59571</v>
      </c>
      <c r="AN6" s="0" t="n">
        <f aca="false">IF(NOT(ISBLANK(AM6)), ROUND(AM6/60,0), "")</f>
        <v>993</v>
      </c>
      <c r="AR6" s="66"/>
      <c r="AS6" s="66"/>
      <c r="AT6" s="66"/>
      <c r="AU6" s="0" t="n">
        <f aca="false">$AN$6-C36</f>
        <v>307</v>
      </c>
      <c r="AV6" s="0" t="n">
        <f aca="false">$AN$6-D36</f>
        <v>312</v>
      </c>
      <c r="AW6" s="0" t="n">
        <f aca="false">$AN$6-E36</f>
        <v>350</v>
      </c>
      <c r="AX6" s="66" t="n">
        <f aca="false">AVERAGE(AU6:AW6)</f>
        <v>323</v>
      </c>
      <c r="AY6" s="66" t="n">
        <f aca="false">AX6-$AG$36</f>
        <v>275</v>
      </c>
      <c r="AZ6" s="66" t="n">
        <f aca="false">AX6+$AG$36</f>
        <v>371</v>
      </c>
    </row>
    <row r="7" customFormat="false" ht="12.8" hidden="false" customHeight="false" outlineLevel="0" collapsed="false">
      <c r="A7" s="56" t="s">
        <v>31</v>
      </c>
      <c r="B7" s="57" t="n">
        <v>30</v>
      </c>
      <c r="C7" s="56" t="n">
        <v>767</v>
      </c>
      <c r="D7" s="25" t="n">
        <v>579</v>
      </c>
      <c r="E7" s="77" t="n">
        <v>588</v>
      </c>
      <c r="F7" s="0" t="n">
        <v>777</v>
      </c>
      <c r="G7" s="0" t="n">
        <f aca="false">IF(F7="", "", IF(C7="","", F7-C7))</f>
        <v>10</v>
      </c>
      <c r="H7" s="0" t="n">
        <f aca="false">IF(F7="", "", IF(D7="","", F7-D7))</f>
        <v>198</v>
      </c>
      <c r="I7" s="0" t="n">
        <f aca="false">IF(F7="", "", IF(E7="","", F7-E7))</f>
        <v>189</v>
      </c>
      <c r="J7" s="66" t="n">
        <f aca="false">IF(SUM(C7:E7)&gt;0,AVERAGE(G7:I7),"")</f>
        <v>132.333333333333</v>
      </c>
      <c r="K7" s="66" t="n">
        <f aca="false">IF(NOT(G7=""),(G7-$J7)^2,"")</f>
        <v>14965.4444444444</v>
      </c>
      <c r="L7" s="66" t="n">
        <f aca="false">IF(NOT(H7=""),(H7-$J7)^2,"")</f>
        <v>4312.11111111111</v>
      </c>
      <c r="M7" s="66" t="n">
        <f aca="false">IF(NOT(I7=""),(I7-$J7)^2,"")</f>
        <v>3211.11111111111</v>
      </c>
      <c r="N7" s="66" t="n">
        <f aca="false">IF(COUNT(K7:M7)&gt;0,SUM(K7:M7)/COUNT(K7:M7),"")</f>
        <v>7496.22222222222</v>
      </c>
      <c r="O7" s="66" t="n">
        <f aca="false">IF(NOT(N7=""),SQRT(N7),"")</f>
        <v>86.5807266210109</v>
      </c>
      <c r="P7" s="66" t="n">
        <f aca="false">IF(COUNT(K7:M7)&gt;0,VLOOKUP(COUNT(K7:M7),'t values'!$A$3:$C$5,3)*(O7/SQRT(COUNT(K7:M7))),"")</f>
        <v>215.095807248942</v>
      </c>
      <c r="Q7" s="66" t="n">
        <f aca="false">IF(NOT(P7=""),J7-P7,"")</f>
        <v>-82.7624739156088</v>
      </c>
      <c r="R7" s="66" t="n">
        <f aca="false">IF(NOT(P7=""),J7+P7,"")</f>
        <v>347.429140582276</v>
      </c>
      <c r="S7" s="0" t="n">
        <v>851</v>
      </c>
      <c r="T7" s="0" t="n">
        <f aca="false">IF(S7="", "", IF(C7="","", S7-C7))</f>
        <v>84</v>
      </c>
      <c r="U7" s="0" t="n">
        <f aca="false">IF($S7="", "", IF(D7="","", $S7-D7))</f>
        <v>272</v>
      </c>
      <c r="V7" s="0" t="n">
        <f aca="false">IF($S7="", "", IF(E7="","", $S7-E7))</f>
        <v>263</v>
      </c>
      <c r="W7" s="66" t="n">
        <f aca="false">IF(SUM($C7:$E7)&gt;0,IF(NOT(S7=""),AVERAGE(T7:V7),""),"")</f>
        <v>206.333333333333</v>
      </c>
      <c r="X7" s="66" t="n">
        <f aca="false">IF(NOT(T7=""),(T7-$W7)^2,"")</f>
        <v>14965.4444444444</v>
      </c>
      <c r="Y7" s="66" t="n">
        <f aca="false">IF(NOT(U7=""),(U7-$W7)^2,"")</f>
        <v>4312.11111111111</v>
      </c>
      <c r="Z7" s="66" t="n">
        <f aca="false">IF(NOT(V7=""),(V7-$W7)^2,"")</f>
        <v>3211.11111111111</v>
      </c>
      <c r="AA7" s="0" t="n">
        <f aca="false">IF(COUNT(X7:Z7)&gt;0,SUM(X7:Z7)/COUNT(X7:Z7),"")</f>
        <v>7496.22222222221</v>
      </c>
      <c r="AB7" s="0" t="n">
        <f aca="false">IF(NOT(AA7=""),SQRT(AA7),"")</f>
        <v>86.5807266210108</v>
      </c>
      <c r="AD7" s="66" t="n">
        <f aca="false">IF(NOT(W7=""),W7-AG7,"")</f>
        <v>-8.66666666666666</v>
      </c>
      <c r="AE7" s="66" t="n">
        <f aca="false">IF(NOT(W7=""),W7+AG7,"")</f>
        <v>421.333333333333</v>
      </c>
      <c r="AF7" s="63" t="n">
        <v>86.5807266210109</v>
      </c>
      <c r="AG7" s="63" t="n">
        <v>215</v>
      </c>
      <c r="AH7" s="63"/>
      <c r="AK7" s="0" t="s">
        <v>36</v>
      </c>
      <c r="AL7" s="0" t="n">
        <v>27</v>
      </c>
      <c r="AM7" s="0" t="n">
        <v>121959</v>
      </c>
      <c r="AN7" s="0" t="n">
        <f aca="false">IF(NOT(ISBLANK(AM7)), ROUND(AM7/60,0), "")</f>
        <v>2033</v>
      </c>
      <c r="AR7" s="66"/>
      <c r="AS7" s="66"/>
      <c r="AT7" s="66"/>
      <c r="AX7" s="66"/>
      <c r="AY7" s="66"/>
      <c r="AZ7" s="66"/>
    </row>
    <row r="8" customFormat="false" ht="12.8" hidden="false" customHeight="false" outlineLevel="0" collapsed="false">
      <c r="A8" s="56" t="s">
        <v>31</v>
      </c>
      <c r="B8" s="57" t="n">
        <v>40</v>
      </c>
      <c r="C8" s="56" t="n">
        <v>481</v>
      </c>
      <c r="D8" s="25" t="n">
        <v>550</v>
      </c>
      <c r="E8" s="77" t="n">
        <v>469</v>
      </c>
      <c r="F8" s="0" t="n">
        <v>740</v>
      </c>
      <c r="G8" s="0" t="n">
        <f aca="false">IF(F8="", "", IF(C8="","", F8-C8))</f>
        <v>259</v>
      </c>
      <c r="H8" s="0" t="n">
        <f aca="false">IF(F8="", "", IF(D8="","", F8-D8))</f>
        <v>190</v>
      </c>
      <c r="I8" s="0" t="n">
        <f aca="false">IF(F8="", "", IF(E8="","", F8-E8))</f>
        <v>271</v>
      </c>
      <c r="J8" s="66" t="n">
        <f aca="false">IF(SUM(C8:E8)&gt;0,AVERAGE(G8:I8),"")</f>
        <v>240</v>
      </c>
      <c r="K8" s="66" t="n">
        <f aca="false">IF(NOT(G8=""),(G8-$J8)^2,"")</f>
        <v>361</v>
      </c>
      <c r="L8" s="66" t="n">
        <f aca="false">IF(NOT(H8=""),(H8-$J8)^2,"")</f>
        <v>2500</v>
      </c>
      <c r="M8" s="66" t="n">
        <f aca="false">IF(NOT(I8=""),(I8-$J8)^2,"")</f>
        <v>961</v>
      </c>
      <c r="N8" s="66" t="n">
        <f aca="false">IF(COUNT(K8:M8)&gt;0,SUM(K8:M8)/COUNT(K8:M8),"")</f>
        <v>1274</v>
      </c>
      <c r="O8" s="66" t="n">
        <f aca="false">IF(NOT(N8=""),SQRT(N8),"")</f>
        <v>35.6931365951495</v>
      </c>
      <c r="P8" s="66" t="n">
        <f aca="false">IF(COUNT(K8:M8)&gt;0,VLOOKUP(COUNT(K8:M8),'t values'!$A$3:$C$5,3)*(O8/SQRT(COUNT(K8:M8))),"")</f>
        <v>88.6738230182204</v>
      </c>
      <c r="Q8" s="66" t="n">
        <f aca="false">IF(NOT(P8=""),J8-P8,"")</f>
        <v>151.32617698178</v>
      </c>
      <c r="R8" s="66" t="n">
        <f aca="false">IF(NOT(P8=""),J8+P8,"")</f>
        <v>328.67382301822</v>
      </c>
      <c r="S8" s="0" t="n">
        <v>513</v>
      </c>
      <c r="T8" s="0" t="n">
        <f aca="false">IF(S8="", "", IF(C8="","", S8-C8))</f>
        <v>32</v>
      </c>
      <c r="U8" s="0" t="n">
        <f aca="false">IF($S8="", "", IF(D8="","", $S8-D8))</f>
        <v>-37</v>
      </c>
      <c r="V8" s="0" t="n">
        <f aca="false">IF($S8="", "", IF(E8="","", $S8-E8))</f>
        <v>44</v>
      </c>
      <c r="W8" s="66" t="n">
        <f aca="false">IF(SUM($C8:$E8)&gt;0,IF(NOT(S8=""),AVERAGE(T8:V8),""),"")</f>
        <v>13</v>
      </c>
      <c r="X8" s="66" t="n">
        <f aca="false">IF(NOT(T8=""),(T8-$W8)^2,"")</f>
        <v>361</v>
      </c>
      <c r="Y8" s="66" t="n">
        <f aca="false">IF(NOT(U8=""),(U8-$W8)^2,"")</f>
        <v>2500</v>
      </c>
      <c r="Z8" s="66" t="n">
        <f aca="false">IF(NOT(V8=""),(V8-$W8)^2,"")</f>
        <v>961</v>
      </c>
      <c r="AA8" s="0" t="n">
        <f aca="false">IF(COUNT(X8:Z8)&gt;0,SUM(X8:Z8)/COUNT(X8:Z8),"")</f>
        <v>1274</v>
      </c>
      <c r="AB8" s="0" t="n">
        <f aca="false">IF(NOT(AA8=""),SQRT(AA8),"")</f>
        <v>35.6931365951495</v>
      </c>
      <c r="AD8" s="66" t="n">
        <f aca="false">IF(NOT(W8=""),W8-AG8,"")</f>
        <v>-76</v>
      </c>
      <c r="AE8" s="66" t="n">
        <f aca="false">IF(NOT(W8=""),W8+AG8,"")</f>
        <v>102</v>
      </c>
      <c r="AF8" s="63" t="n">
        <v>35.6931365951495</v>
      </c>
      <c r="AG8" s="63" t="n">
        <v>89</v>
      </c>
      <c r="AH8" s="63"/>
      <c r="AK8" s="0" t="s">
        <v>37</v>
      </c>
      <c r="AL8" s="0" t="n">
        <v>21</v>
      </c>
      <c r="AM8" s="0" t="n">
        <v>70767</v>
      </c>
      <c r="AN8" s="0" t="n">
        <f aca="false">IF(NOT(ISBLANK(AM8)), ROUND(AM8/60,0), "")</f>
        <v>1179</v>
      </c>
      <c r="AO8" s="0" t="n">
        <f aca="false">$AN$8-C56</f>
        <v>839</v>
      </c>
      <c r="AP8" s="0" t="n">
        <f aca="false">$AN$8-D56</f>
        <v>807</v>
      </c>
      <c r="AQ8" s="0" t="n">
        <f aca="false">$AN$8-E56</f>
        <v>531</v>
      </c>
      <c r="AR8" s="66" t="n">
        <f aca="false">AVERAGE(AO8:AQ8)</f>
        <v>725.666666666667</v>
      </c>
      <c r="AS8" s="66" t="n">
        <f aca="false">AR8-AG$56</f>
        <v>381.666666666667</v>
      </c>
      <c r="AT8" s="66" t="n">
        <f aca="false">AR8+AG$56</f>
        <v>1069.66666666667</v>
      </c>
      <c r="AU8" s="0" t="n">
        <f aca="false">$AN$8-C57</f>
        <v>897</v>
      </c>
      <c r="AV8" s="0" t="n">
        <f aca="false">$AN$8-D57</f>
        <v>856</v>
      </c>
      <c r="AW8" s="0" t="n">
        <f aca="false">$AN$8-E57</f>
        <v>821</v>
      </c>
      <c r="AX8" s="66" t="n">
        <f aca="false">AVERAGE(AU8:AW8)</f>
        <v>858</v>
      </c>
      <c r="AY8" s="66" t="n">
        <f aca="false">AX8-AG$57</f>
        <v>781</v>
      </c>
      <c r="AZ8" s="66" t="n">
        <f aca="false">AX8+AG$57</f>
        <v>935</v>
      </c>
    </row>
    <row r="9" customFormat="false" ht="12.8" hidden="false" customHeight="false" outlineLevel="0" collapsed="false">
      <c r="A9" s="56" t="s">
        <v>31</v>
      </c>
      <c r="B9" s="57" t="n">
        <v>50</v>
      </c>
      <c r="C9" s="56" t="n">
        <v>423</v>
      </c>
      <c r="D9" s="25" t="n">
        <v>432</v>
      </c>
      <c r="E9" s="77" t="n">
        <v>361</v>
      </c>
      <c r="F9" s="0" t="n">
        <v>577</v>
      </c>
      <c r="G9" s="0" t="n">
        <f aca="false">IF(F9="", "", IF(C9="","", F9-C9))</f>
        <v>154</v>
      </c>
      <c r="H9" s="0" t="n">
        <f aca="false">IF(F9="", "", IF(D9="","", F9-D9))</f>
        <v>145</v>
      </c>
      <c r="I9" s="0" t="n">
        <f aca="false">IF(F9="", "", IF(E9="","", F9-E9))</f>
        <v>216</v>
      </c>
      <c r="J9" s="66" t="n">
        <f aca="false">IF(SUM(C9:E9)&gt;0,AVERAGE(G9:I9),"")</f>
        <v>171.666666666667</v>
      </c>
      <c r="K9" s="66" t="n">
        <f aca="false">IF(NOT(G9=""),(G9-$J9)^2,"")</f>
        <v>312.111111111111</v>
      </c>
      <c r="L9" s="66" t="n">
        <f aca="false">IF(NOT(H9=""),(H9-$J9)^2,"")</f>
        <v>711.111111111111</v>
      </c>
      <c r="M9" s="66" t="n">
        <f aca="false">IF(NOT(I9=""),(I9-$J9)^2,"")</f>
        <v>1965.44444444445</v>
      </c>
      <c r="N9" s="66" t="n">
        <f aca="false">IF(COUNT(K9:M9)&gt;0,SUM(K9:M9)/COUNT(K9:M9),"")</f>
        <v>996.222222222222</v>
      </c>
      <c r="O9" s="66" t="n">
        <f aca="false">IF(NOT(N9=""),SQRT(N9),"")</f>
        <v>31.5629881700422</v>
      </c>
      <c r="P9" s="66" t="n">
        <f aca="false">IF(COUNT(K9:M9)&gt;0,VLOOKUP(COUNT(K9:M9),'t values'!$A$3:$C$5,3)*(O9/SQRT(COUNT(K9:M9))),"")</f>
        <v>78.4131374796814</v>
      </c>
      <c r="Q9" s="66" t="n">
        <f aca="false">IF(NOT(P9=""),J9-P9,"")</f>
        <v>93.2535291869853</v>
      </c>
      <c r="R9" s="66" t="n">
        <f aca="false">IF(NOT(P9=""),J9+P9,"")</f>
        <v>250.079804146348</v>
      </c>
      <c r="S9" s="0" t="n">
        <v>682</v>
      </c>
      <c r="T9" s="0" t="n">
        <f aca="false">IF(S9="", "", IF(C9="","", S9-C9))</f>
        <v>259</v>
      </c>
      <c r="U9" s="0" t="n">
        <f aca="false">IF($S9="", "", IF(D9="","", $S9-D9))</f>
        <v>250</v>
      </c>
      <c r="V9" s="0" t="n">
        <f aca="false">IF($S9="", "", IF(E9="","", $S9-E9))</f>
        <v>321</v>
      </c>
      <c r="W9" s="66" t="n">
        <f aca="false">IF(SUM($C9:$E9)&gt;0,IF(NOT(S9=""),AVERAGE(T9:V9),""),"")</f>
        <v>276.666666666667</v>
      </c>
      <c r="X9" s="66" t="n">
        <f aca="false">IF(NOT(T9=""),(T9-$W9)^2,"")</f>
        <v>312.111111111112</v>
      </c>
      <c r="Y9" s="66" t="n">
        <f aca="false">IF(NOT(U9=""),(U9-$W9)^2,"")</f>
        <v>711.111111111112</v>
      </c>
      <c r="Z9" s="66" t="n">
        <f aca="false">IF(NOT(V9=""),(V9-$W9)^2,"")</f>
        <v>1965.44444444444</v>
      </c>
      <c r="AA9" s="0" t="n">
        <f aca="false">IF(COUNT(X9:Z9)&gt;0,SUM(X9:Z9)/COUNT(X9:Z9),"")</f>
        <v>996.222222222221</v>
      </c>
      <c r="AB9" s="0" t="n">
        <f aca="false">IF(NOT(AA9=""),SQRT(AA9),"")</f>
        <v>31.5629881700422</v>
      </c>
      <c r="AD9" s="66" t="n">
        <f aca="false">IF(NOT(W9=""),W9-AG9,"")</f>
        <v>198.666666666667</v>
      </c>
      <c r="AE9" s="66" t="n">
        <f aca="false">IF(NOT(W9=""),W9+AG9,"")</f>
        <v>354.666666666667</v>
      </c>
      <c r="AF9" s="63" t="n">
        <v>31.5629881700422</v>
      </c>
      <c r="AG9" s="63" t="n">
        <v>78</v>
      </c>
      <c r="AH9" s="63"/>
      <c r="AK9" s="0" t="s">
        <v>38</v>
      </c>
      <c r="AL9" s="0" t="n">
        <v>21</v>
      </c>
      <c r="AM9" s="0" t="n">
        <v>19383</v>
      </c>
      <c r="AN9" s="0" t="n">
        <f aca="false">IF(NOT(ISBLANK(AM9)), ROUND(AM9/60,0), "")</f>
        <v>323</v>
      </c>
      <c r="AO9" s="0" t="n">
        <f aca="false">$AN$9-C66</f>
        <v>183</v>
      </c>
      <c r="AP9" s="0" t="n">
        <f aca="false">$AN$9-D66</f>
        <v>144</v>
      </c>
      <c r="AQ9" s="0" t="n">
        <f aca="false">$AN$9-E66</f>
        <v>193</v>
      </c>
      <c r="AR9" s="66" t="n">
        <f aca="false">AVERAGE(AO9:AQ9)</f>
        <v>173.333333333333</v>
      </c>
      <c r="AS9" s="66" t="n">
        <f aca="false">AR9-AG$66</f>
        <v>120.333333333333</v>
      </c>
      <c r="AT9" s="66" t="n">
        <f aca="false">AR9+AG$66</f>
        <v>226.333333333333</v>
      </c>
      <c r="AU9" s="0" t="n">
        <f aca="false">$AN$9-C67</f>
        <v>222</v>
      </c>
      <c r="AV9" s="0" t="n">
        <f aca="false">$AN$9-D67</f>
        <v>219</v>
      </c>
      <c r="AW9" s="0" t="n">
        <f aca="false">$AN$9-E67</f>
        <v>225</v>
      </c>
      <c r="AX9" s="66" t="n">
        <f aca="false">AVERAGE(AU9:AW9)</f>
        <v>222</v>
      </c>
      <c r="AY9" s="66" t="n">
        <f aca="false">AX9-AG$67</f>
        <v>216</v>
      </c>
      <c r="AZ9" s="66" t="n">
        <f aca="false">AX9+AG$67</f>
        <v>228</v>
      </c>
    </row>
    <row r="10" customFormat="false" ht="12.8" hidden="false" customHeight="false" outlineLevel="0" collapsed="false">
      <c r="A10" s="56" t="s">
        <v>31</v>
      </c>
      <c r="B10" s="57" t="n">
        <v>64</v>
      </c>
      <c r="C10" s="56" t="n">
        <v>393</v>
      </c>
      <c r="D10" s="25" t="n">
        <v>383</v>
      </c>
      <c r="E10" s="77" t="n">
        <v>390</v>
      </c>
      <c r="F10" s="0" t="n">
        <v>634</v>
      </c>
      <c r="G10" s="0" t="n">
        <f aca="false">IF(F10="", "", IF(C10="","", F10-C10))</f>
        <v>241</v>
      </c>
      <c r="H10" s="0" t="n">
        <f aca="false">IF(F10="", "", IF(D10="","", F10-D10))</f>
        <v>251</v>
      </c>
      <c r="I10" s="0" t="n">
        <f aca="false">IF(F10="", "", IF(E10="","", F10-E10))</f>
        <v>244</v>
      </c>
      <c r="J10" s="66" t="n">
        <f aca="false">IF(SUM(C10:E10)&gt;0,AVERAGE(G10:I10),"")</f>
        <v>245.333333333333</v>
      </c>
      <c r="K10" s="66" t="n">
        <f aca="false">IF(NOT(G10=""),(G10-$J10)^2,"")</f>
        <v>18.7777777777779</v>
      </c>
      <c r="L10" s="66" t="n">
        <f aca="false">IF(NOT(H10=""),(H10-$J10)^2,"")</f>
        <v>32.111111111111</v>
      </c>
      <c r="M10" s="66" t="n">
        <f aca="false">IF(NOT(I10=""),(I10-$J10)^2,"")</f>
        <v>1.7777777777778</v>
      </c>
      <c r="N10" s="66" t="n">
        <f aca="false">IF(COUNT(K10:M10)&gt;0,SUM(K10:M10)/COUNT(K10:M10),"")</f>
        <v>17.5555555555556</v>
      </c>
      <c r="O10" s="66" t="n">
        <f aca="false">IF(NOT(N10=""),SQRT(N10),"")</f>
        <v>4.18993502999218</v>
      </c>
      <c r="P10" s="66" t="n">
        <f aca="false">IF(COUNT(K10:M10)&gt;0,VLOOKUP(COUNT(K10:M10),'t values'!$A$3:$C$5,3)*(O10/SQRT(COUNT(K10:M10))),"")</f>
        <v>10.4092156854004</v>
      </c>
      <c r="Q10" s="66" t="n">
        <f aca="false">IF(NOT(P10=""),J10-P10,"")</f>
        <v>234.924117647933</v>
      </c>
      <c r="R10" s="66" t="n">
        <f aca="false">IF(NOT(P10=""),J10+P10,"")</f>
        <v>255.742549018734</v>
      </c>
      <c r="S10" s="0" t="n">
        <v>461</v>
      </c>
      <c r="T10" s="0" t="n">
        <f aca="false">IF(S10="", "", IF(C10="","", S10-C10))</f>
        <v>68</v>
      </c>
      <c r="U10" s="0" t="n">
        <f aca="false">IF($S10="", "", IF(D10="","", $S10-D10))</f>
        <v>78</v>
      </c>
      <c r="V10" s="0" t="n">
        <f aca="false">IF($S10="", "", IF(E10="","", $S10-E10))</f>
        <v>71</v>
      </c>
      <c r="W10" s="66" t="n">
        <f aca="false">IF(SUM($C10:$E10)&gt;0,IF(NOT(S10=""),AVERAGE(T10:V10),""),"")</f>
        <v>72.3333333333333</v>
      </c>
      <c r="X10" s="66" t="n">
        <f aca="false">IF(NOT(T10=""),(T10-$W10)^2,"")</f>
        <v>18.7777777777777</v>
      </c>
      <c r="Y10" s="66" t="n">
        <f aca="false">IF(NOT(U10=""),(U10-$W10)^2,"")</f>
        <v>32.1111111111112</v>
      </c>
      <c r="Z10" s="66" t="n">
        <f aca="false">IF(NOT(V10=""),(V10-$W10)^2,"")</f>
        <v>1.77777777777777</v>
      </c>
      <c r="AA10" s="0" t="n">
        <f aca="false">IF(COUNT(X10:Z10)&gt;0,SUM(X10:Z10)/COUNT(X10:Z10),"")</f>
        <v>17.5555555555556</v>
      </c>
      <c r="AB10" s="0" t="n">
        <f aca="false">IF(NOT(AA10=""),SQRT(AA10),"")</f>
        <v>4.18993502999218</v>
      </c>
      <c r="AD10" s="66" t="n">
        <f aca="false">IF(NOT(W10=""),W10-AG10,"")</f>
        <v>62.3333333333333</v>
      </c>
      <c r="AE10" s="66" t="n">
        <f aca="false">IF(NOT(W10=""),W10+AG10,"")</f>
        <v>82.3333333333333</v>
      </c>
      <c r="AF10" s="63" t="n">
        <v>4.18993502999218</v>
      </c>
      <c r="AG10" s="63" t="n">
        <v>10</v>
      </c>
      <c r="AH10" s="63"/>
      <c r="AK10" s="0" t="s">
        <v>39</v>
      </c>
      <c r="AL10" s="0" t="n">
        <v>20</v>
      </c>
      <c r="AM10" s="0" t="n">
        <v>67141</v>
      </c>
      <c r="AN10" s="0" t="n">
        <f aca="false">IF(NOT(ISBLANK(AM10)), ROUND(AM10/60,0), "")</f>
        <v>1119</v>
      </c>
      <c r="AO10" s="0" t="n">
        <f aca="false">$AN$10-C76</f>
        <v>324</v>
      </c>
      <c r="AQ10" s="0" t="n">
        <f aca="false">$AN$10-E76</f>
        <v>391</v>
      </c>
      <c r="AR10" s="66" t="n">
        <f aca="false">AVERAGE(AO10:AQ10)</f>
        <v>357.5</v>
      </c>
      <c r="AS10" s="66" t="n">
        <f aca="false">AR10-AG$76</f>
        <v>56.5</v>
      </c>
      <c r="AT10" s="66" t="n">
        <f aca="false">AR10+AG$76</f>
        <v>658.5</v>
      </c>
      <c r="AX10" s="66"/>
      <c r="AY10" s="66"/>
      <c r="AZ10" s="66"/>
    </row>
    <row r="11" customFormat="false" ht="12.8" hidden="false" customHeight="false" outlineLevel="0" collapsed="false">
      <c r="A11" s="56" t="s">
        <v>31</v>
      </c>
      <c r="B11" s="57" t="n">
        <v>82</v>
      </c>
      <c r="C11" s="56" t="n">
        <v>347</v>
      </c>
      <c r="D11" s="25" t="n">
        <v>392</v>
      </c>
      <c r="E11" s="77" t="n">
        <v>351</v>
      </c>
      <c r="F11" s="0" t="n">
        <v>442</v>
      </c>
      <c r="G11" s="0" t="n">
        <f aca="false">IF(F11="", "", IF(C11="","", F11-C11))</f>
        <v>95</v>
      </c>
      <c r="H11" s="0" t="n">
        <f aca="false">IF(F11="", "", IF(D11="","", F11-D11))</f>
        <v>50</v>
      </c>
      <c r="I11" s="0" t="n">
        <f aca="false">IF(F11="", "", IF(E11="","", F11-E11))</f>
        <v>91</v>
      </c>
      <c r="J11" s="66" t="n">
        <f aca="false">IF(SUM(C11:E11)&gt;0,AVERAGE(G11:I11),"")</f>
        <v>78.6666666666667</v>
      </c>
      <c r="K11" s="66" t="n">
        <f aca="false">IF(NOT(G11=""),(G11-$J11)^2,"")</f>
        <v>266.777777777778</v>
      </c>
      <c r="L11" s="66" t="n">
        <f aca="false">IF(NOT(H11=""),(H11-$J11)^2,"")</f>
        <v>821.777777777778</v>
      </c>
      <c r="M11" s="66" t="n">
        <f aca="false">IF(NOT(I11=""),(I11-$J11)^2,"")</f>
        <v>152.111111111111</v>
      </c>
      <c r="N11" s="66" t="n">
        <f aca="false">IF(COUNT(K11:M11)&gt;0,SUM(K11:M11)/COUNT(K11:M11),"")</f>
        <v>413.555555555556</v>
      </c>
      <c r="O11" s="66" t="n">
        <f aca="false">IF(NOT(N11=""),SQRT(N11),"")</f>
        <v>20.3360653902262</v>
      </c>
      <c r="P11" s="66" t="n">
        <f aca="false">IF(COUNT(K11:M11)&gt;0,VLOOKUP(COUNT(K11:M11),'t values'!$A$3:$C$5,3)*(O11/SQRT(COUNT(K11:M11))),"")</f>
        <v>50.5216642558931</v>
      </c>
      <c r="Q11" s="66" t="n">
        <f aca="false">IF(NOT(P11=""),J11-P11,"")</f>
        <v>28.1450024107736</v>
      </c>
      <c r="R11" s="66" t="n">
        <f aca="false">IF(NOT(P11=""),J11+P11,"")</f>
        <v>129.18833092256</v>
      </c>
      <c r="S11" s="0" t="n">
        <v>517</v>
      </c>
      <c r="T11" s="0" t="n">
        <f aca="false">IF(S11="", "", IF(C11="","", S11-C11))</f>
        <v>170</v>
      </c>
      <c r="U11" s="0" t="n">
        <f aca="false">IF($S11="", "", IF(D11="","", $S11-D11))</f>
        <v>125</v>
      </c>
      <c r="V11" s="0" t="n">
        <f aca="false">IF($S11="", "", IF(E11="","", $S11-E11))</f>
        <v>166</v>
      </c>
      <c r="W11" s="66" t="n">
        <f aca="false">IF(SUM($C11:$E11)&gt;0,IF(NOT(S11=""),AVERAGE(T11:V11),""),"")</f>
        <v>153.666666666667</v>
      </c>
      <c r="X11" s="66" t="n">
        <f aca="false">IF(NOT(T11=""),(T11-$W11)^2,"")</f>
        <v>266.777777777778</v>
      </c>
      <c r="Y11" s="66" t="n">
        <f aca="false">IF(NOT(U11=""),(U11-$W11)^2,"")</f>
        <v>821.777777777777</v>
      </c>
      <c r="Z11" s="66" t="n">
        <f aca="false">IF(NOT(V11=""),(V11-$W11)^2,"")</f>
        <v>152.111111111111</v>
      </c>
      <c r="AA11" s="0" t="n">
        <f aca="false">IF(COUNT(X11:Z11)&gt;0,SUM(X11:Z11)/COUNT(X11:Z11),"")</f>
        <v>413.555555555555</v>
      </c>
      <c r="AB11" s="0" t="n">
        <f aca="false">IF(NOT(AA11=""),SQRT(AA11),"")</f>
        <v>20.3360653902262</v>
      </c>
      <c r="AD11" s="66" t="n">
        <f aca="false">IF(NOT(W11=""),W11-AG11,"")</f>
        <v>102.666666666667</v>
      </c>
      <c r="AE11" s="66" t="n">
        <f aca="false">IF(NOT(W11=""),W11+AG11,"")</f>
        <v>204.666666666667</v>
      </c>
      <c r="AF11" s="63" t="n">
        <v>20.3360653902262</v>
      </c>
      <c r="AG11" s="63" t="n">
        <v>51</v>
      </c>
      <c r="AH11" s="63"/>
      <c r="AK11" s="0" t="s">
        <v>41</v>
      </c>
      <c r="AL11" s="0" t="n">
        <v>33</v>
      </c>
      <c r="AM11" s="0" t="n">
        <v>2053155</v>
      </c>
      <c r="AN11" s="0" t="n">
        <f aca="false">IF(NOT(ISBLANK(AM11)), ROUND(AM11/60,0), "")</f>
        <v>34219</v>
      </c>
      <c r="AO11" s="0" t="n">
        <f aca="false">$AN$11-C87</f>
        <v>34170</v>
      </c>
      <c r="AP11" s="0" t="n">
        <f aca="false">$AN$11-D87</f>
        <v>34162</v>
      </c>
      <c r="AQ11" s="0" t="n">
        <f aca="false">$AN$11-E87</f>
        <v>34163</v>
      </c>
      <c r="AR11" s="66" t="n">
        <f aca="false">AVERAGE(AO11:AQ11)</f>
        <v>34165</v>
      </c>
      <c r="AS11" s="66" t="n">
        <f aca="false">AR11-AG$87</f>
        <v>34156</v>
      </c>
      <c r="AT11" s="66" t="n">
        <f aca="false">AR11+AG$87</f>
        <v>34174</v>
      </c>
      <c r="AU11" s="0" t="n">
        <f aca="false">$AN$11-C88</f>
        <v>34164</v>
      </c>
      <c r="AV11" s="0" t="n">
        <f aca="false">$AN$11-D88</f>
        <v>34176</v>
      </c>
      <c r="AW11" s="0" t="n">
        <f aca="false">$AN$11-E88</f>
        <v>34175</v>
      </c>
      <c r="AX11" s="66" t="n">
        <f aca="false">AVERAGE(AU11:AW11)</f>
        <v>34171.6666666667</v>
      </c>
      <c r="AY11" s="66" t="n">
        <f aca="false">AX11-AG$88</f>
        <v>34157.6666666667</v>
      </c>
      <c r="AZ11" s="66" t="n">
        <f aca="false">AX11+AG$88</f>
        <v>34185.6666666667</v>
      </c>
    </row>
    <row r="12" customFormat="false" ht="12.8" hidden="false" customHeight="false" outlineLevel="0" collapsed="false">
      <c r="A12" s="56" t="s">
        <v>31</v>
      </c>
      <c r="B12" s="57" t="n">
        <v>100</v>
      </c>
      <c r="C12" s="56" t="n">
        <v>266</v>
      </c>
      <c r="D12" s="25" t="n">
        <v>280</v>
      </c>
      <c r="E12" s="77" t="n">
        <v>289</v>
      </c>
      <c r="F12" s="0" t="n">
        <v>372</v>
      </c>
      <c r="G12" s="0" t="n">
        <f aca="false">IF(F12="", "", IF(C12="","", F12-C12))</f>
        <v>106</v>
      </c>
      <c r="H12" s="0" t="n">
        <f aca="false">IF(F12="", "", IF(D12="","", F12-D12))</f>
        <v>92</v>
      </c>
      <c r="I12" s="0" t="n">
        <f aca="false">IF(F12="", "", IF(E12="","", F12-E12))</f>
        <v>83</v>
      </c>
      <c r="J12" s="66" t="n">
        <f aca="false">IF(SUM(C12:E12)&gt;0,AVERAGE(G12:I12),"")</f>
        <v>93.6666666666667</v>
      </c>
      <c r="K12" s="66" t="n">
        <f aca="false">IF(NOT(G12=""),(G12-$J12)^2,"")</f>
        <v>152.111111111111</v>
      </c>
      <c r="L12" s="66" t="n">
        <f aca="false">IF(NOT(H12=""),(H12-$J12)^2,"")</f>
        <v>2.77777777777779</v>
      </c>
      <c r="M12" s="66" t="n">
        <f aca="false">IF(NOT(I12=""),(I12-$J12)^2,"")</f>
        <v>113.777777777778</v>
      </c>
      <c r="N12" s="66" t="n">
        <f aca="false">IF(COUNT(K12:M12)&gt;0,SUM(K12:M12)/COUNT(K12:M12),"")</f>
        <v>89.5555555555556</v>
      </c>
      <c r="O12" s="66" t="n">
        <f aca="false">IF(NOT(N12=""),SQRT(N12),"")</f>
        <v>9.46337971105226</v>
      </c>
      <c r="P12" s="66" t="n">
        <f aca="false">IF(COUNT(K12:M12)&gt;0,VLOOKUP(COUNT(K12:M12),'t values'!$A$3:$C$5,3)*(O12/SQRT(COUNT(K12:M12))),"")</f>
        <v>23.5102357960354</v>
      </c>
      <c r="Q12" s="66" t="n">
        <f aca="false">IF(NOT(P12=""),J12-P12,"")</f>
        <v>70.1564308706313</v>
      </c>
      <c r="R12" s="66" t="n">
        <f aca="false">IF(NOT(P12=""),J12+P12,"")</f>
        <v>117.176902462702</v>
      </c>
      <c r="S12" s="0" t="n">
        <v>478</v>
      </c>
      <c r="T12" s="0" t="n">
        <f aca="false">IF(S12="", "", IF(C12="","", S12-C12))</f>
        <v>212</v>
      </c>
      <c r="U12" s="0" t="n">
        <f aca="false">IF($S12="", "", IF(D12="","", $S12-D12))</f>
        <v>198</v>
      </c>
      <c r="V12" s="0" t="n">
        <f aca="false">IF($S12="", "", IF(E12="","", $S12-E12))</f>
        <v>189</v>
      </c>
      <c r="W12" s="66" t="n">
        <f aca="false">IF(SUM($C12:$E12)&gt;0,IF(NOT(S12=""),AVERAGE(T12:V12),""),"")</f>
        <v>199.666666666667</v>
      </c>
      <c r="X12" s="66" t="n">
        <f aca="false">IF(NOT(T12=""),(T12-$W12)^2,"")</f>
        <v>152.111111111111</v>
      </c>
      <c r="Y12" s="66" t="n">
        <f aca="false">IF(NOT(U12=""),(U12-$W12)^2,"")</f>
        <v>2.77777777777775</v>
      </c>
      <c r="Z12" s="66" t="n">
        <f aca="false">IF(NOT(V12=""),(V12-$W12)^2,"")</f>
        <v>113.777777777778</v>
      </c>
      <c r="AA12" s="0" t="n">
        <f aca="false">IF(COUNT(X12:Z12)&gt;0,SUM(X12:Z12)/COUNT(X12:Z12),"")</f>
        <v>89.5555555555556</v>
      </c>
      <c r="AB12" s="0" t="n">
        <f aca="false">IF(NOT(AA12=""),SQRT(AA12),"")</f>
        <v>9.46337971105226</v>
      </c>
      <c r="AD12" s="66" t="n">
        <f aca="false">IF(NOT(W12=""),W12-AG12,"")</f>
        <v>175.666666666667</v>
      </c>
      <c r="AE12" s="66" t="n">
        <f aca="false">IF(NOT(W12=""),W12+AG12,"")</f>
        <v>223.666666666667</v>
      </c>
      <c r="AF12" s="63" t="n">
        <v>9.46337971105226</v>
      </c>
      <c r="AG12" s="63" t="n">
        <v>24</v>
      </c>
      <c r="AH12" s="63"/>
      <c r="AK12" s="0" t="s">
        <v>42</v>
      </c>
      <c r="AL12" s="0" t="n">
        <v>33</v>
      </c>
      <c r="AM12" s="0" t="n">
        <v>15178792</v>
      </c>
      <c r="AN12" s="0" t="n">
        <f aca="false">IF(NOT(ISBLANK(AM12)), ROUND(AM12/60,0), "")</f>
        <v>252980</v>
      </c>
      <c r="AO12" s="0" t="n">
        <f aca="false">$AN$12-C97</f>
        <v>252733</v>
      </c>
      <c r="AP12" s="0" t="n">
        <f aca="false">$AN$12-D97</f>
        <v>252768</v>
      </c>
      <c r="AQ12" s="0" t="n">
        <f aca="false">$AN$12-E97</f>
        <v>252747</v>
      </c>
      <c r="AR12" s="66" t="n">
        <f aca="false">AVERAGE(AO12:AQ12)</f>
        <v>252749.333333333</v>
      </c>
      <c r="AS12" s="66" t="n">
        <f aca="false">AR12-AG$97</f>
        <v>252713.333333333</v>
      </c>
      <c r="AT12" s="66" t="n">
        <f aca="false">AR12+AG$97</f>
        <v>252785.333333333</v>
      </c>
      <c r="AU12" s="0" t="n">
        <f aca="false">$AN$12-C98</f>
        <v>252793</v>
      </c>
      <c r="AV12" s="0" t="n">
        <f aca="false">$AN$12-D98</f>
        <v>252790</v>
      </c>
      <c r="AW12" s="0" t="n">
        <f aca="false">$AN$12-E98</f>
        <v>252818</v>
      </c>
      <c r="AX12" s="66" t="n">
        <f aca="false">AVERAGE(AU12:AW12)</f>
        <v>252800.333333333</v>
      </c>
      <c r="AY12" s="66" t="n">
        <f aca="false">AX12-AG$98</f>
        <v>252769.333333333</v>
      </c>
      <c r="AZ12" s="66" t="n">
        <f aca="false">AX12+AG$98</f>
        <v>252831.333333333</v>
      </c>
    </row>
    <row r="13" customFormat="false" ht="12.8" hidden="false" customHeight="false" outlineLevel="0" collapsed="false">
      <c r="A13" s="56" t="s">
        <v>32</v>
      </c>
      <c r="B13" s="57" t="n">
        <v>5</v>
      </c>
      <c r="C13" s="56"/>
      <c r="D13" s="25"/>
      <c r="E13" s="77"/>
      <c r="F13" s="0" t="n">
        <v>1821</v>
      </c>
      <c r="G13" s="0" t="str">
        <f aca="false">IF(F13="", "", IF(C13="","", F13-C13))</f>
        <v/>
      </c>
      <c r="H13" s="0" t="str">
        <f aca="false">IF(F13="", "", IF(D13="","", F13-D13))</f>
        <v/>
      </c>
      <c r="I13" s="0" t="str">
        <f aca="false">IF(F13="", "", IF(E13="","", F13-E13))</f>
        <v/>
      </c>
      <c r="J13" s="66" t="str">
        <f aca="false">IF(SUM(C13:E13)&gt;0,AVERAGE(G13:I13),"")</f>
        <v/>
      </c>
      <c r="K13" s="66" t="str">
        <f aca="false">IF(NOT(G13=""),(G13-$J13)^2,"")</f>
        <v/>
      </c>
      <c r="L13" s="66" t="str">
        <f aca="false">IF(NOT(H13=""),(H13-$J13)^2,"")</f>
        <v/>
      </c>
      <c r="M13" s="66" t="str">
        <f aca="false">IF(NOT(I13=""),(I13-$J13)^2,"")</f>
        <v/>
      </c>
      <c r="N13" s="66" t="str">
        <f aca="false">IF(COUNT(K13:M13)&gt;0,SUM(K13:M13)/COUNT(K13:M13),"")</f>
        <v/>
      </c>
      <c r="O13" s="66" t="str">
        <f aca="false">IF(NOT(N13=""),SQRT(N13),"")</f>
        <v/>
      </c>
      <c r="P13" s="66" t="str">
        <f aca="false">IF(COUNT(K13:M13)&gt;0,VLOOKUP(COUNT(K13:M13),'t values'!$A$3:$C$5,3)*(O13/SQRT(COUNT(K13:M13))),"")</f>
        <v/>
      </c>
      <c r="Q13" s="66" t="str">
        <f aca="false">IF(NOT(P13=""),J13-P13,"")</f>
        <v/>
      </c>
      <c r="R13" s="66" t="str">
        <f aca="false">IF(NOT(P13=""),J13+P13,"")</f>
        <v/>
      </c>
      <c r="S13" s="0" t="n">
        <v>2677</v>
      </c>
      <c r="T13" s="0" t="str">
        <f aca="false">IF(S13="", "", IF(C13="","", S13-C13))</f>
        <v/>
      </c>
      <c r="U13" s="0" t="str">
        <f aca="false">IF($S13="", "", IF(D13="","", $S13-D13))</f>
        <v/>
      </c>
      <c r="V13" s="0" t="str">
        <f aca="false">IF($S13="", "", IF(E13="","", $S13-E13))</f>
        <v/>
      </c>
      <c r="W13" s="66" t="str">
        <f aca="false">IF(SUM($C13:$E13)&gt;0,IF(NOT(S13=""),AVERAGE(T13:V13),""),"")</f>
        <v/>
      </c>
      <c r="X13" s="66" t="str">
        <f aca="false">IF(NOT(T13=""),(T13-$W13)^2,"")</f>
        <v/>
      </c>
      <c r="Y13" s="66" t="str">
        <f aca="false">IF(NOT(U13=""),(U13-$W13)^2,"")</f>
        <v/>
      </c>
      <c r="Z13" s="66" t="str">
        <f aca="false">IF(NOT(V13=""),(V13-$W13)^2,"")</f>
        <v/>
      </c>
      <c r="AA13" s="0" t="str">
        <f aca="false">IF(COUNT(X13:Z13)&gt;0,SUM(X13:Z13)/COUNT(X13:Z13),"")</f>
        <v/>
      </c>
      <c r="AB13" s="0" t="str">
        <f aca="false">IF(NOT(AA13=""),SQRT(AA13),"")</f>
        <v/>
      </c>
      <c r="AD13" s="66" t="str">
        <f aca="false">IF(NOT(W13=""),W13-AG13,"")</f>
        <v/>
      </c>
      <c r="AE13" s="66" t="str">
        <f aca="false">IF(NOT(W13=""),W13+AG13,"")</f>
        <v/>
      </c>
      <c r="AF13" s="63"/>
      <c r="AG13" s="63"/>
      <c r="AH13" s="63"/>
      <c r="AK13" s="0" t="s">
        <v>43</v>
      </c>
      <c r="AL13" s="0" t="n">
        <v>31</v>
      </c>
      <c r="AM13" s="0" t="n">
        <v>136650</v>
      </c>
      <c r="AN13" s="0" t="n">
        <f aca="false">IF(NOT(ISBLANK(AM13)), ROUND(AM13/60,0), "")</f>
        <v>2278</v>
      </c>
      <c r="AO13" s="0" t="n">
        <f aca="false">$AN$13-C107</f>
        <v>1504</v>
      </c>
      <c r="AQ13" s="0" t="n">
        <f aca="false">$AN$13-E107</f>
        <v>1491</v>
      </c>
      <c r="AR13" s="66" t="n">
        <f aca="false">AVERAGE(AO13:AQ13)</f>
        <v>1497.5</v>
      </c>
      <c r="AS13" s="66" t="n">
        <f aca="false">AR13-AG$107</f>
        <v>1439.5</v>
      </c>
      <c r="AT13" s="66" t="n">
        <f aca="false">AR13+AG$107</f>
        <v>1555.5</v>
      </c>
      <c r="AU13" s="0" t="n">
        <f aca="false">AN13-V108</f>
        <v>1697</v>
      </c>
      <c r="AX13" s="66" t="n">
        <f aca="false">AVERAGE(AU13:AW13)</f>
        <v>1697</v>
      </c>
      <c r="AY13" s="66" t="n">
        <f aca="false">AX13-AG$108</f>
        <v>1212</v>
      </c>
      <c r="AZ13" s="66" t="n">
        <f aca="false">AX13+AG$108</f>
        <v>2182</v>
      </c>
    </row>
    <row r="14" customFormat="false" ht="12.8" hidden="false" customHeight="false" outlineLevel="0" collapsed="false">
      <c r="A14" s="56" t="s">
        <v>32</v>
      </c>
      <c r="B14" s="57" t="n">
        <v>10</v>
      </c>
      <c r="C14" s="56" t="n">
        <v>1647</v>
      </c>
      <c r="D14" s="25" t="n">
        <v>1394</v>
      </c>
      <c r="E14" s="77" t="n">
        <v>1740</v>
      </c>
      <c r="F14" s="0" t="n">
        <v>1320</v>
      </c>
      <c r="G14" s="0" t="n">
        <f aca="false">IF(F14="", "", IF(C14="","", F14-C14))</f>
        <v>-327</v>
      </c>
      <c r="H14" s="0" t="n">
        <f aca="false">IF(F14="", "", IF(D14="","", F14-D14))</f>
        <v>-74</v>
      </c>
      <c r="I14" s="0" t="n">
        <f aca="false">IF(F14="", "", IF(E14="","", F14-E14))</f>
        <v>-420</v>
      </c>
      <c r="J14" s="66" t="n">
        <f aca="false">IF(SUM(C14:E14)&gt;0,AVERAGE(G14:I14),"")</f>
        <v>-273.666666666667</v>
      </c>
      <c r="K14" s="66" t="n">
        <f aca="false">IF(NOT(G14=""),(G14-$J14)^2,"")</f>
        <v>2844.44444444444</v>
      </c>
      <c r="L14" s="66" t="n">
        <f aca="false">IF(NOT(H14=""),(H14-$J14)^2,"")</f>
        <v>39866.7777777778</v>
      </c>
      <c r="M14" s="66" t="n">
        <f aca="false">IF(NOT(I14=""),(I14-$J14)^2,"")</f>
        <v>21413.4444444444</v>
      </c>
      <c r="N14" s="66" t="n">
        <f aca="false">IF(COUNT(K14:M14)&gt;0,SUM(K14:M14)/COUNT(K14:M14),"")</f>
        <v>21374.8888888889</v>
      </c>
      <c r="O14" s="66" t="n">
        <f aca="false">IF(NOT(N14=""),SQRT(N14),"")</f>
        <v>146.201535179658</v>
      </c>
      <c r="P14" s="66" t="n">
        <f aca="false">IF(COUNT(K14:M14)&gt;0,VLOOKUP(COUNT(K14:M14),'t values'!$A$3:$C$5,3)*(O14/SQRT(COUNT(K14:M14))),"")</f>
        <v>363.214059962299</v>
      </c>
      <c r="Q14" s="66" t="n">
        <f aca="false">IF(NOT(P14=""),J14-P14,"")</f>
        <v>-636.880726628965</v>
      </c>
      <c r="R14" s="66" t="n">
        <f aca="false">IF(NOT(P14=""),J14+P14,"")</f>
        <v>89.547393295632</v>
      </c>
      <c r="S14" s="0" t="n">
        <v>1698</v>
      </c>
      <c r="T14" s="0" t="n">
        <f aca="false">IF(S14="", "", IF(C14="","", S14-C14))</f>
        <v>51</v>
      </c>
      <c r="U14" s="0" t="n">
        <f aca="false">IF($S14="", "", IF(D14="","", $S14-D14))</f>
        <v>304</v>
      </c>
      <c r="V14" s="0" t="n">
        <f aca="false">IF($S14="", "", IF(E14="","", $S14-E14))</f>
        <v>-42</v>
      </c>
      <c r="W14" s="66" t="n">
        <f aca="false">IF(SUM($C14:$E14)&gt;0,IF(NOT(S14=""),AVERAGE(T14:V14),""),"")</f>
        <v>104.333333333333</v>
      </c>
      <c r="X14" s="66" t="n">
        <f aca="false">IF(NOT(T14=""),(T14-$W14)^2,"")</f>
        <v>2844.44444444444</v>
      </c>
      <c r="Y14" s="66" t="n">
        <f aca="false">IF(NOT(U14=""),(U14-$W14)^2,"")</f>
        <v>39866.7777777778</v>
      </c>
      <c r="Z14" s="66" t="n">
        <f aca="false">IF(NOT(V14=""),(V14-$W14)^2,"")</f>
        <v>21413.4444444444</v>
      </c>
      <c r="AA14" s="0" t="n">
        <f aca="false">IF(COUNT(X14:Z14)&gt;0,SUM(X14:Z14)/COUNT(X14:Z14),"")</f>
        <v>21374.8888888889</v>
      </c>
      <c r="AB14" s="0" t="n">
        <f aca="false">IF(NOT(AA14=""),SQRT(AA14),"")</f>
        <v>146.201535179658</v>
      </c>
      <c r="AD14" s="66" t="n">
        <f aca="false">IF(NOT(W14=""),W14-AG14,"")</f>
        <v>-258.666666666667</v>
      </c>
      <c r="AE14" s="66" t="n">
        <f aca="false">IF(NOT(W14=""),W14+AG14,"")</f>
        <v>467.333333333333</v>
      </c>
      <c r="AF14" s="63" t="n">
        <v>146.201535179658</v>
      </c>
      <c r="AG14" s="63" t="n">
        <v>363</v>
      </c>
      <c r="AH14" s="63"/>
      <c r="AK14" s="0" t="s">
        <v>44</v>
      </c>
      <c r="AL14" s="0" t="n">
        <v>36</v>
      </c>
      <c r="AM14" s="0" t="n">
        <v>442873</v>
      </c>
      <c r="AN14" s="0" t="n">
        <f aca="false">IF(NOT(ISBLANK(AM14)), ROUND(AM14/60,0), "")</f>
        <v>7381</v>
      </c>
      <c r="AO14" s="0" t="s">
        <v>35</v>
      </c>
      <c r="AR14" s="66"/>
      <c r="AS14" s="66"/>
      <c r="AT14" s="66"/>
      <c r="AU14" s="0" t="n">
        <f aca="false">$AN$14-C120</f>
        <v>5595</v>
      </c>
      <c r="AX14" s="66" t="n">
        <f aca="false">AVERAGE(AU14:AW14)</f>
        <v>5595</v>
      </c>
      <c r="AY14" s="66" t="n">
        <f aca="false">AX14-AG$120</f>
        <v>5595</v>
      </c>
      <c r="AZ14" s="66" t="n">
        <f aca="false">AX14+AG$120</f>
        <v>5595</v>
      </c>
    </row>
    <row r="15" customFormat="false" ht="12.8" hidden="false" customHeight="false" outlineLevel="0" collapsed="false">
      <c r="A15" s="56" t="s">
        <v>32</v>
      </c>
      <c r="B15" s="57" t="n">
        <v>15</v>
      </c>
      <c r="C15" s="56" t="n">
        <v>993</v>
      </c>
      <c r="D15" s="25" t="n">
        <v>1133</v>
      </c>
      <c r="E15" s="77" t="n">
        <v>1218</v>
      </c>
      <c r="F15" s="0" t="n">
        <v>1010</v>
      </c>
      <c r="G15" s="0" t="n">
        <f aca="false">IF(F15="", "", IF(C15="","", F15-C15))</f>
        <v>17</v>
      </c>
      <c r="H15" s="0" t="n">
        <f aca="false">IF(F15="", "", IF(D15="","", F15-D15))</f>
        <v>-123</v>
      </c>
      <c r="I15" s="0" t="n">
        <f aca="false">IF(F15="", "", IF(E15="","", F15-E15))</f>
        <v>-208</v>
      </c>
      <c r="J15" s="66" t="n">
        <f aca="false">IF(SUM(C15:E15)&gt;0,AVERAGE(G15:I15),"")</f>
        <v>-104.666666666667</v>
      </c>
      <c r="K15" s="66" t="n">
        <f aca="false">IF(NOT(G15=""),(G15-$J15)^2,"")</f>
        <v>14802.7777777778</v>
      </c>
      <c r="L15" s="66" t="n">
        <f aca="false">IF(NOT(H15=""),(H15-$J15)^2,"")</f>
        <v>336.111111111111</v>
      </c>
      <c r="M15" s="66" t="n">
        <f aca="false">IF(NOT(I15=""),(I15-$J15)^2,"")</f>
        <v>10677.7777777778</v>
      </c>
      <c r="N15" s="66" t="n">
        <f aca="false">IF(COUNT(K15:M15)&gt;0,SUM(K15:M15)/COUNT(K15:M15),"")</f>
        <v>8605.55555555556</v>
      </c>
      <c r="O15" s="66" t="n">
        <f aca="false">IF(NOT(N15=""),SQRT(N15),"")</f>
        <v>92.7661336671716</v>
      </c>
      <c r="P15" s="66" t="n">
        <f aca="false">IF(COUNT(K15:M15)&gt;0,VLOOKUP(COUNT(K15:M15),'t values'!$A$3:$C$5,3)*(O15/SQRT(COUNT(K15:M15))),"")</f>
        <v>230.462450307749</v>
      </c>
      <c r="Q15" s="66" t="n">
        <f aca="false">IF(NOT(P15=""),J15-P15,"")</f>
        <v>-335.129116974416</v>
      </c>
      <c r="R15" s="66" t="n">
        <f aca="false">IF(NOT(P15=""),J15+P15,"")</f>
        <v>125.795783641083</v>
      </c>
      <c r="S15" s="0" t="n">
        <v>1469</v>
      </c>
      <c r="T15" s="0" t="n">
        <f aca="false">IF(S15="", "", IF(C15="","", S15-C15))</f>
        <v>476</v>
      </c>
      <c r="U15" s="0" t="n">
        <f aca="false">IF($S15="", "", IF(D15="","", $S15-D15))</f>
        <v>336</v>
      </c>
      <c r="V15" s="0" t="n">
        <f aca="false">IF($S15="", "", IF(E15="","", $S15-E15))</f>
        <v>251</v>
      </c>
      <c r="W15" s="66" t="n">
        <f aca="false">IF(SUM($C15:$E15)&gt;0,IF(NOT(S15=""),AVERAGE(T15:V15),""),"")</f>
        <v>354.333333333333</v>
      </c>
      <c r="X15" s="66" t="n">
        <f aca="false">IF(NOT(T15=""),(T15-$W15)^2,"")</f>
        <v>14802.7777777778</v>
      </c>
      <c r="Y15" s="66" t="n">
        <f aca="false">IF(NOT(U15=""),(U15-$W15)^2,"")</f>
        <v>336.11111111111</v>
      </c>
      <c r="Z15" s="66" t="n">
        <f aca="false">IF(NOT(V15=""),(V15-$W15)^2,"")</f>
        <v>10677.7777777778</v>
      </c>
      <c r="AA15" s="0" t="n">
        <f aca="false">IF(COUNT(X15:Z15)&gt;0,SUM(X15:Z15)/COUNT(X15:Z15),"")</f>
        <v>8605.55555555557</v>
      </c>
      <c r="AB15" s="0" t="n">
        <f aca="false">IF(NOT(AA15=""),SQRT(AA15),"")</f>
        <v>92.7661336671717</v>
      </c>
      <c r="AD15" s="66" t="n">
        <f aca="false">IF(NOT(W15=""),W15-AG15,"")</f>
        <v>124.333333333333</v>
      </c>
      <c r="AE15" s="66" t="n">
        <f aca="false">IF(NOT(W15=""),W15+AG15,"")</f>
        <v>584.333333333333</v>
      </c>
      <c r="AF15" s="63" t="n">
        <v>92.7661336671716</v>
      </c>
      <c r="AG15" s="63" t="n">
        <v>230</v>
      </c>
      <c r="AH15" s="63"/>
      <c r="AK15" s="0" t="s">
        <v>45</v>
      </c>
      <c r="AL15" s="0" t="n">
        <v>52</v>
      </c>
      <c r="AM15" s="0" t="n">
        <v>218729</v>
      </c>
      <c r="AN15" s="0" t="n">
        <f aca="false">IF(NOT(ISBLANK(AM15)), ROUND(AM15/60,0), "")</f>
        <v>3645</v>
      </c>
      <c r="AO15" s="0" t="n">
        <v>1136</v>
      </c>
      <c r="AR15" s="66" t="n">
        <f aca="false">AVERAGE(AO15:AQ15)</f>
        <v>1136</v>
      </c>
      <c r="AS15" s="66"/>
      <c r="AT15" s="66"/>
      <c r="AU15" s="0" t="n">
        <v>831</v>
      </c>
      <c r="AX15" s="66" t="n">
        <f aca="false">AVERAGE(AU15:AW15)</f>
        <v>831</v>
      </c>
      <c r="AY15" s="66"/>
      <c r="AZ15" s="66"/>
    </row>
    <row r="16" customFormat="false" ht="12.8" hidden="false" customHeight="false" outlineLevel="0" collapsed="false">
      <c r="A16" s="56" t="s">
        <v>32</v>
      </c>
      <c r="B16" s="57" t="n">
        <v>20</v>
      </c>
      <c r="C16" s="56" t="n">
        <v>762</v>
      </c>
      <c r="D16" s="25" t="n">
        <v>854</v>
      </c>
      <c r="E16" s="77" t="n">
        <v>776</v>
      </c>
      <c r="F16" s="0" t="n">
        <v>880</v>
      </c>
      <c r="G16" s="0" t="n">
        <f aca="false">IF(F16="", "", IF(C16="","", F16-C16))</f>
        <v>118</v>
      </c>
      <c r="H16" s="0" t="n">
        <f aca="false">IF(F16="", "", IF(D16="","", F16-D16))</f>
        <v>26</v>
      </c>
      <c r="I16" s="0" t="n">
        <f aca="false">IF(F16="", "", IF(E16="","", F16-E16))</f>
        <v>104</v>
      </c>
      <c r="J16" s="66" t="n">
        <f aca="false">IF(SUM(C16:E16)&gt;0,AVERAGE(G16:I16),"")</f>
        <v>82.6666666666667</v>
      </c>
      <c r="K16" s="66" t="n">
        <f aca="false">IF(NOT(G16=""),(G16-$J16)^2,"")</f>
        <v>1248.44444444444</v>
      </c>
      <c r="L16" s="66" t="n">
        <f aca="false">IF(NOT(H16=""),(H16-$J16)^2,"")</f>
        <v>3211.11111111111</v>
      </c>
      <c r="M16" s="66" t="n">
        <f aca="false">IF(NOT(I16=""),(I16-$J16)^2,"")</f>
        <v>455.111111111111</v>
      </c>
      <c r="N16" s="66" t="n">
        <f aca="false">IF(COUNT(K16:M16)&gt;0,SUM(K16:M16)/COUNT(K16:M16),"")</f>
        <v>1638.22222222222</v>
      </c>
      <c r="O16" s="66" t="n">
        <f aca="false">IF(NOT(N16=""),SQRT(N16),"")</f>
        <v>40.4749579644281</v>
      </c>
      <c r="P16" s="66" t="n">
        <f aca="false">IF(COUNT(K16:M16)&gt;0,VLOOKUP(COUNT(K16:M16),'t values'!$A$3:$C$5,3)*(O16/SQRT(COUNT(K16:M16))),"")</f>
        <v>100.553484551294</v>
      </c>
      <c r="Q16" s="66" t="n">
        <f aca="false">IF(NOT(P16=""),J16-P16,"")</f>
        <v>-17.8868178846278</v>
      </c>
      <c r="R16" s="66" t="n">
        <f aca="false">IF(NOT(P16=""),J16+P16,"")</f>
        <v>183.220151217961</v>
      </c>
      <c r="S16" s="0" t="n">
        <v>1355</v>
      </c>
      <c r="T16" s="0" t="n">
        <f aca="false">IF(S16="", "", IF(C16="","", S16-C16))</f>
        <v>593</v>
      </c>
      <c r="U16" s="0" t="n">
        <f aca="false">IF($S16="", "", IF(D16="","", $S16-D16))</f>
        <v>501</v>
      </c>
      <c r="V16" s="0" t="n">
        <f aca="false">IF($S16="", "", IF(E16="","", $S16-E16))</f>
        <v>579</v>
      </c>
      <c r="W16" s="66" t="n">
        <f aca="false">IF(SUM($C16:$E16)&gt;0,IF(NOT(S16=""),AVERAGE(T16:V16),""),"")</f>
        <v>557.666666666667</v>
      </c>
      <c r="X16" s="66" t="n">
        <f aca="false">IF(NOT(T16=""),(T16-$W16)^2,"")</f>
        <v>1248.44444444445</v>
      </c>
      <c r="Y16" s="66" t="n">
        <f aca="false">IF(NOT(U16=""),(U16-$W16)^2,"")</f>
        <v>3211.11111111111</v>
      </c>
      <c r="Z16" s="66" t="n">
        <f aca="false">IF(NOT(V16=""),(V16-$W16)^2,"")</f>
        <v>455.111111111113</v>
      </c>
      <c r="AA16" s="0" t="n">
        <f aca="false">IF(COUNT(X16:Z16)&gt;0,SUM(X16:Z16)/COUNT(X16:Z16),"")</f>
        <v>1638.22222222222</v>
      </c>
      <c r="AB16" s="0" t="n">
        <f aca="false">IF(NOT(AA16=""),SQRT(AA16),"")</f>
        <v>40.4749579644281</v>
      </c>
      <c r="AD16" s="66" t="n">
        <f aca="false">IF(NOT(W16=""),W16-AG16,"")</f>
        <v>456.666666666667</v>
      </c>
      <c r="AE16" s="66" t="n">
        <f aca="false">IF(NOT(W16=""),W16+AG16,"")</f>
        <v>658.666666666667</v>
      </c>
      <c r="AF16" s="63" t="n">
        <v>40.4749579644281</v>
      </c>
      <c r="AG16" s="63" t="n">
        <v>101</v>
      </c>
      <c r="AH16" s="63"/>
      <c r="AK16" s="0" t="s">
        <v>46</v>
      </c>
      <c r="AL16" s="0" t="n">
        <v>14</v>
      </c>
      <c r="AM16" s="0" t="n">
        <v>19756</v>
      </c>
      <c r="AN16" s="0" t="n">
        <f aca="false">IF(NOT(ISBLANK(AM16)), ROUND(AM16/60,0), "")</f>
        <v>329</v>
      </c>
      <c r="AO16" s="0" t="n">
        <f aca="false">$AN$16-C124</f>
        <v>-43</v>
      </c>
      <c r="AP16" s="0" t="n">
        <f aca="false">$AN$16-D124</f>
        <v>-42</v>
      </c>
      <c r="AQ16" s="0" t="n">
        <f aca="false">$AN$16-E124</f>
        <v>-86</v>
      </c>
      <c r="AR16" s="66" t="n">
        <f aca="false">AVERAGE(AO16:AQ16)</f>
        <v>-57</v>
      </c>
      <c r="AS16" s="66" t="n">
        <f aca="false">AR16-AG$124</f>
        <v>-108</v>
      </c>
      <c r="AT16" s="66" t="n">
        <f aca="false">AR16+AG$124</f>
        <v>-6</v>
      </c>
      <c r="AU16" s="0" t="n">
        <f aca="false">$AN$16-C125</f>
        <v>70</v>
      </c>
      <c r="AV16" s="0" t="n">
        <f aca="false">$AN$16-D125</f>
        <v>3</v>
      </c>
      <c r="AW16" s="0" t="n">
        <f aca="false">$AN$16-E125</f>
        <v>41</v>
      </c>
      <c r="AX16" s="66" t="n">
        <f aca="false">AVERAGE(AU16:AW16)</f>
        <v>38</v>
      </c>
      <c r="AY16" s="66" t="n">
        <f aca="false">AX16-AG$125</f>
        <v>-30</v>
      </c>
      <c r="AZ16" s="66" t="n">
        <f aca="false">AX16+AG$125</f>
        <v>106</v>
      </c>
    </row>
    <row r="17" customFormat="false" ht="12.8" hidden="false" customHeight="false" outlineLevel="0" collapsed="false">
      <c r="A17" s="56" t="s">
        <v>32</v>
      </c>
      <c r="B17" s="57" t="n">
        <v>30</v>
      </c>
      <c r="C17" s="56" t="n">
        <v>647</v>
      </c>
      <c r="D17" s="25" t="n">
        <v>555</v>
      </c>
      <c r="E17" s="77" t="n">
        <v>629</v>
      </c>
      <c r="F17" s="0" t="n">
        <v>840</v>
      </c>
      <c r="G17" s="0" t="n">
        <f aca="false">IF(F17="", "", IF(C17="","", F17-C17))</f>
        <v>193</v>
      </c>
      <c r="H17" s="0" t="n">
        <f aca="false">IF(F17="", "", IF(D17="","", F17-D17))</f>
        <v>285</v>
      </c>
      <c r="I17" s="0" t="n">
        <f aca="false">IF(F17="", "", IF(E17="","", F17-E17))</f>
        <v>211</v>
      </c>
      <c r="J17" s="66" t="n">
        <f aca="false">IF(SUM(C17:E17)&gt;0,AVERAGE(G17:I17),"")</f>
        <v>229.666666666667</v>
      </c>
      <c r="K17" s="66" t="n">
        <f aca="false">IF(NOT(G17=""),(G17-$J17)^2,"")</f>
        <v>1344.44444444444</v>
      </c>
      <c r="L17" s="66" t="n">
        <f aca="false">IF(NOT(H17=""),(H17-$J17)^2,"")</f>
        <v>3061.77777777778</v>
      </c>
      <c r="M17" s="66" t="n">
        <f aca="false">IF(NOT(I17=""),(I17-$J17)^2,"")</f>
        <v>348.444444444444</v>
      </c>
      <c r="N17" s="66" t="n">
        <f aca="false">IF(COUNT(K17:M17)&gt;0,SUM(K17:M17)/COUNT(K17:M17),"")</f>
        <v>1584.88888888889</v>
      </c>
      <c r="O17" s="66" t="n">
        <f aca="false">IF(NOT(N17=""),SQRT(N17),"")</f>
        <v>39.8106630048896</v>
      </c>
      <c r="P17" s="66" t="n">
        <f aca="false">IF(COUNT(K17:M17)&gt;0,VLOOKUP(COUNT(K17:M17),'t values'!$A$3:$C$5,3)*(O17/SQRT(COUNT(K17:M17))),"")</f>
        <v>98.9031512017167</v>
      </c>
      <c r="Q17" s="66" t="n">
        <f aca="false">IF(NOT(P17=""),J17-P17,"")</f>
        <v>130.76351546495</v>
      </c>
      <c r="R17" s="66" t="n">
        <f aca="false">IF(NOT(P17=""),J17+P17,"")</f>
        <v>328.569817868383</v>
      </c>
      <c r="S17" s="0" t="n">
        <v>1235</v>
      </c>
      <c r="T17" s="0" t="n">
        <f aca="false">IF(S17="", "", IF(C17="","", S17-C17))</f>
        <v>588</v>
      </c>
      <c r="U17" s="0" t="n">
        <f aca="false">IF($S17="", "", IF(D17="","", $S17-D17))</f>
        <v>680</v>
      </c>
      <c r="V17" s="0" t="n">
        <f aca="false">IF($S17="", "", IF(E17="","", $S17-E17))</f>
        <v>606</v>
      </c>
      <c r="W17" s="66" t="n">
        <f aca="false">IF(SUM($C17:$E17)&gt;0,IF(NOT(S17=""),AVERAGE(T17:V17),""),"")</f>
        <v>624.666666666667</v>
      </c>
      <c r="X17" s="66" t="n">
        <f aca="false">IF(NOT(T17=""),(T17-$W17)^2,"")</f>
        <v>1344.44444444444</v>
      </c>
      <c r="Y17" s="66" t="n">
        <f aca="false">IF(NOT(U17=""),(U17-$W17)^2,"")</f>
        <v>3061.77777777778</v>
      </c>
      <c r="Z17" s="66" t="n">
        <f aca="false">IF(NOT(V17=""),(V17-$W17)^2,"")</f>
        <v>348.444444444443</v>
      </c>
      <c r="AA17" s="0" t="n">
        <f aca="false">IF(COUNT(X17:Z17)&gt;0,SUM(X17:Z17)/COUNT(X17:Z17),"")</f>
        <v>1584.88888888889</v>
      </c>
      <c r="AB17" s="0" t="n">
        <f aca="false">IF(NOT(AA17=""),SQRT(AA17),"")</f>
        <v>39.8106630048896</v>
      </c>
      <c r="AD17" s="66" t="n">
        <f aca="false">IF(NOT(W17=""),W17-AG17,"")</f>
        <v>525.666666666667</v>
      </c>
      <c r="AE17" s="66" t="n">
        <f aca="false">IF(NOT(W17=""),W17+AG17,"")</f>
        <v>723.666666666667</v>
      </c>
      <c r="AF17" s="63" t="n">
        <v>39.8106630048896</v>
      </c>
      <c r="AG17" s="63" t="n">
        <v>99</v>
      </c>
      <c r="AH17" s="63"/>
      <c r="AK17" s="0" t="s">
        <v>47</v>
      </c>
      <c r="AL17" s="0" t="n">
        <v>15</v>
      </c>
      <c r="AM17" s="0" t="n">
        <v>114368</v>
      </c>
      <c r="AN17" s="0" t="n">
        <f aca="false">IF(NOT(ISBLANK(AM17)), ROUND(AM17/60,0), "")</f>
        <v>1906</v>
      </c>
      <c r="AO17" s="0" t="n">
        <f aca="false">$AN$17-C135</f>
        <v>140</v>
      </c>
      <c r="AP17" s="0" t="n">
        <f aca="false">$AN$17-D135</f>
        <v>317</v>
      </c>
      <c r="AQ17" s="0" t="n">
        <f aca="false">$AN$17-E135</f>
        <v>66</v>
      </c>
      <c r="AR17" s="66" t="n">
        <f aca="false">AVERAGE(AO17:AQ17)</f>
        <v>174.333333333333</v>
      </c>
      <c r="AS17" s="66" t="n">
        <f aca="false">AR17-AG$135</f>
        <v>-87.6666666666667</v>
      </c>
      <c r="AT17" s="66" t="n">
        <f aca="false">AR17+AG$135</f>
        <v>436.333333333333</v>
      </c>
      <c r="AX17" s="66"/>
      <c r="AY17" s="66"/>
      <c r="AZ17" s="66"/>
    </row>
    <row r="18" customFormat="false" ht="12.8" hidden="false" customHeight="false" outlineLevel="0" collapsed="false">
      <c r="A18" s="56" t="s">
        <v>32</v>
      </c>
      <c r="B18" s="57" t="n">
        <v>40</v>
      </c>
      <c r="C18" s="56" t="n">
        <v>419</v>
      </c>
      <c r="D18" s="25" t="n">
        <v>558</v>
      </c>
      <c r="E18" s="77" t="n">
        <v>483</v>
      </c>
      <c r="F18" s="0" t="n">
        <v>882</v>
      </c>
      <c r="G18" s="0" t="n">
        <f aca="false">IF(F18="", "", IF(C18="","", F18-C18))</f>
        <v>463</v>
      </c>
      <c r="H18" s="0" t="n">
        <f aca="false">IF(F18="", "", IF(D18="","", F18-D18))</f>
        <v>324</v>
      </c>
      <c r="I18" s="0" t="n">
        <f aca="false">IF(F18="", "", IF(E18="","", F18-E18))</f>
        <v>399</v>
      </c>
      <c r="J18" s="66" t="n">
        <f aca="false">IF(SUM(C18:E18)&gt;0,AVERAGE(G18:I18),"")</f>
        <v>395.333333333333</v>
      </c>
      <c r="K18" s="66" t="n">
        <f aca="false">IF(NOT(G18=""),(G18-$J18)^2,"")</f>
        <v>4578.77777777778</v>
      </c>
      <c r="L18" s="66" t="n">
        <f aca="false">IF(NOT(H18=""),(H18-$J18)^2,"")</f>
        <v>5088.44444444444</v>
      </c>
      <c r="M18" s="66" t="n">
        <f aca="false">IF(NOT(I18=""),(I18-$J18)^2,"")</f>
        <v>13.4444444444446</v>
      </c>
      <c r="N18" s="66" t="n">
        <f aca="false">IF(COUNT(K18:M18)&gt;0,SUM(K18:M18)/COUNT(K18:M18),"")</f>
        <v>3226.88888888889</v>
      </c>
      <c r="O18" s="66" t="n">
        <f aca="false">IF(NOT(N18=""),SQRT(N18),"")</f>
        <v>56.8057117628931</v>
      </c>
      <c r="P18" s="66" t="n">
        <f aca="false">IF(COUNT(K18:M18)&gt;0,VLOOKUP(COUNT(K18:M18),'t values'!$A$3:$C$5,3)*(O18/SQRT(COUNT(K18:M18))),"")</f>
        <v>141.124600183536</v>
      </c>
      <c r="Q18" s="66" t="n">
        <f aca="false">IF(NOT(P18=""),J18-P18,"")</f>
        <v>254.208733149797</v>
      </c>
      <c r="R18" s="66" t="n">
        <f aca="false">IF(NOT(P18=""),J18+P18,"")</f>
        <v>536.45793351687</v>
      </c>
      <c r="T18" s="0" t="str">
        <f aca="false">IF(S18="", "", IF(C18="","", S18-C18))</f>
        <v/>
      </c>
      <c r="U18" s="0" t="str">
        <f aca="false">IF($S18="", "", IF(D18="","", $S18-D18))</f>
        <v/>
      </c>
      <c r="V18" s="0" t="str">
        <f aca="false">IF($S18="", "", IF(E18="","", $S18-E18))</f>
        <v/>
      </c>
      <c r="W18" s="66" t="str">
        <f aca="false">IF(SUM($C18:$E18)&gt;0,IF(NOT(S18=""),AVERAGE(T18:V18),""),"")</f>
        <v/>
      </c>
      <c r="X18" s="66" t="str">
        <f aca="false">IF(NOT(T18=""),(T18-$W18)^2,"")</f>
        <v/>
      </c>
      <c r="Y18" s="66" t="str">
        <f aca="false">IF(NOT(U18=""),(U18-$W18)^2,"")</f>
        <v/>
      </c>
      <c r="Z18" s="66" t="str">
        <f aca="false">IF(NOT(V18=""),(V18-$W18)^2,"")</f>
        <v/>
      </c>
      <c r="AA18" s="0" t="str">
        <f aca="false">IF(COUNT(X18:Z18)&gt;0,SUM(X18:Z18)/COUNT(X18:Z18),"")</f>
        <v/>
      </c>
      <c r="AB18" s="0" t="str">
        <f aca="false">IF(NOT(AA18=""),SQRT(AA18),"")</f>
        <v/>
      </c>
      <c r="AD18" s="66" t="str">
        <f aca="false">IF(NOT(W18=""),W18-AG18,"")</f>
        <v/>
      </c>
      <c r="AE18" s="66" t="str">
        <f aca="false">IF(NOT(W18=""),W18+AG18,"")</f>
        <v/>
      </c>
      <c r="AF18" s="63" t="n">
        <v>56.8057117628931</v>
      </c>
      <c r="AG18" s="63" t="n">
        <v>141</v>
      </c>
      <c r="AH18" s="63"/>
      <c r="AK18" s="0" t="s">
        <v>48</v>
      </c>
      <c r="AL18" s="0" t="n">
        <v>25</v>
      </c>
      <c r="AM18" s="0" t="n">
        <v>61028</v>
      </c>
      <c r="AN18" s="0" t="n">
        <f aca="false">IF(NOT(ISBLANK(AM18)), ROUND(AM18/60,0), "")</f>
        <v>1017</v>
      </c>
      <c r="AO18" s="0" t="n">
        <f aca="false">$AN$18-C156</f>
        <v>178</v>
      </c>
      <c r="AP18" s="0" t="n">
        <f aca="false">$AN$18-D156</f>
        <v>218</v>
      </c>
      <c r="AQ18" s="0" t="n">
        <f aca="false">$AN$18-E156</f>
        <v>338</v>
      </c>
      <c r="AR18" s="66" t="n">
        <f aca="false">AVERAGE(AO18:AQ18)</f>
        <v>244.666666666667</v>
      </c>
      <c r="AS18" s="66" t="n">
        <f aca="false">AR18-AG$156</f>
        <v>75.6666666666667</v>
      </c>
      <c r="AT18" s="66" t="n">
        <f aca="false">AR18+AG$156</f>
        <v>413.666666666667</v>
      </c>
      <c r="AU18" s="0" t="n">
        <f aca="false">$AN$18-C157</f>
        <v>492</v>
      </c>
      <c r="AV18" s="0" t="n">
        <f aca="false">$AN$18-D157</f>
        <v>223</v>
      </c>
      <c r="AW18" s="0" t="n">
        <f aca="false">$AN$18-E157</f>
        <v>489</v>
      </c>
      <c r="AX18" s="66" t="n">
        <f aca="false">AVERAGE(AU18:AW18)</f>
        <v>401.333333333333</v>
      </c>
      <c r="AY18" s="66" t="n">
        <f aca="false">AX18-AG$157</f>
        <v>88.3333333333333</v>
      </c>
      <c r="AZ18" s="66" t="n">
        <f aca="false">AX18+AG$157</f>
        <v>714.333333333333</v>
      </c>
    </row>
    <row r="19" customFormat="false" ht="12.8" hidden="false" customHeight="false" outlineLevel="0" collapsed="false">
      <c r="A19" s="56" t="s">
        <v>32</v>
      </c>
      <c r="B19" s="57" t="n">
        <v>50</v>
      </c>
      <c r="C19" s="56" t="n">
        <v>383</v>
      </c>
      <c r="D19" s="25" t="n">
        <v>482</v>
      </c>
      <c r="E19" s="77" t="n">
        <v>406</v>
      </c>
      <c r="F19" s="0" t="n">
        <v>590</v>
      </c>
      <c r="G19" s="0" t="n">
        <f aca="false">IF(F19="", "", IF(C19="","", F19-C19))</f>
        <v>207</v>
      </c>
      <c r="H19" s="0" t="n">
        <f aca="false">IF(F19="", "", IF(D19="","", F19-D19))</f>
        <v>108</v>
      </c>
      <c r="I19" s="0" t="n">
        <f aca="false">IF(F19="", "", IF(E19="","", F19-E19))</f>
        <v>184</v>
      </c>
      <c r="J19" s="66" t="n">
        <f aca="false">IF(SUM(C19:E19)&gt;0,AVERAGE(G19:I19),"")</f>
        <v>166.333333333333</v>
      </c>
      <c r="K19" s="66" t="n">
        <f aca="false">IF(NOT(G19=""),(G19-$J19)^2,"")</f>
        <v>1653.77777777778</v>
      </c>
      <c r="L19" s="66" t="n">
        <f aca="false">IF(NOT(H19=""),(H19-$J19)^2,"")</f>
        <v>3402.77777777778</v>
      </c>
      <c r="M19" s="66" t="n">
        <f aca="false">IF(NOT(I19=""),(I19-$J19)^2,"")</f>
        <v>312.111111111111</v>
      </c>
      <c r="N19" s="66" t="n">
        <f aca="false">IF(COUNT(K19:M19)&gt;0,SUM(K19:M19)/COUNT(K19:M19),"")</f>
        <v>1789.55555555556</v>
      </c>
      <c r="O19" s="66" t="n">
        <f aca="false">IF(NOT(N19=""),SQRT(N19),"")</f>
        <v>42.3031388380999</v>
      </c>
      <c r="P19" s="66" t="n">
        <f aca="false">IF(COUNT(K19:M19)&gt;0,VLOOKUP(COUNT(K19:M19),'t values'!$A$3:$C$5,3)*(O19/SQRT(COUNT(K19:M19))),"")</f>
        <v>105.095304147483</v>
      </c>
      <c r="Q19" s="66" t="n">
        <f aca="false">IF(NOT(P19=""),J19-P19,"")</f>
        <v>61.2380291858509</v>
      </c>
      <c r="R19" s="66" t="n">
        <f aca="false">IF(NOT(P19=""),J19+P19,"")</f>
        <v>271.428637480816</v>
      </c>
      <c r="S19" s="0" t="n">
        <v>1120</v>
      </c>
      <c r="T19" s="0" t="n">
        <f aca="false">IF(S19="", "", IF(C19="","", S19-C19))</f>
        <v>737</v>
      </c>
      <c r="U19" s="0" t="n">
        <f aca="false">IF($S19="", "", IF(D19="","", $S19-D19))</f>
        <v>638</v>
      </c>
      <c r="V19" s="0" t="n">
        <f aca="false">IF($S19="", "", IF(E19="","", $S19-E19))</f>
        <v>714</v>
      </c>
      <c r="W19" s="66" t="n">
        <f aca="false">IF(SUM($C19:$E19)&gt;0,IF(NOT(S19=""),AVERAGE(T19:V19),""),"")</f>
        <v>696.333333333333</v>
      </c>
      <c r="X19" s="66" t="n">
        <f aca="false">IF(NOT(T19=""),(T19-$W19)^2,"")</f>
        <v>1653.77777777777</v>
      </c>
      <c r="Y19" s="66" t="n">
        <f aca="false">IF(NOT(U19=""),(U19-$W19)^2,"")</f>
        <v>3402.77777777778</v>
      </c>
      <c r="Z19" s="66" t="n">
        <f aca="false">IF(NOT(V19=""),(V19-$W19)^2,"")</f>
        <v>312.11111111111</v>
      </c>
      <c r="AA19" s="0" t="n">
        <f aca="false">IF(COUNT(X19:Z19)&gt;0,SUM(X19:Z19)/COUNT(X19:Z19),"")</f>
        <v>1789.55555555555</v>
      </c>
      <c r="AB19" s="0" t="n">
        <f aca="false">IF(NOT(AA19=""),SQRT(AA19),"")</f>
        <v>42.3031388380999</v>
      </c>
      <c r="AD19" s="66" t="n">
        <f aca="false">IF(NOT(W19=""),W19-AG19,"")</f>
        <v>591.333333333333</v>
      </c>
      <c r="AE19" s="66" t="n">
        <f aca="false">IF(NOT(W19=""),W19+AG19,"")</f>
        <v>801.333333333333</v>
      </c>
      <c r="AF19" s="63" t="n">
        <v>42.3031388380999</v>
      </c>
      <c r="AG19" s="63" t="n">
        <v>105</v>
      </c>
      <c r="AH19" s="63"/>
      <c r="AK19" s="0" t="s">
        <v>49</v>
      </c>
      <c r="AL19" s="0" t="n">
        <v>24</v>
      </c>
      <c r="AM19" s="0" t="n">
        <v>68406</v>
      </c>
      <c r="AN19" s="0" t="n">
        <f aca="false">IF(NOT(ISBLANK(AM19)), ROUND(AM19/60,0), "")</f>
        <v>1140</v>
      </c>
      <c r="AO19" s="0" t="n">
        <f aca="false">$AN$19-C166</f>
        <v>691</v>
      </c>
      <c r="AQ19" s="0" t="n">
        <f aca="false">$AN$19-E166</f>
        <v>610</v>
      </c>
      <c r="AR19" s="66" t="n">
        <f aca="false">AVERAGE(AO19:AQ19)</f>
        <v>650.5</v>
      </c>
      <c r="AS19" s="66" t="n">
        <f aca="false">AR19-AG$166</f>
        <v>286.5</v>
      </c>
      <c r="AT19" s="66" t="n">
        <f aca="false">AR19+AG$166</f>
        <v>1014.5</v>
      </c>
      <c r="AU19" s="0" t="n">
        <f aca="false">$AN$19-C167</f>
        <v>784</v>
      </c>
      <c r="AW19" s="0" t="n">
        <f aca="false">$AN$19-E167</f>
        <v>696</v>
      </c>
      <c r="AX19" s="66" t="n">
        <f aca="false">AVERAGE(AU19:AW19)</f>
        <v>740</v>
      </c>
      <c r="AY19" s="66" t="n">
        <f aca="false">AX19-AG$167</f>
        <v>345</v>
      </c>
      <c r="AZ19" s="66" t="n">
        <f aca="false">AX19+AG$167</f>
        <v>1135</v>
      </c>
    </row>
    <row r="20" customFormat="false" ht="12.8" hidden="false" customHeight="false" outlineLevel="0" collapsed="false">
      <c r="A20" s="56" t="s">
        <v>32</v>
      </c>
      <c r="B20" s="57" t="n">
        <v>64</v>
      </c>
      <c r="C20" s="56" t="n">
        <v>342</v>
      </c>
      <c r="D20" s="25" t="n">
        <v>323</v>
      </c>
      <c r="E20" s="77" t="n">
        <v>458</v>
      </c>
      <c r="F20" s="0" t="n">
        <v>573</v>
      </c>
      <c r="G20" s="0" t="n">
        <f aca="false">IF(F20="", "", IF(C20="","", F20-C20))</f>
        <v>231</v>
      </c>
      <c r="H20" s="0" t="n">
        <f aca="false">IF(F20="", "", IF(D20="","", F20-D20))</f>
        <v>250</v>
      </c>
      <c r="I20" s="0" t="n">
        <f aca="false">IF(F20="", "", IF(E20="","", F20-E20))</f>
        <v>115</v>
      </c>
      <c r="J20" s="66" t="n">
        <f aca="false">IF(SUM(C20:E20)&gt;0,AVERAGE(G20:I20),"")</f>
        <v>198.666666666667</v>
      </c>
      <c r="K20" s="66" t="n">
        <f aca="false">IF(NOT(G20=""),(G20-$J20)^2,"")</f>
        <v>1045.44444444445</v>
      </c>
      <c r="L20" s="66" t="n">
        <f aca="false">IF(NOT(H20=""),(H20-$J20)^2,"")</f>
        <v>2635.11111111111</v>
      </c>
      <c r="M20" s="66" t="n">
        <f aca="false">IF(NOT(I20=""),(I20-$J20)^2,"")</f>
        <v>7000.11111111111</v>
      </c>
      <c r="N20" s="66" t="n">
        <f aca="false">IF(COUNT(K20:M20)&gt;0,SUM(K20:M20)/COUNT(K20:M20),"")</f>
        <v>3560.22222222222</v>
      </c>
      <c r="O20" s="66" t="n">
        <f aca="false">IF(NOT(N20=""),SQRT(N20),"")</f>
        <v>59.6675977580983</v>
      </c>
      <c r="P20" s="66" t="n">
        <f aca="false">IF(COUNT(K20:M20)&gt;0,VLOOKUP(COUNT(K20:M20),'t values'!$A$3:$C$5,3)*(O20/SQRT(COUNT(K20:M20))),"")</f>
        <v>148.234492909289</v>
      </c>
      <c r="Q20" s="66" t="n">
        <f aca="false">IF(NOT(P20=""),J20-P20,"")</f>
        <v>50.4321737573775</v>
      </c>
      <c r="R20" s="66" t="n">
        <f aca="false">IF(NOT(P20=""),J20+P20,"")</f>
        <v>346.901159575956</v>
      </c>
      <c r="S20" s="0" t="n">
        <v>945</v>
      </c>
      <c r="T20" s="0" t="n">
        <f aca="false">IF(S20="", "", IF(C20="","", S20-C20))</f>
        <v>603</v>
      </c>
      <c r="U20" s="0" t="n">
        <f aca="false">IF($S20="", "", IF(D20="","", $S20-D20))</f>
        <v>622</v>
      </c>
      <c r="V20" s="0" t="n">
        <f aca="false">IF($S20="", "", IF(E20="","", $S20-E20))</f>
        <v>487</v>
      </c>
      <c r="W20" s="66" t="n">
        <f aca="false">IF(SUM($C20:$E20)&gt;0,IF(NOT(S20=""),AVERAGE(T20:V20),""),"")</f>
        <v>570.666666666667</v>
      </c>
      <c r="X20" s="66" t="n">
        <f aca="false">IF(NOT(T20=""),(T20-$W20)^2,"")</f>
        <v>1045.44444444445</v>
      </c>
      <c r="Y20" s="66" t="n">
        <f aca="false">IF(NOT(U20=""),(U20-$W20)^2,"")</f>
        <v>2635.11111111112</v>
      </c>
      <c r="Z20" s="66" t="n">
        <f aca="false">IF(NOT(V20=""),(V20-$W20)^2,"")</f>
        <v>7000.11111111111</v>
      </c>
      <c r="AA20" s="0" t="n">
        <f aca="false">IF(COUNT(X20:Z20)&gt;0,SUM(X20:Z20)/COUNT(X20:Z20),"")</f>
        <v>3560.22222222223</v>
      </c>
      <c r="AB20" s="0" t="n">
        <f aca="false">IF(NOT(AA20=""),SQRT(AA20),"")</f>
        <v>59.6675977580984</v>
      </c>
      <c r="AD20" s="66" t="n">
        <f aca="false">IF(NOT(W20=""),W20-AG20,"")</f>
        <v>422.666666666667</v>
      </c>
      <c r="AE20" s="66" t="n">
        <f aca="false">IF(NOT(W20=""),W20+AG20,"")</f>
        <v>718.666666666667</v>
      </c>
      <c r="AF20" s="63" t="n">
        <v>59.6675977580983</v>
      </c>
      <c r="AG20" s="63" t="n">
        <v>148</v>
      </c>
      <c r="AH20" s="63"/>
      <c r="AK20" s="0" t="s">
        <v>50</v>
      </c>
      <c r="AL20" s="0" t="n">
        <v>34</v>
      </c>
      <c r="AM20" s="0" t="n">
        <v>5120752</v>
      </c>
      <c r="AN20" s="0" t="n">
        <f aca="false">IF(NOT(ISBLANK(AM20)), ROUND(AM20/60,0), "")</f>
        <v>85346</v>
      </c>
      <c r="AO20" s="0" t="n">
        <f aca="false">$AN$20-C177</f>
        <v>84680</v>
      </c>
      <c r="AP20" s="0" t="n">
        <f aca="false">$AN$20-D177</f>
        <v>84612</v>
      </c>
      <c r="AQ20" s="0" t="n">
        <f aca="false">$AN$20-E177</f>
        <v>84596</v>
      </c>
      <c r="AR20" s="66" t="n">
        <f aca="false">AVERAGE(AO20:AQ20)</f>
        <v>84629.3333333333</v>
      </c>
      <c r="AS20" s="66" t="n">
        <f aca="false">AR20-AG$177</f>
        <v>84539.3333333333</v>
      </c>
      <c r="AT20" s="66" t="n">
        <f aca="false">AR20+AG$177</f>
        <v>84719.3333333333</v>
      </c>
      <c r="AU20" s="0" t="n">
        <f aca="false">$AN$20-C178</f>
        <v>84804</v>
      </c>
      <c r="AV20" s="0" t="n">
        <f aca="false">$AN$20-D178</f>
        <v>84673</v>
      </c>
      <c r="AW20" s="0" t="n">
        <f aca="false">$AN$20-E178</f>
        <v>84714</v>
      </c>
      <c r="AX20" s="66" t="n">
        <f aca="false">AVERAGE(AU20:AW20)</f>
        <v>84730.3333333333</v>
      </c>
      <c r="AY20" s="66" t="n">
        <f aca="false">AX20-AG$178</f>
        <v>84594.3333333333</v>
      </c>
      <c r="AZ20" s="66" t="n">
        <f aca="false">AX20+AG$178</f>
        <v>84866.3333333333</v>
      </c>
    </row>
    <row r="21" customFormat="false" ht="12.8" hidden="false" customHeight="false" outlineLevel="0" collapsed="false">
      <c r="A21" s="56" t="s">
        <v>32</v>
      </c>
      <c r="B21" s="57" t="n">
        <v>82</v>
      </c>
      <c r="C21" s="56" t="n">
        <v>326</v>
      </c>
      <c r="D21" s="25" t="n">
        <v>298</v>
      </c>
      <c r="E21" s="77" t="n">
        <v>360</v>
      </c>
      <c r="F21" s="0" t="n">
        <v>589</v>
      </c>
      <c r="G21" s="0" t="n">
        <f aca="false">IF(F21="", "", IF(C21="","", F21-C21))</f>
        <v>263</v>
      </c>
      <c r="H21" s="0" t="n">
        <f aca="false">IF(F21="", "", IF(D21="","", F21-D21))</f>
        <v>291</v>
      </c>
      <c r="I21" s="0" t="n">
        <f aca="false">IF(F21="", "", IF(E21="","", F21-E21))</f>
        <v>229</v>
      </c>
      <c r="J21" s="66" t="n">
        <f aca="false">IF(SUM(C21:E21)&gt;0,AVERAGE(G21:I21),"")</f>
        <v>261</v>
      </c>
      <c r="K21" s="66" t="n">
        <f aca="false">IF(NOT(G21=""),(G21-$J21)^2,"")</f>
        <v>4</v>
      </c>
      <c r="L21" s="66" t="n">
        <f aca="false">IF(NOT(H21=""),(H21-$J21)^2,"")</f>
        <v>900</v>
      </c>
      <c r="M21" s="66" t="n">
        <f aca="false">IF(NOT(I21=""),(I21-$J21)^2,"")</f>
        <v>1024</v>
      </c>
      <c r="N21" s="66" t="n">
        <f aca="false">IF(COUNT(K21:M21)&gt;0,SUM(K21:M21)/COUNT(K21:M21),"")</f>
        <v>642.666666666667</v>
      </c>
      <c r="O21" s="66" t="n">
        <f aca="false">IF(NOT(N21=""),SQRT(N21),"")</f>
        <v>25.3508711224421</v>
      </c>
      <c r="P21" s="66" t="n">
        <f aca="false">IF(COUNT(K21:M21)&gt;0,VLOOKUP(COUNT(K21:M21),'t values'!$A$3:$C$5,3)*(O21/SQRT(COUNT(K21:M21))),"")</f>
        <v>62.980137743754</v>
      </c>
      <c r="Q21" s="66" t="n">
        <f aca="false">IF(NOT(P21=""),J21-P21,"")</f>
        <v>198.019862256246</v>
      </c>
      <c r="R21" s="66" t="n">
        <f aca="false">IF(NOT(P21=""),J21+P21,"")</f>
        <v>323.980137743754</v>
      </c>
      <c r="S21" s="0" t="n">
        <v>1021</v>
      </c>
      <c r="T21" s="0" t="n">
        <f aca="false">IF(S21="", "", IF(C21="","", S21-C21))</f>
        <v>695</v>
      </c>
      <c r="U21" s="0" t="n">
        <f aca="false">IF($S21="", "", IF(D21="","", $S21-D21))</f>
        <v>723</v>
      </c>
      <c r="V21" s="0" t="n">
        <f aca="false">IF($S21="", "", IF(E21="","", $S21-E21))</f>
        <v>661</v>
      </c>
      <c r="W21" s="66" t="n">
        <f aca="false">IF(SUM($C21:$E21)&gt;0,IF(NOT(S21=""),AVERAGE(T21:V21),""),"")</f>
        <v>693</v>
      </c>
      <c r="X21" s="66" t="n">
        <f aca="false">IF(NOT(T21=""),(T21-$W21)^2,"")</f>
        <v>4</v>
      </c>
      <c r="Y21" s="66" t="n">
        <f aca="false">IF(NOT(U21=""),(U21-$W21)^2,"")</f>
        <v>900</v>
      </c>
      <c r="Z21" s="66" t="n">
        <f aca="false">IF(NOT(V21=""),(V21-$W21)^2,"")</f>
        <v>1024</v>
      </c>
      <c r="AA21" s="0" t="n">
        <f aca="false">IF(COUNT(X21:Z21)&gt;0,SUM(X21:Z21)/COUNT(X21:Z21),"")</f>
        <v>642.666666666667</v>
      </c>
      <c r="AB21" s="0" t="n">
        <f aca="false">IF(NOT(AA21=""),SQRT(AA21),"")</f>
        <v>25.3508711224421</v>
      </c>
      <c r="AD21" s="66" t="n">
        <f aca="false">IF(NOT(W21=""),W21-AG21,"")</f>
        <v>630</v>
      </c>
      <c r="AE21" s="66" t="n">
        <f aca="false">IF(NOT(W21=""),W21+AG21,"")</f>
        <v>756</v>
      </c>
      <c r="AF21" s="63" t="n">
        <v>25.3508711224421</v>
      </c>
      <c r="AG21" s="63" t="n">
        <v>63</v>
      </c>
      <c r="AH21" s="63"/>
    </row>
    <row r="22" customFormat="false" ht="12.8" hidden="false" customHeight="false" outlineLevel="0" collapsed="false">
      <c r="A22" s="56" t="s">
        <v>32</v>
      </c>
      <c r="B22" s="57" t="n">
        <v>100</v>
      </c>
      <c r="C22" s="56" t="n">
        <v>236</v>
      </c>
      <c r="D22" s="25" t="n">
        <v>267</v>
      </c>
      <c r="E22" s="77" t="n">
        <v>296</v>
      </c>
      <c r="F22" s="0" t="n">
        <v>405</v>
      </c>
      <c r="G22" s="0" t="n">
        <f aca="false">IF(F22="", "", IF(C22="","", F22-C22))</f>
        <v>169</v>
      </c>
      <c r="H22" s="0" t="n">
        <f aca="false">IF(F22="", "", IF(D22="","", F22-D22))</f>
        <v>138</v>
      </c>
      <c r="I22" s="0" t="n">
        <f aca="false">IF(F22="", "", IF(E22="","", F22-E22))</f>
        <v>109</v>
      </c>
      <c r="J22" s="66" t="n">
        <f aca="false">IF(SUM(C22:E22)&gt;0,AVERAGE(G22:I22),"")</f>
        <v>138.666666666667</v>
      </c>
      <c r="K22" s="66" t="n">
        <f aca="false">IF(NOT(G22=""),(G22-$J22)^2,"")</f>
        <v>920.111111111112</v>
      </c>
      <c r="L22" s="66" t="n">
        <f aca="false">IF(NOT(H22=""),(H22-$J22)^2,"")</f>
        <v>0.444444444444432</v>
      </c>
      <c r="M22" s="66" t="n">
        <f aca="false">IF(NOT(I22=""),(I22-$J22)^2,"")</f>
        <v>880.111111111111</v>
      </c>
      <c r="N22" s="66" t="n">
        <f aca="false">IF(COUNT(K22:M22)&gt;0,SUM(K22:M22)/COUNT(K22:M22),"")</f>
        <v>600.222222222222</v>
      </c>
      <c r="O22" s="66" t="n">
        <f aca="false">IF(NOT(N22=""),SQRT(N22),"")</f>
        <v>24.4994331000173</v>
      </c>
      <c r="P22" s="66" t="n">
        <f aca="false">IF(COUNT(K22:M22)&gt;0,VLOOKUP(COUNT(K22:M22),'t values'!$A$3:$C$5,3)*(O22/SQRT(COUNT(K22:M22))),"")</f>
        <v>60.8648777326251</v>
      </c>
      <c r="Q22" s="66" t="n">
        <f aca="false">IF(NOT(P22=""),J22-P22,"")</f>
        <v>77.8017889340415</v>
      </c>
      <c r="R22" s="66" t="n">
        <f aca="false">IF(NOT(P22=""),J22+P22,"")</f>
        <v>199.531544399292</v>
      </c>
      <c r="T22" s="0" t="str">
        <f aca="false">IF(S22="", "", IF(C22="","", S22-C22))</f>
        <v/>
      </c>
      <c r="U22" s="0" t="str">
        <f aca="false">IF($S22="", "", IF(D22="","", $S22-D22))</f>
        <v/>
      </c>
      <c r="V22" s="0" t="str">
        <f aca="false">IF($S22="", "", IF(E22="","", $S22-E22))</f>
        <v/>
      </c>
      <c r="W22" s="66" t="str">
        <f aca="false">IF(SUM($C22:$E22)&gt;0,IF(NOT(S22=""),AVERAGE(T22:V22),""),"")</f>
        <v/>
      </c>
      <c r="X22" s="66" t="str">
        <f aca="false">IF(NOT(T22=""),(T22-$W22)^2,"")</f>
        <v/>
      </c>
      <c r="Y22" s="66" t="str">
        <f aca="false">IF(NOT(U22=""),(U22-$W22)^2,"")</f>
        <v/>
      </c>
      <c r="Z22" s="66" t="str">
        <f aca="false">IF(NOT(V22=""),(V22-$W22)^2,"")</f>
        <v/>
      </c>
      <c r="AA22" s="0" t="str">
        <f aca="false">IF(COUNT(X22:Z22)&gt;0,SUM(X22:Z22)/COUNT(X22:Z22),"")</f>
        <v/>
      </c>
      <c r="AB22" s="0" t="str">
        <f aca="false">IF(NOT(AA22=""),SQRT(AA22),"")</f>
        <v/>
      </c>
      <c r="AD22" s="66" t="str">
        <f aca="false">IF(NOT(W22=""),W22-AG22,"")</f>
        <v/>
      </c>
      <c r="AE22" s="66" t="str">
        <f aca="false">IF(NOT(W22=""),W22+AG22,"")</f>
        <v/>
      </c>
      <c r="AF22" s="63" t="n">
        <v>24.4994331000173</v>
      </c>
      <c r="AG22" s="63" t="n">
        <v>61</v>
      </c>
      <c r="AH22" s="63"/>
    </row>
    <row r="23" customFormat="false" ht="12.8" hidden="false" customHeight="false" outlineLevel="0" collapsed="false">
      <c r="A23" s="56" t="s">
        <v>33</v>
      </c>
      <c r="B23" s="57" t="n">
        <v>5</v>
      </c>
      <c r="C23" s="56"/>
      <c r="D23" s="25"/>
      <c r="E23" s="77"/>
      <c r="F23" s="0" t="n">
        <v>3544</v>
      </c>
      <c r="G23" s="0" t="str">
        <f aca="false">IF(F23="", "", IF(C23="","", F23-C23))</f>
        <v/>
      </c>
      <c r="H23" s="0" t="str">
        <f aca="false">IF(F23="", "", IF(D23="","", F23-D23))</f>
        <v/>
      </c>
      <c r="I23" s="0" t="str">
        <f aca="false">IF(F23="", "", IF(E23="","", F23-E23))</f>
        <v/>
      </c>
      <c r="J23" s="66" t="str">
        <f aca="false">IF(SUM(C23:E23)&gt;0,AVERAGE(G23:I23),"")</f>
        <v/>
      </c>
      <c r="K23" s="66" t="str">
        <f aca="false">IF(NOT(G23=""),(G23-$J23)^2,"")</f>
        <v/>
      </c>
      <c r="L23" s="66" t="str">
        <f aca="false">IF(NOT(H23=""),(H23-$J23)^2,"")</f>
        <v/>
      </c>
      <c r="M23" s="66" t="str">
        <f aca="false">IF(NOT(I23=""),(I23-$J23)^2,"")</f>
        <v/>
      </c>
      <c r="N23" s="66" t="str">
        <f aca="false">IF(COUNT(K23:M23)&gt;0,SUM(K23:M23)/COUNT(K23:M23),"")</f>
        <v/>
      </c>
      <c r="O23" s="66" t="str">
        <f aca="false">IF(NOT(N23=""),SQRT(N23),"")</f>
        <v/>
      </c>
      <c r="P23" s="66" t="str">
        <f aca="false">IF(COUNT(K23:M23)&gt;0,VLOOKUP(COUNT(K23:M23),'t values'!$A$3:$C$5,3)*(O23/SQRT(COUNT(K23:M23))),"")</f>
        <v/>
      </c>
      <c r="Q23" s="66" t="str">
        <f aca="false">IF(NOT(P23=""),J23-P23,"")</f>
        <v/>
      </c>
      <c r="R23" s="66" t="str">
        <f aca="false">IF(NOT(P23=""),J23+P23,"")</f>
        <v/>
      </c>
      <c r="S23" s="0" t="n">
        <v>4137</v>
      </c>
      <c r="T23" s="0" t="str">
        <f aca="false">IF(S23="", "", IF(C23="","", S23-C23))</f>
        <v/>
      </c>
      <c r="U23" s="0" t="str">
        <f aca="false">IF($S23="", "", IF(D23="","", $S23-D23))</f>
        <v/>
      </c>
      <c r="V23" s="0" t="str">
        <f aca="false">IF($S23="", "", IF(E23="","", $S23-E23))</f>
        <v/>
      </c>
      <c r="W23" s="66" t="str">
        <f aca="false">IF(SUM($C23:$E23)&gt;0,IF(NOT(S23=""),AVERAGE(T23:V23),""),"")</f>
        <v/>
      </c>
      <c r="X23" s="66" t="str">
        <f aca="false">IF(NOT(T23=""),(T23-$W23)^2,"")</f>
        <v/>
      </c>
      <c r="Y23" s="66" t="str">
        <f aca="false">IF(NOT(U23=""),(U23-$W23)^2,"")</f>
        <v/>
      </c>
      <c r="Z23" s="66" t="str">
        <f aca="false">IF(NOT(V23=""),(V23-$W23)^2,"")</f>
        <v/>
      </c>
      <c r="AA23" s="0" t="str">
        <f aca="false">IF(COUNT(X23:Z23)&gt;0,SUM(X23:Z23)/COUNT(X23:Z23),"")</f>
        <v/>
      </c>
      <c r="AB23" s="0" t="str">
        <f aca="false">IF(NOT(AA23=""),SQRT(AA23),"")</f>
        <v/>
      </c>
      <c r="AD23" s="66" t="str">
        <f aca="false">IF(NOT(W23=""),W23-AG23,"")</f>
        <v/>
      </c>
      <c r="AE23" s="66" t="str">
        <f aca="false">IF(NOT(W23=""),W23+AG23,"")</f>
        <v/>
      </c>
      <c r="AF23" s="63"/>
      <c r="AG23" s="63"/>
      <c r="AH23" s="63"/>
    </row>
    <row r="24" customFormat="false" ht="12.8" hidden="false" customHeight="false" outlineLevel="0" collapsed="false">
      <c r="A24" s="56" t="s">
        <v>33</v>
      </c>
      <c r="B24" s="57" t="n">
        <v>10</v>
      </c>
      <c r="C24" s="56"/>
      <c r="D24" s="25"/>
      <c r="E24" s="77"/>
      <c r="F24" s="0" t="n">
        <v>2990</v>
      </c>
      <c r="G24" s="0" t="str">
        <f aca="false">IF(F24="", "", IF(C24="","", F24-C24))</f>
        <v/>
      </c>
      <c r="H24" s="0" t="str">
        <f aca="false">IF(F24="", "", IF(D24="","", F24-D24))</f>
        <v/>
      </c>
      <c r="I24" s="0" t="str">
        <f aca="false">IF(F24="", "", IF(E24="","", F24-E24))</f>
        <v/>
      </c>
      <c r="J24" s="66" t="str">
        <f aca="false">IF(SUM(C24:E24)&gt;0,AVERAGE(G24:I24),"")</f>
        <v/>
      </c>
      <c r="K24" s="66" t="str">
        <f aca="false">IF(NOT(G24=""),(G24-$J24)^2,"")</f>
        <v/>
      </c>
      <c r="L24" s="66" t="str">
        <f aca="false">IF(NOT(H24=""),(H24-$J24)^2,"")</f>
        <v/>
      </c>
      <c r="M24" s="66" t="str">
        <f aca="false">IF(NOT(I24=""),(I24-$J24)^2,"")</f>
        <v/>
      </c>
      <c r="N24" s="66" t="str">
        <f aca="false">IF(COUNT(K24:M24)&gt;0,SUM(K24:M24)/COUNT(K24:M24),"")</f>
        <v/>
      </c>
      <c r="O24" s="66" t="str">
        <f aca="false">IF(NOT(N24=""),SQRT(N24),"")</f>
        <v/>
      </c>
      <c r="P24" s="66" t="str">
        <f aca="false">IF(COUNT(K24:M24)&gt;0,VLOOKUP(COUNT(K24:M24),'t values'!$A$3:$C$5,3)*(O24/SQRT(COUNT(K24:M24))),"")</f>
        <v/>
      </c>
      <c r="Q24" s="66" t="str">
        <f aca="false">IF(NOT(P24=""),J24-P24,"")</f>
        <v/>
      </c>
      <c r="R24" s="66" t="str">
        <f aca="false">IF(NOT(P24=""),J24+P24,"")</f>
        <v/>
      </c>
      <c r="S24" s="0" t="n">
        <v>3146</v>
      </c>
      <c r="T24" s="0" t="str">
        <f aca="false">IF(S24="", "", IF(C24="","", S24-C24))</f>
        <v/>
      </c>
      <c r="U24" s="0" t="str">
        <f aca="false">IF($S24="", "", IF(D24="","", $S24-D24))</f>
        <v/>
      </c>
      <c r="V24" s="0" t="str">
        <f aca="false">IF($S24="", "", IF(E24="","", $S24-E24))</f>
        <v/>
      </c>
      <c r="W24" s="66" t="str">
        <f aca="false">IF(SUM($C24:$E24)&gt;0,IF(NOT(S24=""),AVERAGE(T24:V24),""),"")</f>
        <v/>
      </c>
      <c r="X24" s="66" t="str">
        <f aca="false">IF(NOT(T24=""),(T24-$W24)^2,"")</f>
        <v/>
      </c>
      <c r="Y24" s="66" t="str">
        <f aca="false">IF(NOT(U24=""),(U24-$W24)^2,"")</f>
        <v/>
      </c>
      <c r="Z24" s="66" t="str">
        <f aca="false">IF(NOT(V24=""),(V24-$W24)^2,"")</f>
        <v/>
      </c>
      <c r="AA24" s="0" t="str">
        <f aca="false">IF(COUNT(X24:Z24)&gt;0,SUM(X24:Z24)/COUNT(X24:Z24),"")</f>
        <v/>
      </c>
      <c r="AB24" s="0" t="str">
        <f aca="false">IF(NOT(AA24=""),SQRT(AA24),"")</f>
        <v/>
      </c>
      <c r="AD24" s="66" t="str">
        <f aca="false">IF(NOT(W24=""),W24-AG24,"")</f>
        <v/>
      </c>
      <c r="AE24" s="66" t="str">
        <f aca="false">IF(NOT(W24=""),W24+AG24,"")</f>
        <v/>
      </c>
      <c r="AF24" s="63"/>
      <c r="AG24" s="63"/>
      <c r="AH24" s="63"/>
    </row>
    <row r="25" customFormat="false" ht="12.8" hidden="false" customHeight="false" outlineLevel="0" collapsed="false">
      <c r="A25" s="56" t="s">
        <v>33</v>
      </c>
      <c r="B25" s="57" t="n">
        <v>15</v>
      </c>
      <c r="C25" s="56" t="n">
        <v>1602</v>
      </c>
      <c r="D25" s="25" t="n">
        <v>1890</v>
      </c>
      <c r="E25" s="77"/>
      <c r="F25" s="0" t="n">
        <v>2126</v>
      </c>
      <c r="G25" s="0" t="n">
        <f aca="false">IF(F25="", "", IF(C25="","", F25-C25))</f>
        <v>524</v>
      </c>
      <c r="H25" s="0" t="n">
        <f aca="false">IF(F25="", "", IF(D25="","", F25-D25))</f>
        <v>236</v>
      </c>
      <c r="I25" s="0" t="str">
        <f aca="false">IF(F25="", "", IF(E25="","", F25-E25))</f>
        <v/>
      </c>
      <c r="J25" s="66" t="n">
        <f aca="false">IF(SUM(C25:E25)&gt;0,AVERAGE(G25:I25),"")</f>
        <v>380</v>
      </c>
      <c r="K25" s="66" t="n">
        <f aca="false">IF(NOT(G25=""),(G25-$J25)^2,"")</f>
        <v>20736</v>
      </c>
      <c r="L25" s="66" t="n">
        <f aca="false">IF(NOT(H25=""),(H25-$J25)^2,"")</f>
        <v>20736</v>
      </c>
      <c r="M25" s="66" t="str">
        <f aca="false">IF(NOT(I25=""),(I25-$J25)^2,"")</f>
        <v/>
      </c>
      <c r="N25" s="66" t="n">
        <f aca="false">IF(COUNT(K25:M25)&gt;0,SUM(K25:M25)/COUNT(K25:M25),"")</f>
        <v>20736</v>
      </c>
      <c r="O25" s="66" t="n">
        <f aca="false">IF(NOT(N25=""),SQRT(N25),"")</f>
        <v>144</v>
      </c>
      <c r="P25" s="66" t="n">
        <f aca="false">IF(COUNT(K25:M25)&gt;0,VLOOKUP(COUNT(K25:M25),'t values'!$A$3:$C$5,3)*(O25/SQRT(COUNT(K25:M25))),"")</f>
        <v>1293.7678216929</v>
      </c>
      <c r="Q25" s="66" t="n">
        <f aca="false">IF(NOT(P25=""),J25-P25,"")</f>
        <v>-913.767821692903</v>
      </c>
      <c r="R25" s="66" t="n">
        <f aca="false">IF(NOT(P25=""),J25+P25,"")</f>
        <v>1673.7678216929</v>
      </c>
      <c r="S25" s="0" t="n">
        <v>1710</v>
      </c>
      <c r="T25" s="0" t="n">
        <f aca="false">IF(S25="", "", IF(C25="","", S25-C25))</f>
        <v>108</v>
      </c>
      <c r="U25" s="0" t="n">
        <f aca="false">IF($S25="", "", IF(D25="","", $S25-D25))</f>
        <v>-180</v>
      </c>
      <c r="V25" s="0" t="str">
        <f aca="false">IF($S25="", "", IF(E25="","", $S25-E25))</f>
        <v/>
      </c>
      <c r="W25" s="66" t="n">
        <f aca="false">IF(SUM($C25:$E25)&gt;0,IF(NOT(S25=""),AVERAGE(T25:V25),""),"")</f>
        <v>-36</v>
      </c>
      <c r="X25" s="66" t="n">
        <f aca="false">IF(NOT(T25=""),(T25-$W25)^2,"")</f>
        <v>20736</v>
      </c>
      <c r="Y25" s="66" t="n">
        <f aca="false">IF(NOT(U25=""),(U25-$W25)^2,"")</f>
        <v>20736</v>
      </c>
      <c r="Z25" s="66" t="str">
        <f aca="false">IF(NOT(V25=""),(V25-$W25)^2,"")</f>
        <v/>
      </c>
      <c r="AA25" s="0" t="n">
        <f aca="false">IF(COUNT(X25:Z25)&gt;0,SUM(X25:Z25)/COUNT(X25:Z25),"")</f>
        <v>20736</v>
      </c>
      <c r="AB25" s="0" t="n">
        <f aca="false">IF(NOT(AA25=""),SQRT(AA25),"")</f>
        <v>144</v>
      </c>
      <c r="AD25" s="66" t="n">
        <f aca="false">IF(NOT(W25=""),W25-AG25,"")</f>
        <v>-1330</v>
      </c>
      <c r="AE25" s="66" t="n">
        <f aca="false">IF(NOT(W25=""),W25+AG25,"")</f>
        <v>1258</v>
      </c>
      <c r="AF25" s="63" t="n">
        <v>144</v>
      </c>
      <c r="AG25" s="63" t="n">
        <v>1294</v>
      </c>
      <c r="AH25" s="63"/>
    </row>
    <row r="26" customFormat="false" ht="12.8" hidden="false" customHeight="false" outlineLevel="0" collapsed="false">
      <c r="A26" s="56" t="s">
        <v>33</v>
      </c>
      <c r="B26" s="57" t="n">
        <v>20</v>
      </c>
      <c r="C26" s="56" t="n">
        <v>1308</v>
      </c>
      <c r="D26" s="25" t="n">
        <v>1289</v>
      </c>
      <c r="E26" s="77" t="n">
        <v>2140</v>
      </c>
      <c r="F26" s="0" t="n">
        <v>1479</v>
      </c>
      <c r="G26" s="0" t="n">
        <f aca="false">IF(F26="", "", IF(C26="","", F26-C26))</f>
        <v>171</v>
      </c>
      <c r="H26" s="0" t="n">
        <f aca="false">IF(F26="", "", IF(D26="","", F26-D26))</f>
        <v>190</v>
      </c>
      <c r="I26" s="0" t="n">
        <f aca="false">IF(F26="", "", IF(E26="","", F26-E26))</f>
        <v>-661</v>
      </c>
      <c r="J26" s="66" t="n">
        <f aca="false">IF(SUM(C26:E26)&gt;0,AVERAGE(G26:I26),"")</f>
        <v>-100</v>
      </c>
      <c r="K26" s="66" t="n">
        <f aca="false">IF(NOT(G26=""),(G26-$J26)^2,"")</f>
        <v>73441</v>
      </c>
      <c r="L26" s="66" t="n">
        <f aca="false">IF(NOT(H26=""),(H26-$J26)^2,"")</f>
        <v>84100</v>
      </c>
      <c r="M26" s="66" t="n">
        <f aca="false">IF(NOT(I26=""),(I26-$J26)^2,"")</f>
        <v>314721</v>
      </c>
      <c r="N26" s="66" t="n">
        <f aca="false">IF(COUNT(K26:M26)&gt;0,SUM(K26:M26)/COUNT(K26:M26),"")</f>
        <v>157420.666666667</v>
      </c>
      <c r="O26" s="66" t="n">
        <f aca="false">IF(NOT(N26=""),SQRT(N26),"")</f>
        <v>396.762733465061</v>
      </c>
      <c r="P26" s="66" t="n">
        <f aca="false">IF(COUNT(K26:M26)&gt;0,VLOOKUP(COUNT(K26:M26),'t values'!$A$3:$C$5,3)*(O26/SQRT(COUNT(K26:M26))),"")</f>
        <v>985.692818385909</v>
      </c>
      <c r="Q26" s="66" t="n">
        <f aca="false">IF(NOT(P26=""),J26-P26,"")</f>
        <v>-1085.69281838591</v>
      </c>
      <c r="R26" s="66" t="n">
        <f aca="false">IF(NOT(P26=""),J26+P26,"")</f>
        <v>885.692818385909</v>
      </c>
      <c r="S26" s="0" t="n">
        <v>1552</v>
      </c>
      <c r="T26" s="0" t="n">
        <f aca="false">IF(S26="", "", IF(C26="","", S26-C26))</f>
        <v>244</v>
      </c>
      <c r="U26" s="0" t="n">
        <f aca="false">IF($S26="", "", IF(D26="","", $S26-D26))</f>
        <v>263</v>
      </c>
      <c r="V26" s="0" t="n">
        <f aca="false">IF($S26="", "", IF(E26="","", $S26-E26))</f>
        <v>-588</v>
      </c>
      <c r="W26" s="66" t="n">
        <f aca="false">IF(SUM($C26:$E26)&gt;0,IF(NOT(S26=""),AVERAGE(T26:V26),""),"")</f>
        <v>-27</v>
      </c>
      <c r="X26" s="66" t="n">
        <f aca="false">IF(NOT(T26=""),(T26-$W26)^2,"")</f>
        <v>73441</v>
      </c>
      <c r="Y26" s="66" t="n">
        <f aca="false">IF(NOT(U26=""),(U26-$W26)^2,"")</f>
        <v>84100</v>
      </c>
      <c r="Z26" s="66" t="n">
        <f aca="false">IF(NOT(V26=""),(V26-$W26)^2,"")</f>
        <v>314721</v>
      </c>
      <c r="AA26" s="0" t="n">
        <f aca="false">IF(COUNT(X26:Z26)&gt;0,SUM(X26:Z26)/COUNT(X26:Z26),"")</f>
        <v>157420.666666667</v>
      </c>
      <c r="AB26" s="0" t="n">
        <f aca="false">IF(NOT(AA26=""),SQRT(AA26),"")</f>
        <v>396.762733465061</v>
      </c>
      <c r="AD26" s="66" t="n">
        <f aca="false">IF(NOT(W26=""),W26-AG26,"")</f>
        <v>-1013</v>
      </c>
      <c r="AE26" s="66" t="n">
        <f aca="false">IF(NOT(W26=""),W26+AG26,"")</f>
        <v>959</v>
      </c>
      <c r="AF26" s="63" t="n">
        <v>396.762733465061</v>
      </c>
      <c r="AG26" s="63" t="n">
        <v>986</v>
      </c>
      <c r="AH26" s="63"/>
    </row>
    <row r="27" customFormat="false" ht="12.8" hidden="false" customHeight="false" outlineLevel="0" collapsed="false">
      <c r="A27" s="56" t="s">
        <v>33</v>
      </c>
      <c r="B27" s="57" t="n">
        <v>30</v>
      </c>
      <c r="C27" s="56" t="n">
        <v>1215</v>
      </c>
      <c r="D27" s="25" t="n">
        <v>1283</v>
      </c>
      <c r="E27" s="77" t="n">
        <v>1332</v>
      </c>
      <c r="F27" s="0" t="n">
        <v>1021</v>
      </c>
      <c r="G27" s="0" t="n">
        <f aca="false">IF(F27="", "", IF(C27="","", F27-C27))</f>
        <v>-194</v>
      </c>
      <c r="H27" s="0" t="n">
        <f aca="false">IF(F27="", "", IF(D27="","", F27-D27))</f>
        <v>-262</v>
      </c>
      <c r="I27" s="0" t="n">
        <f aca="false">IF(F27="", "", IF(E27="","", F27-E27))</f>
        <v>-311</v>
      </c>
      <c r="J27" s="66" t="n">
        <f aca="false">IF(SUM(C27:E27)&gt;0,AVERAGE(G27:I27),"")</f>
        <v>-255.666666666667</v>
      </c>
      <c r="K27" s="66" t="n">
        <f aca="false">IF(NOT(G27=""),(G27-$J27)^2,"")</f>
        <v>3802.77777777778</v>
      </c>
      <c r="L27" s="66" t="n">
        <f aca="false">IF(NOT(H27=""),(H27-$J27)^2,"")</f>
        <v>40.1111111111112</v>
      </c>
      <c r="M27" s="66" t="n">
        <f aca="false">IF(NOT(I27=""),(I27-$J27)^2,"")</f>
        <v>3061.77777777778</v>
      </c>
      <c r="N27" s="66" t="n">
        <f aca="false">IF(COUNT(K27:M27)&gt;0,SUM(K27:M27)/COUNT(K27:M27),"")</f>
        <v>2301.55555555556</v>
      </c>
      <c r="O27" s="66" t="n">
        <f aca="false">IF(NOT(N27=""),SQRT(N27),"")</f>
        <v>47.9745302796761</v>
      </c>
      <c r="P27" s="66" t="n">
        <f aca="false">IF(COUNT(K27:M27)&gt;0,VLOOKUP(COUNT(K27:M27),'t values'!$A$3:$C$5,3)*(O27/SQRT(COUNT(K27:M27))),"")</f>
        <v>119.184958600146</v>
      </c>
      <c r="Q27" s="66" t="n">
        <f aca="false">IF(NOT(P27=""),J27-P27,"")</f>
        <v>-374.851625266813</v>
      </c>
      <c r="R27" s="66" t="n">
        <f aca="false">IF(NOT(P27=""),J27+P27,"")</f>
        <v>-136.481708066521</v>
      </c>
      <c r="S27" s="0" t="n">
        <v>1334</v>
      </c>
      <c r="T27" s="0" t="n">
        <f aca="false">IF(S27="", "", IF(C27="","", S27-C27))</f>
        <v>119</v>
      </c>
      <c r="U27" s="0" t="n">
        <f aca="false">IF($S27="", "", IF(D27="","", $S27-D27))</f>
        <v>51</v>
      </c>
      <c r="V27" s="0" t="n">
        <f aca="false">IF($S27="", "", IF(E27="","", $S27-E27))</f>
        <v>2</v>
      </c>
      <c r="W27" s="66" t="n">
        <f aca="false">IF(SUM($C27:$E27)&gt;0,IF(NOT(S27=""),AVERAGE(T27:V27),""),"")</f>
        <v>57.3333333333333</v>
      </c>
      <c r="X27" s="66" t="n">
        <f aca="false">IF(NOT(T27=""),(T27-$W27)^2,"")</f>
        <v>3802.77777777778</v>
      </c>
      <c r="Y27" s="66" t="n">
        <f aca="false">IF(NOT(U27=""),(U27-$W27)^2,"")</f>
        <v>40.1111111111111</v>
      </c>
      <c r="Z27" s="66" t="n">
        <f aca="false">IF(NOT(V27=""),(V27-$W27)^2,"")</f>
        <v>3061.77777777778</v>
      </c>
      <c r="AA27" s="0" t="n">
        <f aca="false">IF(COUNT(X27:Z27)&gt;0,SUM(X27:Z27)/COUNT(X27:Z27),"")</f>
        <v>2301.55555555556</v>
      </c>
      <c r="AB27" s="0" t="n">
        <f aca="false">IF(NOT(AA27=""),SQRT(AA27),"")</f>
        <v>47.9745302796761</v>
      </c>
      <c r="AD27" s="66" t="n">
        <f aca="false">IF(NOT(W27=""),W27-AG27,"")</f>
        <v>-61.6666666666667</v>
      </c>
      <c r="AE27" s="66" t="n">
        <f aca="false">IF(NOT(W27=""),W27+AG27,"")</f>
        <v>176.333333333333</v>
      </c>
      <c r="AF27" s="63" t="n">
        <v>47.9745302796761</v>
      </c>
      <c r="AG27" s="63" t="n">
        <v>119</v>
      </c>
      <c r="AH27" s="63"/>
    </row>
    <row r="28" customFormat="false" ht="12.8" hidden="false" customHeight="false" outlineLevel="0" collapsed="false">
      <c r="A28" s="56" t="s">
        <v>33</v>
      </c>
      <c r="B28" s="57" t="n">
        <v>40</v>
      </c>
      <c r="C28" s="56" t="n">
        <v>1063</v>
      </c>
      <c r="D28" s="25" t="n">
        <v>833</v>
      </c>
      <c r="E28" s="77" t="n">
        <v>1042</v>
      </c>
      <c r="F28" s="0" t="n">
        <v>933</v>
      </c>
      <c r="G28" s="0" t="n">
        <f aca="false">IF(F28="", "", IF(C28="","", F28-C28))</f>
        <v>-130</v>
      </c>
      <c r="H28" s="0" t="n">
        <f aca="false">IF(F28="", "", IF(D28="","", F28-D28))</f>
        <v>100</v>
      </c>
      <c r="I28" s="0" t="n">
        <f aca="false">IF(F28="", "", IF(E28="","", F28-E28))</f>
        <v>-109</v>
      </c>
      <c r="J28" s="66" t="n">
        <f aca="false">IF(SUM(C28:E28)&gt;0,AVERAGE(G28:I28),"")</f>
        <v>-46.3333333333333</v>
      </c>
      <c r="K28" s="66" t="n">
        <f aca="false">IF(NOT(G28=""),(G28-$J28)^2,"")</f>
        <v>7000.11111111111</v>
      </c>
      <c r="L28" s="66" t="n">
        <f aca="false">IF(NOT(H28=""),(H28-$J28)^2,"")</f>
        <v>21413.4444444445</v>
      </c>
      <c r="M28" s="66" t="n">
        <f aca="false">IF(NOT(I28=""),(I28-$J28)^2,"")</f>
        <v>3927.11111111111</v>
      </c>
      <c r="N28" s="66" t="n">
        <f aca="false">IF(COUNT(K28:M28)&gt;0,SUM(K28:M28)/COUNT(K28:M28),"")</f>
        <v>10780.2222222222</v>
      </c>
      <c r="O28" s="66" t="n">
        <f aca="false">IF(NOT(N28=""),SQRT(N28),"")</f>
        <v>103.827848972336</v>
      </c>
      <c r="P28" s="66" t="n">
        <f aca="false">IF(COUNT(K28:M28)&gt;0,VLOOKUP(COUNT(K28:M28),'t values'!$A$3:$C$5,3)*(O28/SQRT(COUNT(K28:M28))),"")</f>
        <v>257.94349228996</v>
      </c>
      <c r="Q28" s="66" t="n">
        <f aca="false">IF(NOT(P28=""),J28-P28,"")</f>
        <v>-304.276825623294</v>
      </c>
      <c r="R28" s="66" t="n">
        <f aca="false">IF(NOT(P28=""),J28+P28,"")</f>
        <v>211.610158956627</v>
      </c>
      <c r="T28" s="0" t="str">
        <f aca="false">IF(S28="", "", IF(C28="","", S28-C28))</f>
        <v/>
      </c>
      <c r="U28" s="0" t="str">
        <f aca="false">IF($S28="", "", IF(D28="","", $S28-D28))</f>
        <v/>
      </c>
      <c r="V28" s="0" t="str">
        <f aca="false">IF($S28="", "", IF(E28="","", $S28-E28))</f>
        <v/>
      </c>
      <c r="W28" s="66" t="str">
        <f aca="false">IF(SUM($C28:$E28)&gt;0,IF(NOT(S28=""),AVERAGE(T28:V28),""),"")</f>
        <v/>
      </c>
      <c r="X28" s="66" t="str">
        <f aca="false">IF(NOT(T28=""),(T28-$W28)^2,"")</f>
        <v/>
      </c>
      <c r="Y28" s="66" t="str">
        <f aca="false">IF(NOT(U28=""),(U28-$W28)^2,"")</f>
        <v/>
      </c>
      <c r="Z28" s="66" t="str">
        <f aca="false">IF(NOT(V28=""),(V28-$W28)^2,"")</f>
        <v/>
      </c>
      <c r="AA28" s="0" t="str">
        <f aca="false">IF(COUNT(X28:Z28)&gt;0,SUM(X28:Z28)/COUNT(X28:Z28),"")</f>
        <v/>
      </c>
      <c r="AB28" s="0" t="str">
        <f aca="false">IF(NOT(AA28=""),SQRT(AA28),"")</f>
        <v/>
      </c>
      <c r="AD28" s="66" t="str">
        <f aca="false">IF(NOT(W28=""),W28-AG28,"")</f>
        <v/>
      </c>
      <c r="AE28" s="66" t="str">
        <f aca="false">IF(NOT(W28=""),W28+AG28,"")</f>
        <v/>
      </c>
      <c r="AF28" s="63" t="n">
        <v>103.827848972336</v>
      </c>
      <c r="AG28" s="63" t="n">
        <v>258</v>
      </c>
      <c r="AH28" s="63"/>
    </row>
    <row r="29" customFormat="false" ht="12.8" hidden="false" customHeight="false" outlineLevel="0" collapsed="false">
      <c r="A29" s="56" t="s">
        <v>33</v>
      </c>
      <c r="B29" s="57" t="n">
        <v>50</v>
      </c>
      <c r="C29" s="56" t="n">
        <v>644</v>
      </c>
      <c r="D29" s="25" t="n">
        <v>638</v>
      </c>
      <c r="E29" s="77" t="n">
        <v>838</v>
      </c>
      <c r="F29" s="0" t="n">
        <v>735</v>
      </c>
      <c r="G29" s="0" t="n">
        <f aca="false">IF(F29="", "", IF(C29="","", F29-C29))</f>
        <v>91</v>
      </c>
      <c r="H29" s="0" t="n">
        <f aca="false">IF(F29="", "", IF(D29="","", F29-D29))</f>
        <v>97</v>
      </c>
      <c r="I29" s="0" t="n">
        <f aca="false">IF(F29="", "", IF(E29="","", F29-E29))</f>
        <v>-103</v>
      </c>
      <c r="J29" s="66" t="n">
        <f aca="false">IF(SUM(C29:E29)&gt;0,AVERAGE(G29:I29),"")</f>
        <v>28.3333333333333</v>
      </c>
      <c r="K29" s="66" t="n">
        <f aca="false">IF(NOT(G29=""),(G29-$J29)^2,"")</f>
        <v>3927.11111111111</v>
      </c>
      <c r="L29" s="66" t="n">
        <f aca="false">IF(NOT(H29=""),(H29-$J29)^2,"")</f>
        <v>4715.11111111111</v>
      </c>
      <c r="M29" s="66" t="n">
        <f aca="false">IF(NOT(I29=""),(I29-$J29)^2,"")</f>
        <v>17248.4444444444</v>
      </c>
      <c r="N29" s="66" t="n">
        <f aca="false">IF(COUNT(K29:M29)&gt;0,SUM(K29:M29)/COUNT(K29:M29),"")</f>
        <v>8630.22222222222</v>
      </c>
      <c r="O29" s="66" t="n">
        <f aca="false">IF(NOT(N29=""),SQRT(N29),"")</f>
        <v>92.8989893498429</v>
      </c>
      <c r="P29" s="66" t="n">
        <f aca="false">IF(COUNT(K29:M29)&gt;0,VLOOKUP(COUNT(K29:M29),'t values'!$A$3:$C$5,3)*(O29/SQRT(COUNT(K29:M29))),"")</f>
        <v>230.792508756402</v>
      </c>
      <c r="Q29" s="66" t="n">
        <f aca="false">IF(NOT(P29=""),J29-P29,"")</f>
        <v>-202.459175423069</v>
      </c>
      <c r="R29" s="66" t="n">
        <f aca="false">IF(NOT(P29=""),J29+P29,"")</f>
        <v>259.125842089736</v>
      </c>
      <c r="T29" s="0" t="str">
        <f aca="false">IF(S29="", "", IF(C29="","", S29-C29))</f>
        <v/>
      </c>
      <c r="U29" s="0" t="str">
        <f aca="false">IF($S29="", "", IF(D29="","", $S29-D29))</f>
        <v/>
      </c>
      <c r="V29" s="0" t="str">
        <f aca="false">IF($S29="", "", IF(E29="","", $S29-E29))</f>
        <v/>
      </c>
      <c r="W29" s="66" t="str">
        <f aca="false">IF(SUM($C29:$E29)&gt;0,IF(NOT(S29=""),AVERAGE(T29:V29),""),"")</f>
        <v/>
      </c>
      <c r="X29" s="66" t="str">
        <f aca="false">IF(NOT(T29=""),(T29-$W29)^2,"")</f>
        <v/>
      </c>
      <c r="Y29" s="66" t="str">
        <f aca="false">IF(NOT(U29=""),(U29-$W29)^2,"")</f>
        <v/>
      </c>
      <c r="Z29" s="66" t="str">
        <f aca="false">IF(NOT(V29=""),(V29-$W29)^2,"")</f>
        <v/>
      </c>
      <c r="AA29" s="0" t="str">
        <f aca="false">IF(COUNT(X29:Z29)&gt;0,SUM(X29:Z29)/COUNT(X29:Z29),"")</f>
        <v/>
      </c>
      <c r="AB29" s="0" t="str">
        <f aca="false">IF(NOT(AA29=""),SQRT(AA29),"")</f>
        <v/>
      </c>
      <c r="AD29" s="66" t="str">
        <f aca="false">IF(NOT(W29=""),W29-AG29,"")</f>
        <v/>
      </c>
      <c r="AE29" s="66" t="str">
        <f aca="false">IF(NOT(W29=""),W29+AG29,"")</f>
        <v/>
      </c>
      <c r="AF29" s="63" t="n">
        <v>92.8989893498429</v>
      </c>
      <c r="AG29" s="63" t="n">
        <v>231</v>
      </c>
      <c r="AH29" s="63"/>
    </row>
    <row r="30" customFormat="false" ht="12.8" hidden="false" customHeight="false" outlineLevel="0" collapsed="false">
      <c r="A30" s="56" t="s">
        <v>33</v>
      </c>
      <c r="B30" s="57" t="n">
        <v>64</v>
      </c>
      <c r="C30" s="56" t="n">
        <v>483</v>
      </c>
      <c r="D30" s="25" t="n">
        <v>517</v>
      </c>
      <c r="E30" s="77" t="n">
        <v>588</v>
      </c>
      <c r="F30" s="0" t="n">
        <v>620</v>
      </c>
      <c r="G30" s="0" t="n">
        <f aca="false">IF(F30="", "", IF(C30="","", F30-C30))</f>
        <v>137</v>
      </c>
      <c r="H30" s="0" t="n">
        <f aca="false">IF(F30="", "", IF(D30="","", F30-D30))</f>
        <v>103</v>
      </c>
      <c r="I30" s="0" t="n">
        <f aca="false">IF(F30="", "", IF(E30="","", F30-E30))</f>
        <v>32</v>
      </c>
      <c r="J30" s="66" t="n">
        <f aca="false">IF(SUM(C30:E30)&gt;0,AVERAGE(G30:I30),"")</f>
        <v>90.6666666666667</v>
      </c>
      <c r="K30" s="66" t="n">
        <f aca="false">IF(NOT(G30=""),(G30-$J30)^2,"")</f>
        <v>2146.77777777778</v>
      </c>
      <c r="L30" s="66" t="n">
        <f aca="false">IF(NOT(H30=""),(H30-$J30)^2,"")</f>
        <v>152.111111111111</v>
      </c>
      <c r="M30" s="66" t="n">
        <f aca="false">IF(NOT(I30=""),(I30-$J30)^2,"")</f>
        <v>3441.77777777778</v>
      </c>
      <c r="N30" s="66" t="n">
        <f aca="false">IF(COUNT(K30:M30)&gt;0,SUM(K30:M30)/COUNT(K30:M30),"")</f>
        <v>1913.55555555556</v>
      </c>
      <c r="O30" s="66" t="n">
        <f aca="false">IF(NOT(N30=""),SQRT(N30),"")</f>
        <v>43.7442059655397</v>
      </c>
      <c r="P30" s="66" t="n">
        <f aca="false">IF(COUNT(K30:M30)&gt;0,VLOOKUP(COUNT(K30:M30),'t values'!$A$3:$C$5,3)*(O30/SQRT(COUNT(K30:M30))),"")</f>
        <v>108.675402272939</v>
      </c>
      <c r="Q30" s="66" t="n">
        <f aca="false">IF(NOT(P30=""),J30-P30,"")</f>
        <v>-18.0087356062727</v>
      </c>
      <c r="R30" s="66" t="n">
        <f aca="false">IF(NOT(P30=""),J30+P30,"")</f>
        <v>199.342068939606</v>
      </c>
      <c r="S30" s="0" t="n">
        <v>914</v>
      </c>
      <c r="T30" s="0" t="n">
        <f aca="false">IF(S30="", "", IF(C30="","", S30-C30))</f>
        <v>431</v>
      </c>
      <c r="U30" s="0" t="n">
        <f aca="false">IF($S30="", "", IF(D30="","", $S30-D30))</f>
        <v>397</v>
      </c>
      <c r="V30" s="0" t="n">
        <f aca="false">IF($S30="", "", IF(E30="","", $S30-E30))</f>
        <v>326</v>
      </c>
      <c r="W30" s="66" t="n">
        <f aca="false">IF(SUM($C30:$E30)&gt;0,IF(NOT(S30=""),AVERAGE(T30:V30),""),"")</f>
        <v>384.666666666667</v>
      </c>
      <c r="X30" s="66" t="n">
        <f aca="false">IF(NOT(T30=""),(T30-$W30)^2,"")</f>
        <v>2146.77777777778</v>
      </c>
      <c r="Y30" s="66" t="n">
        <f aca="false">IF(NOT(U30=""),(U30-$W30)^2,"")</f>
        <v>152.111111111111</v>
      </c>
      <c r="Z30" s="66" t="n">
        <f aca="false">IF(NOT(V30=""),(V30-$W30)^2,"")</f>
        <v>3441.77777777778</v>
      </c>
      <c r="AA30" s="0" t="n">
        <f aca="false">IF(COUNT(X30:Z30)&gt;0,SUM(X30:Z30)/COUNT(X30:Z30),"")</f>
        <v>1913.55555555556</v>
      </c>
      <c r="AB30" s="0" t="n">
        <f aca="false">IF(NOT(AA30=""),SQRT(AA30),"")</f>
        <v>43.7442059655397</v>
      </c>
      <c r="AD30" s="66" t="n">
        <f aca="false">IF(NOT(W30=""),W30-AG30,"")</f>
        <v>275.666666666667</v>
      </c>
      <c r="AE30" s="66" t="n">
        <f aca="false">IF(NOT(W30=""),W30+AG30,"")</f>
        <v>493.666666666667</v>
      </c>
      <c r="AF30" s="63" t="n">
        <v>43.7442059655397</v>
      </c>
      <c r="AG30" s="63" t="n">
        <v>109</v>
      </c>
      <c r="AH30" s="63"/>
    </row>
    <row r="31" customFormat="false" ht="12.8" hidden="false" customHeight="false" outlineLevel="0" collapsed="false">
      <c r="A31" s="56" t="s">
        <v>33</v>
      </c>
      <c r="B31" s="57" t="n">
        <v>82</v>
      </c>
      <c r="C31" s="56" t="n">
        <v>468</v>
      </c>
      <c r="D31" s="25" t="n">
        <v>423</v>
      </c>
      <c r="E31" s="77" t="n">
        <v>588</v>
      </c>
      <c r="F31" s="0" t="n">
        <v>642</v>
      </c>
      <c r="G31" s="0" t="n">
        <f aca="false">IF(F31="", "", IF(C31="","", F31-C31))</f>
        <v>174</v>
      </c>
      <c r="H31" s="0" t="n">
        <f aca="false">IF(F31="", "", IF(D31="","", F31-D31))</f>
        <v>219</v>
      </c>
      <c r="I31" s="0" t="n">
        <f aca="false">IF(F31="", "", IF(E31="","", F31-E31))</f>
        <v>54</v>
      </c>
      <c r="J31" s="66" t="n">
        <f aca="false">IF(SUM(C31:E31)&gt;0,AVERAGE(G31:I31),"")</f>
        <v>149</v>
      </c>
      <c r="K31" s="66" t="n">
        <f aca="false">IF(NOT(G31=""),(G31-$J31)^2,"")</f>
        <v>625</v>
      </c>
      <c r="L31" s="66" t="n">
        <f aca="false">IF(NOT(H31=""),(H31-$J31)^2,"")</f>
        <v>4900</v>
      </c>
      <c r="M31" s="66" t="n">
        <f aca="false">IF(NOT(I31=""),(I31-$J31)^2,"")</f>
        <v>9025</v>
      </c>
      <c r="N31" s="66" t="n">
        <f aca="false">IF(COUNT(K31:M31)&gt;0,SUM(K31:M31)/COUNT(K31:M31),"")</f>
        <v>4850</v>
      </c>
      <c r="O31" s="66" t="n">
        <f aca="false">IF(NOT(N31=""),SQRT(N31),"")</f>
        <v>69.6419413859206</v>
      </c>
      <c r="P31" s="66" t="n">
        <f aca="false">IF(COUNT(K31:M31)&gt;0,VLOOKUP(COUNT(K31:M31),'t values'!$A$3:$C$5,3)*(O31/SQRT(COUNT(K31:M31))),"")</f>
        <v>173.014135886831</v>
      </c>
      <c r="Q31" s="66" t="n">
        <f aca="false">IF(NOT(P31=""),J31-P31,"")</f>
        <v>-24.0141358868306</v>
      </c>
      <c r="R31" s="66" t="n">
        <f aca="false">IF(NOT(P31=""),J31+P31,"")</f>
        <v>322.014135886831</v>
      </c>
      <c r="S31" s="0" t="n">
        <v>906</v>
      </c>
      <c r="T31" s="0" t="n">
        <f aca="false">IF(S31="", "", IF(C31="","", S31-C31))</f>
        <v>438</v>
      </c>
      <c r="U31" s="0" t="n">
        <f aca="false">IF($S31="", "", IF(D31="","", $S31-D31))</f>
        <v>483</v>
      </c>
      <c r="V31" s="0" t="n">
        <f aca="false">IF($S31="", "", IF(E31="","", $S31-E31))</f>
        <v>318</v>
      </c>
      <c r="W31" s="66" t="n">
        <f aca="false">IF(SUM($C31:$E31)&gt;0,IF(NOT(S31=""),AVERAGE(T31:V31),""),"")</f>
        <v>413</v>
      </c>
      <c r="X31" s="66" t="n">
        <f aca="false">IF(NOT(T31=""),(T31-$W31)^2,"")</f>
        <v>625</v>
      </c>
      <c r="Y31" s="66" t="n">
        <f aca="false">IF(NOT(U31=""),(U31-$W31)^2,"")</f>
        <v>4900</v>
      </c>
      <c r="Z31" s="66" t="n">
        <f aca="false">IF(NOT(V31=""),(V31-$W31)^2,"")</f>
        <v>9025</v>
      </c>
      <c r="AA31" s="0" t="n">
        <f aca="false">IF(COUNT(X31:Z31)&gt;0,SUM(X31:Z31)/COUNT(X31:Z31),"")</f>
        <v>4850</v>
      </c>
      <c r="AB31" s="0" t="n">
        <f aca="false">IF(NOT(AA31=""),SQRT(AA31),"")</f>
        <v>69.6419413859206</v>
      </c>
      <c r="AD31" s="66" t="n">
        <f aca="false">IF(NOT(W31=""),W31-AG31,"")</f>
        <v>240</v>
      </c>
      <c r="AE31" s="66" t="n">
        <f aca="false">IF(NOT(W31=""),W31+AG31,"")</f>
        <v>586</v>
      </c>
      <c r="AF31" s="63" t="n">
        <v>69.6419413859206</v>
      </c>
      <c r="AG31" s="63" t="n">
        <v>173</v>
      </c>
      <c r="AH31" s="63"/>
    </row>
    <row r="32" customFormat="false" ht="12.8" hidden="false" customHeight="false" outlineLevel="0" collapsed="false">
      <c r="A32" s="56" t="s">
        <v>33</v>
      </c>
      <c r="B32" s="57" t="n">
        <v>100</v>
      </c>
      <c r="C32" s="56" t="n">
        <v>336</v>
      </c>
      <c r="D32" s="25" t="n">
        <v>415</v>
      </c>
      <c r="E32" s="77" t="n">
        <v>568</v>
      </c>
      <c r="F32" s="0" t="n">
        <v>759</v>
      </c>
      <c r="G32" s="0" t="n">
        <f aca="false">IF(F32="", "", IF(C32="","", F32-C32))</f>
        <v>423</v>
      </c>
      <c r="H32" s="0" t="n">
        <f aca="false">IF(F32="", "", IF(D32="","", F32-D32))</f>
        <v>344</v>
      </c>
      <c r="I32" s="0" t="n">
        <f aca="false">IF(F32="", "", IF(E32="","", F32-E32))</f>
        <v>191</v>
      </c>
      <c r="J32" s="66" t="n">
        <f aca="false">IF(SUM(C32:E32)&gt;0,AVERAGE(G32:I32),"")</f>
        <v>319.333333333333</v>
      </c>
      <c r="K32" s="66" t="n">
        <f aca="false">IF(NOT(G32=""),(G32-$J32)^2,"")</f>
        <v>10746.7777777778</v>
      </c>
      <c r="L32" s="66" t="n">
        <f aca="false">IF(NOT(H32=""),(H32-$J32)^2,"")</f>
        <v>608.444444444445</v>
      </c>
      <c r="M32" s="66" t="n">
        <f aca="false">IF(NOT(I32=""),(I32-$J32)^2,"")</f>
        <v>16469.4444444444</v>
      </c>
      <c r="N32" s="66" t="n">
        <f aca="false">IF(COUNT(K32:M32)&gt;0,SUM(K32:M32)/COUNT(K32:M32),"")</f>
        <v>9274.88888888889</v>
      </c>
      <c r="O32" s="66" t="n">
        <f aca="false">IF(NOT(N32=""),SQRT(N32),"")</f>
        <v>96.3062245594172</v>
      </c>
      <c r="P32" s="66" t="n">
        <f aca="false">IF(COUNT(K32:M32)&gt;0,VLOOKUP(COUNT(K32:M32),'t values'!$A$3:$C$5,3)*(O32/SQRT(COUNT(K32:M32))),"")</f>
        <v>239.257233372291</v>
      </c>
      <c r="Q32" s="66" t="n">
        <f aca="false">IF(NOT(P32=""),J32-P32,"")</f>
        <v>80.0760999610422</v>
      </c>
      <c r="R32" s="66" t="n">
        <f aca="false">IF(NOT(P32=""),J32+P32,"")</f>
        <v>558.590566705624</v>
      </c>
      <c r="T32" s="0" t="str">
        <f aca="false">IF(S32="", "", IF(C32="","", S32-C32))</f>
        <v/>
      </c>
      <c r="U32" s="0" t="str">
        <f aca="false">IF($S32="", "", IF(D32="","", $S32-D32))</f>
        <v/>
      </c>
      <c r="V32" s="0" t="str">
        <f aca="false">IF($S32="", "", IF(E32="","", $S32-E32))</f>
        <v/>
      </c>
      <c r="W32" s="66" t="str">
        <f aca="false">IF(SUM($C32:$E32)&gt;0,IF(NOT(S32=""),AVERAGE(T32:V32),""),"")</f>
        <v/>
      </c>
      <c r="X32" s="66" t="str">
        <f aca="false">IF(NOT(T32=""),(T32-$W32)^2,"")</f>
        <v/>
      </c>
      <c r="Y32" s="66" t="str">
        <f aca="false">IF(NOT(U32=""),(U32-$W32)^2,"")</f>
        <v/>
      </c>
      <c r="Z32" s="66" t="str">
        <f aca="false">IF(NOT(V32=""),(V32-$W32)^2,"")</f>
        <v/>
      </c>
      <c r="AA32" s="0" t="str">
        <f aca="false">IF(COUNT(X32:Z32)&gt;0,SUM(X32:Z32)/COUNT(X32:Z32),"")</f>
        <v/>
      </c>
      <c r="AB32" s="0" t="str">
        <f aca="false">IF(NOT(AA32=""),SQRT(AA32),"")</f>
        <v/>
      </c>
      <c r="AD32" s="66" t="str">
        <f aca="false">IF(NOT(W32=""),W32-AG32,"")</f>
        <v/>
      </c>
      <c r="AE32" s="66" t="str">
        <f aca="false">IF(NOT(W32=""),W32+AG32,"")</f>
        <v/>
      </c>
      <c r="AF32" s="63" t="n">
        <v>96.3062245594172</v>
      </c>
      <c r="AG32" s="63" t="n">
        <v>239</v>
      </c>
      <c r="AH32" s="63"/>
    </row>
    <row r="33" customFormat="false" ht="12.8" hidden="false" customHeight="false" outlineLevel="0" collapsed="false">
      <c r="A33" s="56" t="s">
        <v>34</v>
      </c>
      <c r="B33" s="57" t="n">
        <v>5</v>
      </c>
      <c r="C33" s="56"/>
      <c r="D33" s="25"/>
      <c r="E33" s="77"/>
      <c r="F33" s="0" t="n">
        <v>1882</v>
      </c>
      <c r="G33" s="0" t="str">
        <f aca="false">IF(F33="", "", IF(C33="","", F33-C33))</f>
        <v/>
      </c>
      <c r="H33" s="0" t="str">
        <f aca="false">IF(F33="", "", IF(D33="","", F33-D33))</f>
        <v/>
      </c>
      <c r="I33" s="0" t="str">
        <f aca="false">IF(F33="", "", IF(E33="","", F33-E33))</f>
        <v/>
      </c>
      <c r="J33" s="66" t="str">
        <f aca="false">IF(SUM(C33:E33)&gt;0,AVERAGE(G33:I33),"")</f>
        <v/>
      </c>
      <c r="K33" s="66" t="str">
        <f aca="false">IF(NOT(G33=""),(G33-$J33)^2,"")</f>
        <v/>
      </c>
      <c r="L33" s="66" t="str">
        <f aca="false">IF(NOT(H33=""),(H33-$J33)^2,"")</f>
        <v/>
      </c>
      <c r="M33" s="66" t="str">
        <f aca="false">IF(NOT(I33=""),(I33-$J33)^2,"")</f>
        <v/>
      </c>
      <c r="N33" s="66" t="str">
        <f aca="false">IF(COUNT(K33:M33)&gt;0,SUM(K33:M33)/COUNT(K33:M33),"")</f>
        <v/>
      </c>
      <c r="O33" s="66" t="str">
        <f aca="false">IF(NOT(N33=""),SQRT(N33),"")</f>
        <v/>
      </c>
      <c r="P33" s="66" t="str">
        <f aca="false">IF(COUNT(K33:M33)&gt;0,VLOOKUP(COUNT(K33:M33),'t values'!$A$3:$C$5,3)*(O33/SQRT(COUNT(K33:M33))),"")</f>
        <v/>
      </c>
      <c r="Q33" s="66" t="str">
        <f aca="false">IF(NOT(P33=""),J33-P33,"")</f>
        <v/>
      </c>
      <c r="R33" s="66" t="str">
        <f aca="false">IF(NOT(P33=""),J33+P33,"")</f>
        <v/>
      </c>
      <c r="S33" s="0" t="n">
        <v>1868</v>
      </c>
      <c r="T33" s="0" t="str">
        <f aca="false">IF(S33="", "", IF(C33="","", S33-C33))</f>
        <v/>
      </c>
      <c r="U33" s="0" t="str">
        <f aca="false">IF($S33="", "", IF(D33="","", $S33-D33))</f>
        <v/>
      </c>
      <c r="V33" s="0" t="str">
        <f aca="false">IF($S33="", "", IF(E33="","", $S33-E33))</f>
        <v/>
      </c>
      <c r="W33" s="66" t="str">
        <f aca="false">IF(SUM($C33:$E33)&gt;0,IF(NOT(S33=""),AVERAGE(T33:V33),""),"")</f>
        <v/>
      </c>
      <c r="X33" s="66" t="str">
        <f aca="false">IF(NOT(T33=""),(T33-$W33)^2,"")</f>
        <v/>
      </c>
      <c r="Y33" s="66" t="str">
        <f aca="false">IF(NOT(U33=""),(U33-$W33)^2,"")</f>
        <v/>
      </c>
      <c r="Z33" s="66" t="str">
        <f aca="false">IF(NOT(V33=""),(V33-$W33)^2,"")</f>
        <v/>
      </c>
      <c r="AA33" s="0" t="str">
        <f aca="false">IF(COUNT(X33:Z33)&gt;0,SUM(X33:Z33)/COUNT(X33:Z33),"")</f>
        <v/>
      </c>
      <c r="AB33" s="0" t="str">
        <f aca="false">IF(NOT(AA33=""),SQRT(AA33),"")</f>
        <v/>
      </c>
      <c r="AD33" s="66" t="str">
        <f aca="false">IF(NOT(W33=""),W33-AG33,"")</f>
        <v/>
      </c>
      <c r="AE33" s="66" t="str">
        <f aca="false">IF(NOT(W33=""),W33+AG33,"")</f>
        <v/>
      </c>
      <c r="AF33" s="63"/>
      <c r="AG33" s="63"/>
      <c r="AH33" s="63"/>
    </row>
    <row r="34" customFormat="false" ht="12.8" hidden="false" customHeight="false" outlineLevel="0" collapsed="false">
      <c r="A34" s="56" t="s">
        <v>34</v>
      </c>
      <c r="B34" s="57" t="n">
        <v>10</v>
      </c>
      <c r="C34" s="56" t="n">
        <v>1150</v>
      </c>
      <c r="D34" s="25"/>
      <c r="E34" s="77" t="n">
        <v>1163</v>
      </c>
      <c r="F34" s="0" t="n">
        <v>1301</v>
      </c>
      <c r="G34" s="0" t="n">
        <f aca="false">IF(F34="", "", IF(C34="","", F34-C34))</f>
        <v>151</v>
      </c>
      <c r="H34" s="0" t="str">
        <f aca="false">IF(F34="", "", IF(D34="","", F34-D34))</f>
        <v/>
      </c>
      <c r="I34" s="0" t="n">
        <f aca="false">IF(F34="", "", IF(E34="","", F34-E34))</f>
        <v>138</v>
      </c>
      <c r="J34" s="66" t="n">
        <f aca="false">IF(SUM(C34:E34)&gt;0,AVERAGE(G34:I34),"")</f>
        <v>144.5</v>
      </c>
      <c r="K34" s="66" t="n">
        <f aca="false">IF(NOT(G34=""),(G34-$J34)^2,"")</f>
        <v>42.25</v>
      </c>
      <c r="L34" s="66" t="str">
        <f aca="false">IF(NOT(H34=""),(H34-$J34)^2,"")</f>
        <v/>
      </c>
      <c r="M34" s="66" t="n">
        <f aca="false">IF(NOT(I34=""),(I34-$J34)^2,"")</f>
        <v>42.25</v>
      </c>
      <c r="N34" s="66" t="n">
        <f aca="false">IF(COUNT(K34:M34)&gt;0,SUM(K34:M34)/COUNT(K34:M34),"")</f>
        <v>42.25</v>
      </c>
      <c r="O34" s="66" t="n">
        <f aca="false">IF(NOT(N34=""),SQRT(N34),"")</f>
        <v>6.5</v>
      </c>
      <c r="P34" s="66" t="n">
        <f aca="false">IF(COUNT(K34:M34)&gt;0,VLOOKUP(COUNT(K34:M34),'t values'!$A$3:$C$5,3)*(O34/SQRT(COUNT(K34:M34))),"")</f>
        <v>58.3992419514158</v>
      </c>
      <c r="Q34" s="66" t="n">
        <f aca="false">IF(NOT(P34=""),J34-P34,"")</f>
        <v>86.1007580485842</v>
      </c>
      <c r="R34" s="66" t="n">
        <f aca="false">IF(NOT(P34=""),J34+P34,"")</f>
        <v>202.899241951416</v>
      </c>
      <c r="S34" s="0" t="n">
        <v>1158</v>
      </c>
      <c r="T34" s="0" t="n">
        <f aca="false">IF(S34="", "", IF(C34="","", S34-C34))</f>
        <v>8</v>
      </c>
      <c r="U34" s="0" t="str">
        <f aca="false">IF($S34="", "", IF(D34="","", $S34-D34))</f>
        <v/>
      </c>
      <c r="V34" s="0" t="n">
        <f aca="false">IF($S34="", "", IF(E34="","", $S34-E34))</f>
        <v>-5</v>
      </c>
      <c r="W34" s="66" t="n">
        <f aca="false">IF(SUM($C34:$E34)&gt;0,IF(NOT(S34=""),AVERAGE(T34:V34),""),"")</f>
        <v>1.5</v>
      </c>
      <c r="X34" s="66" t="n">
        <f aca="false">IF(NOT(T34=""),(T34-$W34)^2,"")</f>
        <v>42.25</v>
      </c>
      <c r="Y34" s="66" t="str">
        <f aca="false">IF(NOT(U34=""),(U34-$W34)^2,"")</f>
        <v/>
      </c>
      <c r="Z34" s="66" t="n">
        <f aca="false">IF(NOT(V34=""),(V34-$W34)^2,"")</f>
        <v>42.25</v>
      </c>
      <c r="AA34" s="0" t="n">
        <f aca="false">IF(COUNT(X34:Z34)&gt;0,SUM(X34:Z34)/COUNT(X34:Z34),"")</f>
        <v>42.25</v>
      </c>
      <c r="AB34" s="0" t="n">
        <f aca="false">IF(NOT(AA34=""),SQRT(AA34),"")</f>
        <v>6.5</v>
      </c>
      <c r="AD34" s="66" t="n">
        <f aca="false">IF(NOT(W34=""),W34-AG34,"")</f>
        <v>-56.5</v>
      </c>
      <c r="AE34" s="66" t="n">
        <f aca="false">IF(NOT(W34=""),W34+AG34,"")</f>
        <v>59.5</v>
      </c>
      <c r="AF34" s="63" t="n">
        <v>6.5</v>
      </c>
      <c r="AG34" s="63" t="n">
        <v>58</v>
      </c>
      <c r="AH34" s="63"/>
    </row>
    <row r="35" customFormat="false" ht="12.8" hidden="false" customHeight="false" outlineLevel="0" collapsed="false">
      <c r="A35" s="56" t="s">
        <v>34</v>
      </c>
      <c r="B35" s="57" t="n">
        <v>15</v>
      </c>
      <c r="C35" s="56"/>
      <c r="D35" s="25" t="n">
        <v>842</v>
      </c>
      <c r="E35" s="77" t="n">
        <v>823</v>
      </c>
      <c r="F35" s="0" t="n">
        <v>833</v>
      </c>
      <c r="G35" s="0" t="str">
        <f aca="false">IF(F35="", "", IF(C35="","", F35-C35))</f>
        <v/>
      </c>
      <c r="H35" s="0" t="n">
        <f aca="false">IF(F35="", "", IF(D35="","", F35-D35))</f>
        <v>-9</v>
      </c>
      <c r="I35" s="0" t="n">
        <f aca="false">IF(F35="", "", IF(E35="","", F35-E35))</f>
        <v>10</v>
      </c>
      <c r="J35" s="66" t="n">
        <f aca="false">IF(SUM(C35:E35)&gt;0,AVERAGE(G35:I35),"")</f>
        <v>0.5</v>
      </c>
      <c r="K35" s="66" t="str">
        <f aca="false">IF(NOT(G35=""),(G35-$J35)^2,"")</f>
        <v/>
      </c>
      <c r="L35" s="66" t="n">
        <f aca="false">IF(NOT(H35=""),(H35-$J35)^2,"")</f>
        <v>90.25</v>
      </c>
      <c r="M35" s="66" t="n">
        <f aca="false">IF(NOT(I35=""),(I35-$J35)^2,"")</f>
        <v>90.25</v>
      </c>
      <c r="N35" s="66" t="n">
        <f aca="false">IF(COUNT(K35:M35)&gt;0,SUM(K35:M35)/COUNT(K35:M35),"")</f>
        <v>90.25</v>
      </c>
      <c r="O35" s="66" t="n">
        <f aca="false">IF(NOT(N35=""),SQRT(N35),"")</f>
        <v>9.5</v>
      </c>
      <c r="P35" s="66" t="n">
        <f aca="false">IF(COUNT(K35:M35)&gt;0,VLOOKUP(COUNT(K35:M35),'t values'!$A$3:$C$5,3)*(O35/SQRT(COUNT(K35:M35))),"")</f>
        <v>85.3527382366846</v>
      </c>
      <c r="Q35" s="66" t="n">
        <f aca="false">IF(NOT(P35=""),J35-P35,"")</f>
        <v>-84.8527382366846</v>
      </c>
      <c r="R35" s="66" t="n">
        <f aca="false">IF(NOT(P35=""),J35+P35,"")</f>
        <v>85.8527382366846</v>
      </c>
      <c r="S35" s="0" t="n">
        <v>1016</v>
      </c>
      <c r="T35" s="0" t="str">
        <f aca="false">IF(S35="", "", IF(C35="","", S35-C35))</f>
        <v/>
      </c>
      <c r="U35" s="0" t="n">
        <f aca="false">IF($S35="", "", IF(D35="","", $S35-D35))</f>
        <v>174</v>
      </c>
      <c r="V35" s="0" t="n">
        <f aca="false">IF($S35="", "", IF(E35="","", $S35-E35))</f>
        <v>193</v>
      </c>
      <c r="W35" s="66" t="n">
        <f aca="false">IF(SUM($C35:$E35)&gt;0,IF(NOT(S35=""),AVERAGE(T35:V35),""),"")</f>
        <v>183.5</v>
      </c>
      <c r="X35" s="66" t="str">
        <f aca="false">IF(NOT(T35=""),(T35-$W35)^2,"")</f>
        <v/>
      </c>
      <c r="Y35" s="66" t="n">
        <f aca="false">IF(NOT(U35=""),(U35-$W35)^2,"")</f>
        <v>90.25</v>
      </c>
      <c r="Z35" s="66" t="n">
        <f aca="false">IF(NOT(V35=""),(V35-$W35)^2,"")</f>
        <v>90.25</v>
      </c>
      <c r="AA35" s="0" t="n">
        <f aca="false">IF(COUNT(X35:Z35)&gt;0,SUM(X35:Z35)/COUNT(X35:Z35),"")</f>
        <v>90.25</v>
      </c>
      <c r="AB35" s="0" t="n">
        <f aca="false">IF(NOT(AA35=""),SQRT(AA35),"")</f>
        <v>9.5</v>
      </c>
      <c r="AD35" s="66" t="n">
        <f aca="false">IF(NOT(W35=""),W35-AG35,"")</f>
        <v>98.5</v>
      </c>
      <c r="AE35" s="66" t="n">
        <f aca="false">IF(NOT(W35=""),W35+AG35,"")</f>
        <v>268.5</v>
      </c>
      <c r="AF35" s="63" t="n">
        <v>9.5</v>
      </c>
      <c r="AG35" s="63" t="n">
        <v>85</v>
      </c>
      <c r="AH35" s="63"/>
    </row>
    <row r="36" customFormat="false" ht="12.8" hidden="false" customHeight="false" outlineLevel="0" collapsed="false">
      <c r="A36" s="56" t="s">
        <v>34</v>
      </c>
      <c r="B36" s="57" t="n">
        <v>20</v>
      </c>
      <c r="C36" s="56" t="n">
        <v>686</v>
      </c>
      <c r="D36" s="25" t="n">
        <v>681</v>
      </c>
      <c r="E36" s="77" t="n">
        <v>643</v>
      </c>
      <c r="F36" s="0" t="n">
        <v>773</v>
      </c>
      <c r="G36" s="0" t="n">
        <f aca="false">IF(F36="", "", IF(C36="","", F36-C36))</f>
        <v>87</v>
      </c>
      <c r="H36" s="0" t="n">
        <f aca="false">IF(F36="", "", IF(D36="","", F36-D36))</f>
        <v>92</v>
      </c>
      <c r="I36" s="0" t="n">
        <f aca="false">IF(F36="", "", IF(E36="","", F36-E36))</f>
        <v>130</v>
      </c>
      <c r="J36" s="66" t="n">
        <f aca="false">IF(SUM(C36:E36)&gt;0,AVERAGE(G36:I36),"")</f>
        <v>103</v>
      </c>
      <c r="K36" s="66" t="n">
        <f aca="false">IF(NOT(G36=""),(G36-$J36)^2,"")</f>
        <v>256</v>
      </c>
      <c r="L36" s="66" t="n">
        <f aca="false">IF(NOT(H36=""),(H36-$J36)^2,"")</f>
        <v>121</v>
      </c>
      <c r="M36" s="66" t="n">
        <f aca="false">IF(NOT(I36=""),(I36-$J36)^2,"")</f>
        <v>729</v>
      </c>
      <c r="N36" s="66" t="n">
        <f aca="false">IF(COUNT(K36:M36)&gt;0,SUM(K36:M36)/COUNT(K36:M36),"")</f>
        <v>368.666666666667</v>
      </c>
      <c r="O36" s="66" t="n">
        <f aca="false">IF(NOT(N36=""),SQRT(N36),"")</f>
        <v>19.2006944318862</v>
      </c>
      <c r="P36" s="66" t="n">
        <f aca="false">IF(COUNT(K36:M36)&gt;0,VLOOKUP(COUNT(K36:M36),'t values'!$A$3:$C$5,3)*(O36/SQRT(COUNT(K36:M36))),"")</f>
        <v>47.7010188034689</v>
      </c>
      <c r="Q36" s="66" t="n">
        <f aca="false">IF(NOT(P36=""),J36-P36,"")</f>
        <v>55.2989811965311</v>
      </c>
      <c r="R36" s="66" t="n">
        <f aca="false">IF(NOT(P36=""),J36+P36,"")</f>
        <v>150.701018803469</v>
      </c>
      <c r="S36" s="0" t="n">
        <v>801</v>
      </c>
      <c r="T36" s="0" t="n">
        <f aca="false">IF(S36="", "", IF(C36="","", S36-C36))</f>
        <v>115</v>
      </c>
      <c r="U36" s="0" t="n">
        <f aca="false">IF($S36="", "", IF(D36="","", $S36-D36))</f>
        <v>120</v>
      </c>
      <c r="V36" s="0" t="n">
        <f aca="false">IF($S36="", "", IF(E36="","", $S36-E36))</f>
        <v>158</v>
      </c>
      <c r="W36" s="66" t="n">
        <f aca="false">IF(SUM($C36:$E36)&gt;0,IF(NOT(S36=""),AVERAGE(T36:V36),""),"")</f>
        <v>131</v>
      </c>
      <c r="X36" s="66" t="n">
        <f aca="false">IF(NOT(T36=""),(T36-$W36)^2,"")</f>
        <v>256</v>
      </c>
      <c r="Y36" s="66" t="n">
        <f aca="false">IF(NOT(U36=""),(U36-$W36)^2,"")</f>
        <v>121</v>
      </c>
      <c r="Z36" s="66" t="n">
        <f aca="false">IF(NOT(V36=""),(V36-$W36)^2,"")</f>
        <v>729</v>
      </c>
      <c r="AA36" s="0" t="n">
        <f aca="false">IF(COUNT(X36:Z36)&gt;0,SUM(X36:Z36)/COUNT(X36:Z36),"")</f>
        <v>368.666666666667</v>
      </c>
      <c r="AB36" s="0" t="n">
        <f aca="false">IF(NOT(AA36=""),SQRT(AA36),"")</f>
        <v>19.2006944318862</v>
      </c>
      <c r="AD36" s="66" t="n">
        <f aca="false">IF(NOT(W36=""),W36-AG36,"")</f>
        <v>83</v>
      </c>
      <c r="AE36" s="66" t="n">
        <f aca="false">IF(NOT(W36=""),W36+AG36,"")</f>
        <v>179</v>
      </c>
      <c r="AF36" s="63" t="n">
        <v>19.2006944318862</v>
      </c>
      <c r="AG36" s="63" t="n">
        <v>48</v>
      </c>
      <c r="AH36" s="63"/>
    </row>
    <row r="37" customFormat="false" ht="12.8" hidden="false" customHeight="false" outlineLevel="0" collapsed="false">
      <c r="A37" s="56" t="s">
        <v>34</v>
      </c>
      <c r="B37" s="57" t="n">
        <v>30</v>
      </c>
      <c r="C37" s="56" t="n">
        <v>553</v>
      </c>
      <c r="D37" s="25" t="n">
        <v>518</v>
      </c>
      <c r="E37" s="77" t="n">
        <v>447</v>
      </c>
      <c r="F37" s="0" t="n">
        <v>586</v>
      </c>
      <c r="G37" s="0" t="n">
        <f aca="false">IF(F37="", "", IF(C37="","", F37-C37))</f>
        <v>33</v>
      </c>
      <c r="H37" s="0" t="n">
        <f aca="false">IF(F37="", "", IF(D37="","", F37-D37))</f>
        <v>68</v>
      </c>
      <c r="I37" s="0" t="n">
        <f aca="false">IF(F37="", "", IF(E37="","", F37-E37))</f>
        <v>139</v>
      </c>
      <c r="J37" s="66" t="n">
        <f aca="false">IF(SUM(C37:E37)&gt;0,AVERAGE(G37:I37),"")</f>
        <v>80</v>
      </c>
      <c r="K37" s="66" t="n">
        <f aca="false">IF(NOT(G37=""),(G37-$J37)^2,"")</f>
        <v>2209</v>
      </c>
      <c r="L37" s="66" t="n">
        <f aca="false">IF(NOT(H37=""),(H37-$J37)^2,"")</f>
        <v>144</v>
      </c>
      <c r="M37" s="66" t="n">
        <f aca="false">IF(NOT(I37=""),(I37-$J37)^2,"")</f>
        <v>3481</v>
      </c>
      <c r="N37" s="66" t="n">
        <f aca="false">IF(COUNT(K37:M37)&gt;0,SUM(K37:M37)/COUNT(K37:M37),"")</f>
        <v>1944.66666666667</v>
      </c>
      <c r="O37" s="66" t="n">
        <f aca="false">IF(NOT(N37=""),SQRT(N37),"")</f>
        <v>44.0983748755741</v>
      </c>
      <c r="P37" s="66" t="n">
        <f aca="false">IF(COUNT(K37:M37)&gt;0,VLOOKUP(COUNT(K37:M37),'t values'!$A$3:$C$5,3)*(O37/SQRT(COUNT(K37:M37))),"")</f>
        <v>109.555277628338</v>
      </c>
      <c r="Q37" s="66" t="n">
        <f aca="false">IF(NOT(P37=""),J37-P37,"")</f>
        <v>-29.555277628338</v>
      </c>
      <c r="R37" s="66" t="n">
        <f aca="false">IF(NOT(P37=""),J37+P37,"")</f>
        <v>189.555277628338</v>
      </c>
      <c r="S37" s="0" t="n">
        <v>727</v>
      </c>
      <c r="T37" s="0" t="n">
        <f aca="false">IF(S37="", "", IF(C37="","", S37-C37))</f>
        <v>174</v>
      </c>
      <c r="U37" s="0" t="n">
        <f aca="false">IF($S37="", "", IF(D37="","", $S37-D37))</f>
        <v>209</v>
      </c>
      <c r="V37" s="0" t="n">
        <f aca="false">IF($S37="", "", IF(E37="","", $S37-E37))</f>
        <v>280</v>
      </c>
      <c r="W37" s="66" t="n">
        <f aca="false">IF(SUM($C37:$E37)&gt;0,IF(NOT(S37=""),AVERAGE(T37:V37),""),"")</f>
        <v>221</v>
      </c>
      <c r="X37" s="66" t="n">
        <f aca="false">IF(NOT(T37=""),(T37-$W37)^2,"")</f>
        <v>2209</v>
      </c>
      <c r="Y37" s="66" t="n">
        <f aca="false">IF(NOT(U37=""),(U37-$W37)^2,"")</f>
        <v>144</v>
      </c>
      <c r="Z37" s="66" t="n">
        <f aca="false">IF(NOT(V37=""),(V37-$W37)^2,"")</f>
        <v>3481</v>
      </c>
      <c r="AA37" s="0" t="n">
        <f aca="false">IF(COUNT(X37:Z37)&gt;0,SUM(X37:Z37)/COUNT(X37:Z37),"")</f>
        <v>1944.66666666667</v>
      </c>
      <c r="AB37" s="0" t="n">
        <f aca="false">IF(NOT(AA37=""),SQRT(AA37),"")</f>
        <v>44.0983748755741</v>
      </c>
      <c r="AD37" s="66" t="n">
        <f aca="false">IF(NOT(W37=""),W37-AG37,"")</f>
        <v>111</v>
      </c>
      <c r="AE37" s="66" t="n">
        <f aca="false">IF(NOT(W37=""),W37+AG37,"")</f>
        <v>331</v>
      </c>
      <c r="AF37" s="63" t="n">
        <v>44.0983748755741</v>
      </c>
      <c r="AG37" s="63" t="n">
        <v>110</v>
      </c>
      <c r="AH37" s="63"/>
    </row>
    <row r="38" customFormat="false" ht="12.8" hidden="false" customHeight="false" outlineLevel="0" collapsed="false">
      <c r="A38" s="56" t="s">
        <v>34</v>
      </c>
      <c r="B38" s="57" t="n">
        <v>40</v>
      </c>
      <c r="C38" s="56" t="n">
        <v>437</v>
      </c>
      <c r="D38" s="25" t="n">
        <v>366</v>
      </c>
      <c r="E38" s="77" t="n">
        <v>412</v>
      </c>
      <c r="F38" s="0" t="n">
        <v>578</v>
      </c>
      <c r="G38" s="0" t="n">
        <f aca="false">IF(F38="", "", IF(C38="","", F38-C38))</f>
        <v>141</v>
      </c>
      <c r="H38" s="0" t="n">
        <f aca="false">IF(F38="", "", IF(D38="","", F38-D38))</f>
        <v>212</v>
      </c>
      <c r="I38" s="0" t="n">
        <f aca="false">IF(F38="", "", IF(E38="","", F38-E38))</f>
        <v>166</v>
      </c>
      <c r="J38" s="66" t="n">
        <f aca="false">IF(SUM(C38:E38)&gt;0,AVERAGE(G38:I38),"")</f>
        <v>173</v>
      </c>
      <c r="K38" s="66" t="n">
        <f aca="false">IF(NOT(G38=""),(G38-$J38)^2,"")</f>
        <v>1024</v>
      </c>
      <c r="L38" s="66" t="n">
        <f aca="false">IF(NOT(H38=""),(H38-$J38)^2,"")</f>
        <v>1521</v>
      </c>
      <c r="M38" s="66" t="n">
        <f aca="false">IF(NOT(I38=""),(I38-$J38)^2,"")</f>
        <v>49</v>
      </c>
      <c r="N38" s="66" t="n">
        <f aca="false">IF(COUNT(K38:M38)&gt;0,SUM(K38:M38)/COUNT(K38:M38),"")</f>
        <v>864.666666666667</v>
      </c>
      <c r="O38" s="66" t="n">
        <f aca="false">IF(NOT(N38=""),SQRT(N38),"")</f>
        <v>29.4052149569879</v>
      </c>
      <c r="P38" s="66" t="n">
        <f aca="false">IF(COUNT(K38:M38)&gt;0,VLOOKUP(COUNT(K38:M38),'t values'!$A$3:$C$5,3)*(O38/SQRT(COUNT(K38:M38))),"")</f>
        <v>73.0524990415949</v>
      </c>
      <c r="Q38" s="66" t="n">
        <f aca="false">IF(NOT(P38=""),J38-P38,"")</f>
        <v>99.9475009584051</v>
      </c>
      <c r="R38" s="66" t="n">
        <f aca="false">IF(NOT(P38=""),J38+P38,"")</f>
        <v>246.052499041595</v>
      </c>
      <c r="S38" s="0" t="n">
        <v>511</v>
      </c>
      <c r="T38" s="0" t="n">
        <f aca="false">IF(S38="", "", IF(C38="","", S38-C38))</f>
        <v>74</v>
      </c>
      <c r="U38" s="0" t="n">
        <f aca="false">IF($S38="", "", IF(D38="","", $S38-D38))</f>
        <v>145</v>
      </c>
      <c r="V38" s="0" t="n">
        <f aca="false">IF($S38="", "", IF(E38="","", $S38-E38))</f>
        <v>99</v>
      </c>
      <c r="W38" s="66" t="n">
        <f aca="false">IF(SUM($C38:$E38)&gt;0,IF(NOT(S38=""),AVERAGE(T38:V38),""),"")</f>
        <v>106</v>
      </c>
      <c r="X38" s="66" t="n">
        <f aca="false">IF(NOT(T38=""),(T38-$W38)^2,"")</f>
        <v>1024</v>
      </c>
      <c r="Y38" s="66" t="n">
        <f aca="false">IF(NOT(U38=""),(U38-$W38)^2,"")</f>
        <v>1521</v>
      </c>
      <c r="Z38" s="66" t="n">
        <f aca="false">IF(NOT(V38=""),(V38-$W38)^2,"")</f>
        <v>49</v>
      </c>
      <c r="AA38" s="0" t="n">
        <f aca="false">IF(COUNT(X38:Z38)&gt;0,SUM(X38:Z38)/COUNT(X38:Z38),"")</f>
        <v>864.666666666667</v>
      </c>
      <c r="AB38" s="0" t="n">
        <f aca="false">IF(NOT(AA38=""),SQRT(AA38),"")</f>
        <v>29.4052149569879</v>
      </c>
      <c r="AD38" s="66" t="n">
        <f aca="false">IF(NOT(W38=""),W38-AG38,"")</f>
        <v>33</v>
      </c>
      <c r="AE38" s="66" t="n">
        <f aca="false">IF(NOT(W38=""),W38+AG38,"")</f>
        <v>179</v>
      </c>
      <c r="AF38" s="63" t="n">
        <v>29.4052149569879</v>
      </c>
      <c r="AG38" s="63" t="n">
        <v>73</v>
      </c>
      <c r="AH38" s="63"/>
    </row>
    <row r="39" customFormat="false" ht="12.8" hidden="false" customHeight="false" outlineLevel="0" collapsed="false">
      <c r="A39" s="56" t="s">
        <v>34</v>
      </c>
      <c r="B39" s="57" t="n">
        <v>50</v>
      </c>
      <c r="C39" s="56" t="n">
        <v>327</v>
      </c>
      <c r="D39" s="25" t="n">
        <v>353</v>
      </c>
      <c r="E39" s="77" t="n">
        <v>328</v>
      </c>
      <c r="F39" s="0" t="n">
        <v>462</v>
      </c>
      <c r="G39" s="0" t="n">
        <f aca="false">IF(F39="", "", IF(C39="","", F39-C39))</f>
        <v>135</v>
      </c>
      <c r="H39" s="0" t="n">
        <f aca="false">IF(F39="", "", IF(D39="","", F39-D39))</f>
        <v>109</v>
      </c>
      <c r="I39" s="0" t="n">
        <f aca="false">IF(F39="", "", IF(E39="","", F39-E39))</f>
        <v>134</v>
      </c>
      <c r="J39" s="66" t="n">
        <f aca="false">IF(SUM(C39:E39)&gt;0,AVERAGE(G39:I39),"")</f>
        <v>126</v>
      </c>
      <c r="K39" s="66" t="n">
        <f aca="false">IF(NOT(G39=""),(G39-$J39)^2,"")</f>
        <v>81</v>
      </c>
      <c r="L39" s="66" t="n">
        <f aca="false">IF(NOT(H39=""),(H39-$J39)^2,"")</f>
        <v>289</v>
      </c>
      <c r="M39" s="66" t="n">
        <f aca="false">IF(NOT(I39=""),(I39-$J39)^2,"")</f>
        <v>64</v>
      </c>
      <c r="N39" s="66" t="n">
        <f aca="false">IF(COUNT(K39:M39)&gt;0,SUM(K39:M39)/COUNT(K39:M39),"")</f>
        <v>144.666666666667</v>
      </c>
      <c r="O39" s="66" t="n">
        <f aca="false">IF(NOT(N39=""),SQRT(N39),"")</f>
        <v>12.0277457017791</v>
      </c>
      <c r="P39" s="66" t="n">
        <f aca="false">IF(COUNT(K39:M39)&gt;0,VLOOKUP(COUNT(K39:M39),'t values'!$A$3:$C$5,3)*(O39/SQRT(COUNT(K39:M39))),"")</f>
        <v>29.8809882069222</v>
      </c>
      <c r="Q39" s="66" t="n">
        <f aca="false">IF(NOT(P39=""),J39-P39,"")</f>
        <v>96.1190117930778</v>
      </c>
      <c r="R39" s="66" t="n">
        <f aca="false">IF(NOT(P39=""),J39+P39,"")</f>
        <v>155.880988206922</v>
      </c>
      <c r="S39" s="0" t="n">
        <v>690</v>
      </c>
      <c r="T39" s="0" t="n">
        <f aca="false">IF(S39="", "", IF(C39="","", S39-C39))</f>
        <v>363</v>
      </c>
      <c r="U39" s="0" t="n">
        <f aca="false">IF($S39="", "", IF(D39="","", $S39-D39))</f>
        <v>337</v>
      </c>
      <c r="V39" s="0" t="n">
        <f aca="false">IF($S39="", "", IF(E39="","", $S39-E39))</f>
        <v>362</v>
      </c>
      <c r="W39" s="66" t="n">
        <f aca="false">IF(SUM($C39:$E39)&gt;0,IF(NOT(S39=""),AVERAGE(T39:V39),""),"")</f>
        <v>354</v>
      </c>
      <c r="X39" s="66" t="n">
        <f aca="false">IF(NOT(T39=""),(T39-$W39)^2,"")</f>
        <v>81</v>
      </c>
      <c r="Y39" s="66" t="n">
        <f aca="false">IF(NOT(U39=""),(U39-$W39)^2,"")</f>
        <v>289</v>
      </c>
      <c r="Z39" s="66" t="n">
        <f aca="false">IF(NOT(V39=""),(V39-$W39)^2,"")</f>
        <v>64</v>
      </c>
      <c r="AA39" s="0" t="n">
        <f aca="false">IF(COUNT(X39:Z39)&gt;0,SUM(X39:Z39)/COUNT(X39:Z39),"")</f>
        <v>144.666666666667</v>
      </c>
      <c r="AB39" s="0" t="n">
        <f aca="false">IF(NOT(AA39=""),SQRT(AA39),"")</f>
        <v>12.0277457017791</v>
      </c>
      <c r="AD39" s="66" t="n">
        <f aca="false">IF(NOT(W39=""),W39-AG39,"")</f>
        <v>324</v>
      </c>
      <c r="AE39" s="66" t="n">
        <f aca="false">IF(NOT(W39=""),W39+AG39,"")</f>
        <v>384</v>
      </c>
      <c r="AF39" s="63" t="n">
        <v>12.0277457017791</v>
      </c>
      <c r="AG39" s="63" t="n">
        <v>30</v>
      </c>
      <c r="AH39" s="63"/>
    </row>
    <row r="40" customFormat="false" ht="12.8" hidden="false" customHeight="false" outlineLevel="0" collapsed="false">
      <c r="A40" s="56" t="s">
        <v>34</v>
      </c>
      <c r="B40" s="57" t="n">
        <v>64</v>
      </c>
      <c r="C40" s="56" t="n">
        <v>276</v>
      </c>
      <c r="D40" s="25" t="n">
        <v>270</v>
      </c>
      <c r="E40" s="77" t="n">
        <v>267</v>
      </c>
      <c r="F40" s="0" t="n">
        <v>417</v>
      </c>
      <c r="G40" s="0" t="n">
        <f aca="false">IF(F40="", "", IF(C40="","", F40-C40))</f>
        <v>141</v>
      </c>
      <c r="H40" s="0" t="n">
        <f aca="false">IF(F40="", "", IF(D40="","", F40-D40))</f>
        <v>147</v>
      </c>
      <c r="I40" s="0" t="n">
        <f aca="false">IF(F40="", "", IF(E40="","", F40-E40))</f>
        <v>150</v>
      </c>
      <c r="J40" s="66" t="n">
        <f aca="false">IF(SUM(C40:E40)&gt;0,AVERAGE(G40:I40),"")</f>
        <v>146</v>
      </c>
      <c r="K40" s="66" t="n">
        <f aca="false">IF(NOT(G40=""),(G40-$J40)^2,"")</f>
        <v>25</v>
      </c>
      <c r="L40" s="66" t="n">
        <f aca="false">IF(NOT(H40=""),(H40-$J40)^2,"")</f>
        <v>1</v>
      </c>
      <c r="M40" s="66" t="n">
        <f aca="false">IF(NOT(I40=""),(I40-$J40)^2,"")</f>
        <v>16</v>
      </c>
      <c r="N40" s="66" t="n">
        <f aca="false">IF(COUNT(K40:M40)&gt;0,SUM(K40:M40)/COUNT(K40:M40),"")</f>
        <v>14</v>
      </c>
      <c r="O40" s="66" t="n">
        <f aca="false">IF(NOT(N40=""),SQRT(N40),"")</f>
        <v>3.74165738677394</v>
      </c>
      <c r="P40" s="66" t="n">
        <f aca="false">IF(COUNT(K40:M40)&gt;0,VLOOKUP(COUNT(K40:M40),'t values'!$A$3:$C$5,3)*(O40/SQRT(COUNT(K40:M40))),"")</f>
        <v>9.29554240841634</v>
      </c>
      <c r="Q40" s="66" t="n">
        <f aca="false">IF(NOT(P40=""),J40-P40,"")</f>
        <v>136.704457591584</v>
      </c>
      <c r="R40" s="66" t="n">
        <f aca="false">IF(NOT(P40=""),J40+P40,"")</f>
        <v>155.295542408416</v>
      </c>
      <c r="S40" s="0" t="n">
        <v>507</v>
      </c>
      <c r="T40" s="0" t="n">
        <f aca="false">IF(S40="", "", IF(C40="","", S40-C40))</f>
        <v>231</v>
      </c>
      <c r="U40" s="0" t="n">
        <f aca="false">IF($S40="", "", IF(D40="","", $S40-D40))</f>
        <v>237</v>
      </c>
      <c r="V40" s="0" t="n">
        <f aca="false">IF($S40="", "", IF(E40="","", $S40-E40))</f>
        <v>240</v>
      </c>
      <c r="W40" s="66" t="n">
        <f aca="false">IF(SUM($C40:$E40)&gt;0,IF(NOT(S40=""),AVERAGE(T40:V40),""),"")</f>
        <v>236</v>
      </c>
      <c r="X40" s="66" t="n">
        <f aca="false">IF(NOT(T40=""),(T40-$W40)^2,"")</f>
        <v>25</v>
      </c>
      <c r="Y40" s="66" t="n">
        <f aca="false">IF(NOT(U40=""),(U40-$W40)^2,"")</f>
        <v>1</v>
      </c>
      <c r="Z40" s="66" t="n">
        <f aca="false">IF(NOT(V40=""),(V40-$W40)^2,"")</f>
        <v>16</v>
      </c>
      <c r="AA40" s="0" t="n">
        <f aca="false">IF(COUNT(X40:Z40)&gt;0,SUM(X40:Z40)/COUNT(X40:Z40),"")</f>
        <v>14</v>
      </c>
      <c r="AB40" s="0" t="n">
        <f aca="false">IF(NOT(AA40=""),SQRT(AA40),"")</f>
        <v>3.74165738677394</v>
      </c>
      <c r="AD40" s="66" t="n">
        <f aca="false">IF(NOT(W40=""),W40-AG40,"")</f>
        <v>227</v>
      </c>
      <c r="AE40" s="66" t="n">
        <f aca="false">IF(NOT(W40=""),W40+AG40,"")</f>
        <v>245</v>
      </c>
      <c r="AF40" s="63" t="n">
        <v>3.74165738677394</v>
      </c>
      <c r="AG40" s="63" t="n">
        <v>9</v>
      </c>
      <c r="AH40" s="63"/>
    </row>
    <row r="41" customFormat="false" ht="12.8" hidden="false" customHeight="false" outlineLevel="0" collapsed="false">
      <c r="A41" s="56" t="s">
        <v>34</v>
      </c>
      <c r="B41" s="57" t="n">
        <v>82</v>
      </c>
      <c r="C41" s="56" t="n">
        <v>224</v>
      </c>
      <c r="D41" s="25" t="n">
        <v>249</v>
      </c>
      <c r="E41" s="77" t="n">
        <v>232</v>
      </c>
      <c r="F41" s="0" t="n">
        <v>425</v>
      </c>
      <c r="G41" s="0" t="n">
        <f aca="false">IF(F41="", "", IF(C41="","", F41-C41))</f>
        <v>201</v>
      </c>
      <c r="H41" s="0" t="n">
        <f aca="false">IF(F41="", "", IF(D41="","", F41-D41))</f>
        <v>176</v>
      </c>
      <c r="I41" s="0" t="n">
        <f aca="false">IF(F41="", "", IF(E41="","", F41-E41))</f>
        <v>193</v>
      </c>
      <c r="J41" s="66" t="n">
        <f aca="false">IF(SUM(C41:E41)&gt;0,AVERAGE(G41:I41),"")</f>
        <v>190</v>
      </c>
      <c r="K41" s="66" t="n">
        <f aca="false">IF(NOT(G41=""),(G41-$J41)^2,"")</f>
        <v>121</v>
      </c>
      <c r="L41" s="66" t="n">
        <f aca="false">IF(NOT(H41=""),(H41-$J41)^2,"")</f>
        <v>196</v>
      </c>
      <c r="M41" s="66" t="n">
        <f aca="false">IF(NOT(I41=""),(I41-$J41)^2,"")</f>
        <v>9</v>
      </c>
      <c r="N41" s="66" t="n">
        <f aca="false">IF(COUNT(K41:M41)&gt;0,SUM(K41:M41)/COUNT(K41:M41),"")</f>
        <v>108.666666666667</v>
      </c>
      <c r="O41" s="66" t="n">
        <f aca="false">IF(NOT(N41=""),SQRT(N41),"")</f>
        <v>10.4243305140746</v>
      </c>
      <c r="P41" s="66" t="n">
        <f aca="false">IF(COUNT(K41:M41)&gt;0,VLOOKUP(COUNT(K41:M41),'t values'!$A$3:$C$5,3)*(O41/SQRT(COUNT(K41:M41))),"")</f>
        <v>25.8975625923024</v>
      </c>
      <c r="Q41" s="66" t="n">
        <f aca="false">IF(NOT(P41=""),J41-P41,"")</f>
        <v>164.102437407698</v>
      </c>
      <c r="R41" s="66" t="n">
        <f aca="false">IF(NOT(P41=""),J41+P41,"")</f>
        <v>215.897562592302</v>
      </c>
      <c r="S41" s="0" t="n">
        <v>506</v>
      </c>
      <c r="T41" s="0" t="n">
        <f aca="false">IF(S41="", "", IF(C41="","", S41-C41))</f>
        <v>282</v>
      </c>
      <c r="U41" s="0" t="n">
        <f aca="false">IF($S41="", "", IF(D41="","", $S41-D41))</f>
        <v>257</v>
      </c>
      <c r="V41" s="0" t="n">
        <f aca="false">IF($S41="", "", IF(E41="","", $S41-E41))</f>
        <v>274</v>
      </c>
      <c r="W41" s="66" t="n">
        <f aca="false">IF(SUM($C41:$E41)&gt;0,IF(NOT(S41=""),AVERAGE(T41:V41),""),"")</f>
        <v>271</v>
      </c>
      <c r="X41" s="66" t="n">
        <f aca="false">IF(NOT(T41=""),(T41-$W41)^2,"")</f>
        <v>121</v>
      </c>
      <c r="Y41" s="66" t="n">
        <f aca="false">IF(NOT(U41=""),(U41-$W41)^2,"")</f>
        <v>196</v>
      </c>
      <c r="Z41" s="66" t="n">
        <f aca="false">IF(NOT(V41=""),(V41-$W41)^2,"")</f>
        <v>9</v>
      </c>
      <c r="AA41" s="0" t="n">
        <f aca="false">IF(COUNT(X41:Z41)&gt;0,SUM(X41:Z41)/COUNT(X41:Z41),"")</f>
        <v>108.666666666667</v>
      </c>
      <c r="AB41" s="0" t="n">
        <f aca="false">IF(NOT(AA41=""),SQRT(AA41),"")</f>
        <v>10.4243305140746</v>
      </c>
      <c r="AD41" s="66" t="n">
        <f aca="false">IF(NOT(W41=""),W41-AG41,"")</f>
        <v>245</v>
      </c>
      <c r="AE41" s="66" t="n">
        <f aca="false">IF(NOT(W41=""),W41+AG41,"")</f>
        <v>297</v>
      </c>
      <c r="AF41" s="63" t="n">
        <v>10.4243305140746</v>
      </c>
      <c r="AG41" s="63" t="n">
        <v>26</v>
      </c>
      <c r="AH41" s="63"/>
    </row>
    <row r="42" customFormat="false" ht="12.8" hidden="false" customHeight="false" outlineLevel="0" collapsed="false">
      <c r="A42" s="56" t="s">
        <v>34</v>
      </c>
      <c r="B42" s="57" t="n">
        <v>100</v>
      </c>
      <c r="C42" s="56" t="n">
        <v>207</v>
      </c>
      <c r="D42" s="25" t="n">
        <v>306</v>
      </c>
      <c r="E42" s="77" t="n">
        <v>197</v>
      </c>
      <c r="F42" s="0" t="n">
        <v>362</v>
      </c>
      <c r="G42" s="0" t="n">
        <f aca="false">IF(F42="", "", IF(C42="","", F42-C42))</f>
        <v>155</v>
      </c>
      <c r="H42" s="0" t="n">
        <f aca="false">IF(F42="", "", IF(D42="","", F42-D42))</f>
        <v>56</v>
      </c>
      <c r="I42" s="0" t="n">
        <f aca="false">IF(F42="", "", IF(E42="","", F42-E42))</f>
        <v>165</v>
      </c>
      <c r="J42" s="66" t="n">
        <f aca="false">IF(SUM(C42:E42)&gt;0,AVERAGE(G42:I42),"")</f>
        <v>125.333333333333</v>
      </c>
      <c r="K42" s="66" t="n">
        <f aca="false">IF(NOT(G42=""),(G42-$J42)^2,"")</f>
        <v>880.111111111111</v>
      </c>
      <c r="L42" s="66" t="n">
        <f aca="false">IF(NOT(H42=""),(H42-$J42)^2,"")</f>
        <v>4807.11111111111</v>
      </c>
      <c r="M42" s="66" t="n">
        <f aca="false">IF(NOT(I42=""),(I42-$J42)^2,"")</f>
        <v>1573.44444444444</v>
      </c>
      <c r="N42" s="66" t="n">
        <f aca="false">IF(COUNT(K42:M42)&gt;0,SUM(K42:M42)/COUNT(K42:M42),"")</f>
        <v>2420.22222222222</v>
      </c>
      <c r="O42" s="66" t="n">
        <f aca="false">IF(NOT(N42=""),SQRT(N42),"")</f>
        <v>49.1957541076689</v>
      </c>
      <c r="P42" s="66" t="n">
        <f aca="false">IF(COUNT(K42:M42)&gt;0,VLOOKUP(COUNT(K42:M42),'t values'!$A$3:$C$5,3)*(O42/SQRT(COUNT(K42:M42))),"")</f>
        <v>122.218891616943</v>
      </c>
      <c r="Q42" s="66" t="n">
        <f aca="false">IF(NOT(P42=""),J42-P42,"")</f>
        <v>3.11444171639027</v>
      </c>
      <c r="R42" s="66" t="n">
        <f aca="false">IF(NOT(P42=""),J42+P42,"")</f>
        <v>247.552224950276</v>
      </c>
      <c r="S42" s="0" t="n">
        <v>426</v>
      </c>
      <c r="T42" s="0" t="n">
        <f aca="false">IF(S42="", "", IF(C42="","", S42-C42))</f>
        <v>219</v>
      </c>
      <c r="U42" s="0" t="n">
        <f aca="false">IF($S42="", "", IF(D42="","", $S42-D42))</f>
        <v>120</v>
      </c>
      <c r="V42" s="0" t="n">
        <f aca="false">IF($S42="", "", IF(E42="","", $S42-E42))</f>
        <v>229</v>
      </c>
      <c r="W42" s="66" t="n">
        <f aca="false">IF(SUM($C42:$E42)&gt;0,IF(NOT(S42=""),AVERAGE(T42:V42),""),"")</f>
        <v>189.333333333333</v>
      </c>
      <c r="X42" s="66" t="n">
        <f aca="false">IF(NOT(T42=""),(T42-$W42)^2,"")</f>
        <v>880.111111111111</v>
      </c>
      <c r="Y42" s="66" t="n">
        <f aca="false">IF(NOT(U42=""),(U42-$W42)^2,"")</f>
        <v>4807.11111111111</v>
      </c>
      <c r="Z42" s="66" t="n">
        <f aca="false">IF(NOT(V42=""),(V42-$W42)^2,"")</f>
        <v>1573.44444444444</v>
      </c>
      <c r="AA42" s="0" t="n">
        <f aca="false">IF(COUNT(X42:Z42)&gt;0,SUM(X42:Z42)/COUNT(X42:Z42),"")</f>
        <v>2420.22222222222</v>
      </c>
      <c r="AB42" s="0" t="n">
        <f aca="false">IF(NOT(AA42=""),SQRT(AA42),"")</f>
        <v>49.1957541076689</v>
      </c>
      <c r="AD42" s="66" t="n">
        <f aca="false">IF(NOT(W42=""),W42-AG42,"")</f>
        <v>67.3333333333333</v>
      </c>
      <c r="AE42" s="66" t="n">
        <f aca="false">IF(NOT(W42=""),W42+AG42,"")</f>
        <v>311.333333333333</v>
      </c>
      <c r="AF42" s="63" t="n">
        <v>49.1957541076689</v>
      </c>
      <c r="AG42" s="63" t="n">
        <v>122</v>
      </c>
      <c r="AH42" s="63"/>
    </row>
    <row r="43" customFormat="false" ht="12.8" hidden="false" customHeight="false" outlineLevel="0" collapsed="false">
      <c r="A43" s="56" t="s">
        <v>36</v>
      </c>
      <c r="B43" s="57" t="n">
        <v>5</v>
      </c>
      <c r="C43" s="56"/>
      <c r="D43" s="25"/>
      <c r="E43" s="77"/>
      <c r="F43" s="0" t="n">
        <v>6911</v>
      </c>
      <c r="G43" s="0" t="str">
        <f aca="false">IF(F43="", "", IF(C43="","", F43-C43))</f>
        <v/>
      </c>
      <c r="H43" s="0" t="str">
        <f aca="false">IF(F43="", "", IF(D43="","", F43-D43))</f>
        <v/>
      </c>
      <c r="I43" s="0" t="str">
        <f aca="false">IF(F43="", "", IF(E43="","", F43-E43))</f>
        <v/>
      </c>
      <c r="J43" s="66" t="str">
        <f aca="false">IF(SUM(C43:E43)&gt;0,AVERAGE(G43:I43),"")</f>
        <v/>
      </c>
      <c r="K43" s="66" t="str">
        <f aca="false">IF(NOT(G43=""),(G43-$J43)^2,"")</f>
        <v/>
      </c>
      <c r="L43" s="66" t="str">
        <f aca="false">IF(NOT(H43=""),(H43-$J43)^2,"")</f>
        <v/>
      </c>
      <c r="M43" s="66" t="str">
        <f aca="false">IF(NOT(I43=""),(I43-$J43)^2,"")</f>
        <v/>
      </c>
      <c r="N43" s="66" t="str">
        <f aca="false">IF(COUNT(K43:M43)&gt;0,SUM(K43:M43)/COUNT(K43:M43),"")</f>
        <v/>
      </c>
      <c r="O43" s="66" t="str">
        <f aca="false">IF(NOT(N43=""),SQRT(N43),"")</f>
        <v/>
      </c>
      <c r="P43" s="66" t="str">
        <f aca="false">IF(COUNT(K43:M43)&gt;0,VLOOKUP(COUNT(K43:M43),'t values'!$A$3:$C$5,3)*(O43/SQRT(COUNT(K43:M43))),"")</f>
        <v/>
      </c>
      <c r="Q43" s="66" t="str">
        <f aca="false">IF(NOT(P43=""),J43-P43,"")</f>
        <v/>
      </c>
      <c r="R43" s="66" t="str">
        <f aca="false">IF(NOT(P43=""),J43+P43,"")</f>
        <v/>
      </c>
      <c r="T43" s="0" t="str">
        <f aca="false">IF(S43="", "", IF(C43="","", S43-C43))</f>
        <v/>
      </c>
      <c r="U43" s="0" t="str">
        <f aca="false">IF($S43="", "", IF(D43="","", $S43-D43))</f>
        <v/>
      </c>
      <c r="V43" s="0" t="str">
        <f aca="false">IF($S43="", "", IF(E43="","", $S43-E43))</f>
        <v/>
      </c>
      <c r="W43" s="66" t="str">
        <f aca="false">IF(SUM($C43:$E43)&gt;0,IF(NOT(S43=""),AVERAGE(T43:V43),""),"")</f>
        <v/>
      </c>
      <c r="X43" s="66" t="str">
        <f aca="false">IF(NOT(T43=""),(T43-$W43)^2,"")</f>
        <v/>
      </c>
      <c r="Y43" s="66" t="str">
        <f aca="false">IF(NOT(U43=""),(U43-$W43)^2,"")</f>
        <v/>
      </c>
      <c r="Z43" s="66" t="str">
        <f aca="false">IF(NOT(V43=""),(V43-$W43)^2,"")</f>
        <v/>
      </c>
      <c r="AA43" s="0" t="str">
        <f aca="false">IF(COUNT(X43:Z43)&gt;0,SUM(X43:Z43)/COUNT(X43:Z43),"")</f>
        <v/>
      </c>
      <c r="AB43" s="0" t="str">
        <f aca="false">IF(NOT(AA43=""),SQRT(AA43),"")</f>
        <v/>
      </c>
      <c r="AD43" s="66" t="str">
        <f aca="false">IF(NOT(W43=""),W43-AG43,"")</f>
        <v/>
      </c>
      <c r="AE43" s="66" t="str">
        <f aca="false">IF(NOT(W43=""),W43+AG43,"")</f>
        <v/>
      </c>
      <c r="AF43" s="63"/>
      <c r="AG43" s="63"/>
      <c r="AH43" s="63"/>
    </row>
    <row r="44" customFormat="false" ht="12.8" hidden="false" customHeight="false" outlineLevel="0" collapsed="false">
      <c r="A44" s="56" t="s">
        <v>36</v>
      </c>
      <c r="B44" s="57" t="n">
        <v>10</v>
      </c>
      <c r="C44" s="56"/>
      <c r="D44" s="25"/>
      <c r="E44" s="77"/>
      <c r="F44" s="0" t="n">
        <v>3875</v>
      </c>
      <c r="G44" s="0" t="str">
        <f aca="false">IF(F44="", "", IF(C44="","", F44-C44))</f>
        <v/>
      </c>
      <c r="H44" s="0" t="str">
        <f aca="false">IF(F44="", "", IF(D44="","", F44-D44))</f>
        <v/>
      </c>
      <c r="I44" s="0" t="str">
        <f aca="false">IF(F44="", "", IF(E44="","", F44-E44))</f>
        <v/>
      </c>
      <c r="J44" s="66" t="str">
        <f aca="false">IF(SUM(C44:E44)&gt;0,AVERAGE(G44:I44),"")</f>
        <v/>
      </c>
      <c r="K44" s="66" t="str">
        <f aca="false">IF(NOT(G44=""),(G44-$J44)^2,"")</f>
        <v/>
      </c>
      <c r="L44" s="66" t="str">
        <f aca="false">IF(NOT(H44=""),(H44-$J44)^2,"")</f>
        <v/>
      </c>
      <c r="M44" s="66" t="str">
        <f aca="false">IF(NOT(I44=""),(I44-$J44)^2,"")</f>
        <v/>
      </c>
      <c r="N44" s="66" t="str">
        <f aca="false">IF(COUNT(K44:M44)&gt;0,SUM(K44:M44)/COUNT(K44:M44),"")</f>
        <v/>
      </c>
      <c r="O44" s="66" t="str">
        <f aca="false">IF(NOT(N44=""),SQRT(N44),"")</f>
        <v/>
      </c>
      <c r="P44" s="66" t="str">
        <f aca="false">IF(COUNT(K44:M44)&gt;0,VLOOKUP(COUNT(K44:M44),'t values'!$A$3:$C$5,3)*(O44/SQRT(COUNT(K44:M44))),"")</f>
        <v/>
      </c>
      <c r="Q44" s="66" t="str">
        <f aca="false">IF(NOT(P44=""),J44-P44,"")</f>
        <v/>
      </c>
      <c r="R44" s="66" t="str">
        <f aca="false">IF(NOT(P44=""),J44+P44,"")</f>
        <v/>
      </c>
      <c r="S44" s="0" t="n">
        <v>4069</v>
      </c>
      <c r="T44" s="0" t="str">
        <f aca="false">IF(S44="", "", IF(C44="","", S44-C44))</f>
        <v/>
      </c>
      <c r="U44" s="0" t="str">
        <f aca="false">IF($S44="", "", IF(D44="","", $S44-D44))</f>
        <v/>
      </c>
      <c r="V44" s="0" t="str">
        <f aca="false">IF($S44="", "", IF(E44="","", $S44-E44))</f>
        <v/>
      </c>
      <c r="W44" s="66" t="str">
        <f aca="false">IF(SUM($C44:$E44)&gt;0,IF(NOT(S44=""),AVERAGE(T44:V44),""),"")</f>
        <v/>
      </c>
      <c r="X44" s="66" t="str">
        <f aca="false">IF(NOT(T44=""),(T44-$W44)^2,"")</f>
        <v/>
      </c>
      <c r="Y44" s="66" t="str">
        <f aca="false">IF(NOT(U44=""),(U44-$W44)^2,"")</f>
        <v/>
      </c>
      <c r="Z44" s="66" t="str">
        <f aca="false">IF(NOT(V44=""),(V44-$W44)^2,"")</f>
        <v/>
      </c>
      <c r="AA44" s="0" t="str">
        <f aca="false">IF(COUNT(X44:Z44)&gt;0,SUM(X44:Z44)/COUNT(X44:Z44),"")</f>
        <v/>
      </c>
      <c r="AB44" s="0" t="str">
        <f aca="false">IF(NOT(AA44=""),SQRT(AA44),"")</f>
        <v/>
      </c>
      <c r="AD44" s="66" t="str">
        <f aca="false">IF(NOT(W44=""),W44-AG44,"")</f>
        <v/>
      </c>
      <c r="AE44" s="66" t="str">
        <f aca="false">IF(NOT(W44=""),W44+AG44,"")</f>
        <v/>
      </c>
      <c r="AF44" s="63"/>
      <c r="AG44" s="63"/>
      <c r="AH44" s="63"/>
    </row>
    <row r="45" customFormat="false" ht="12.8" hidden="false" customHeight="false" outlineLevel="0" collapsed="false">
      <c r="A45" s="56" t="s">
        <v>36</v>
      </c>
      <c r="B45" s="57" t="n">
        <v>15</v>
      </c>
      <c r="C45" s="56"/>
      <c r="D45" s="25"/>
      <c r="E45" s="77"/>
      <c r="F45" s="0" t="n">
        <v>2523</v>
      </c>
      <c r="G45" s="0" t="str">
        <f aca="false">IF(F45="", "", IF(C45="","", F45-C45))</f>
        <v/>
      </c>
      <c r="H45" s="0" t="str">
        <f aca="false">IF(F45="", "", IF(D45="","", F45-D45))</f>
        <v/>
      </c>
      <c r="I45" s="0" t="str">
        <f aca="false">IF(F45="", "", IF(E45="","", F45-E45))</f>
        <v/>
      </c>
      <c r="J45" s="66" t="str">
        <f aca="false">IF(SUM(C45:E45)&gt;0,AVERAGE(G45:I45),"")</f>
        <v/>
      </c>
      <c r="K45" s="66" t="str">
        <f aca="false">IF(NOT(G45=""),(G45-$J45)^2,"")</f>
        <v/>
      </c>
      <c r="L45" s="66" t="str">
        <f aca="false">IF(NOT(H45=""),(H45-$J45)^2,"")</f>
        <v/>
      </c>
      <c r="M45" s="66" t="str">
        <f aca="false">IF(NOT(I45=""),(I45-$J45)^2,"")</f>
        <v/>
      </c>
      <c r="N45" s="66" t="str">
        <f aca="false">IF(COUNT(K45:M45)&gt;0,SUM(K45:M45)/COUNT(K45:M45),"")</f>
        <v/>
      </c>
      <c r="O45" s="66" t="str">
        <f aca="false">IF(NOT(N45=""),SQRT(N45),"")</f>
        <v/>
      </c>
      <c r="P45" s="66" t="str">
        <f aca="false">IF(COUNT(K45:M45)&gt;0,VLOOKUP(COUNT(K45:M45),'t values'!$A$3:$C$5,3)*(O45/SQRT(COUNT(K45:M45))),"")</f>
        <v/>
      </c>
      <c r="Q45" s="66" t="str">
        <f aca="false">IF(NOT(P45=""),J45-P45,"")</f>
        <v/>
      </c>
      <c r="R45" s="66" t="str">
        <f aca="false">IF(NOT(P45=""),J45+P45,"")</f>
        <v/>
      </c>
      <c r="T45" s="0" t="str">
        <f aca="false">IF(S45="", "", IF(C45="","", S45-C45))</f>
        <v/>
      </c>
      <c r="U45" s="0" t="str">
        <f aca="false">IF($S45="", "", IF(D45="","", $S45-D45))</f>
        <v/>
      </c>
      <c r="V45" s="0" t="str">
        <f aca="false">IF($S45="", "", IF(E45="","", $S45-E45))</f>
        <v/>
      </c>
      <c r="W45" s="66" t="str">
        <f aca="false">IF(SUM($C45:$E45)&gt;0,IF(NOT(S45=""),AVERAGE(T45:V45),""),"")</f>
        <v/>
      </c>
      <c r="X45" s="66" t="str">
        <f aca="false">IF(NOT(T45=""),(T45-$W45)^2,"")</f>
        <v/>
      </c>
      <c r="Y45" s="66" t="str">
        <f aca="false">IF(NOT(U45=""),(U45-$W45)^2,"")</f>
        <v/>
      </c>
      <c r="Z45" s="66" t="str">
        <f aca="false">IF(NOT(V45=""),(V45-$W45)^2,"")</f>
        <v/>
      </c>
      <c r="AA45" s="0" t="str">
        <f aca="false">IF(COUNT(X45:Z45)&gt;0,SUM(X45:Z45)/COUNT(X45:Z45),"")</f>
        <v/>
      </c>
      <c r="AB45" s="0" t="str">
        <f aca="false">IF(NOT(AA45=""),SQRT(AA45),"")</f>
        <v/>
      </c>
      <c r="AD45" s="66" t="str">
        <f aca="false">IF(NOT(W45=""),W45-AG45,"")</f>
        <v/>
      </c>
      <c r="AE45" s="66" t="str">
        <f aca="false">IF(NOT(W45=""),W45+AG45,"")</f>
        <v/>
      </c>
      <c r="AF45" s="63"/>
      <c r="AG45" s="63"/>
      <c r="AH45" s="63"/>
    </row>
    <row r="46" customFormat="false" ht="12.8" hidden="false" customHeight="false" outlineLevel="0" collapsed="false">
      <c r="A46" s="56" t="s">
        <v>36</v>
      </c>
      <c r="B46" s="57" t="n">
        <v>20</v>
      </c>
      <c r="C46" s="56"/>
      <c r="D46" s="25"/>
      <c r="E46" s="77"/>
      <c r="F46" s="0" t="n">
        <v>2395</v>
      </c>
      <c r="G46" s="0" t="str">
        <f aca="false">IF(F46="", "", IF(C46="","", F46-C46))</f>
        <v/>
      </c>
      <c r="H46" s="0" t="str">
        <f aca="false">IF(F46="", "", IF(D46="","", F46-D46))</f>
        <v/>
      </c>
      <c r="I46" s="0" t="str">
        <f aca="false">IF(F46="", "", IF(E46="","", F46-E46))</f>
        <v/>
      </c>
      <c r="J46" s="66" t="str">
        <f aca="false">IF(SUM(C46:E46)&gt;0,AVERAGE(G46:I46),"")</f>
        <v/>
      </c>
      <c r="K46" s="66" t="str">
        <f aca="false">IF(NOT(G46=""),(G46-$J46)^2,"")</f>
        <v/>
      </c>
      <c r="L46" s="66" t="str">
        <f aca="false">IF(NOT(H46=""),(H46-$J46)^2,"")</f>
        <v/>
      </c>
      <c r="M46" s="66" t="str">
        <f aca="false">IF(NOT(I46=""),(I46-$J46)^2,"")</f>
        <v/>
      </c>
      <c r="N46" s="66" t="str">
        <f aca="false">IF(COUNT(K46:M46)&gt;0,SUM(K46:M46)/COUNT(K46:M46),"")</f>
        <v/>
      </c>
      <c r="O46" s="66" t="str">
        <f aca="false">IF(NOT(N46=""),SQRT(N46),"")</f>
        <v/>
      </c>
      <c r="P46" s="66" t="str">
        <f aca="false">IF(COUNT(K46:M46)&gt;0,VLOOKUP(COUNT(K46:M46),'t values'!$A$3:$C$5,3)*(O46/SQRT(COUNT(K46:M46))),"")</f>
        <v/>
      </c>
      <c r="Q46" s="66" t="str">
        <f aca="false">IF(NOT(P46=""),J46-P46,"")</f>
        <v/>
      </c>
      <c r="R46" s="66" t="str">
        <f aca="false">IF(NOT(P46=""),J46+P46,"")</f>
        <v/>
      </c>
      <c r="S46" s="0" t="n">
        <v>2795</v>
      </c>
      <c r="T46" s="0" t="str">
        <f aca="false">IF(S46="", "", IF(C46="","", S46-C46))</f>
        <v/>
      </c>
      <c r="U46" s="0" t="str">
        <f aca="false">IF($S46="", "", IF(D46="","", $S46-D46))</f>
        <v/>
      </c>
      <c r="V46" s="0" t="str">
        <f aca="false">IF($S46="", "", IF(E46="","", $S46-E46))</f>
        <v/>
      </c>
      <c r="W46" s="66" t="str">
        <f aca="false">IF(SUM($C46:$E46)&gt;0,IF(NOT(S46=""),AVERAGE(T46:V46),""),"")</f>
        <v/>
      </c>
      <c r="X46" s="66" t="str">
        <f aca="false">IF(NOT(T46=""),(T46-$W46)^2,"")</f>
        <v/>
      </c>
      <c r="Y46" s="66" t="str">
        <f aca="false">IF(NOT(U46=""),(U46-$W46)^2,"")</f>
        <v/>
      </c>
      <c r="Z46" s="66" t="str">
        <f aca="false">IF(NOT(V46=""),(V46-$W46)^2,"")</f>
        <v/>
      </c>
      <c r="AA46" s="0" t="str">
        <f aca="false">IF(COUNT(X46:Z46)&gt;0,SUM(X46:Z46)/COUNT(X46:Z46),"")</f>
        <v/>
      </c>
      <c r="AB46" s="0" t="str">
        <f aca="false">IF(NOT(AA46=""),SQRT(AA46),"")</f>
        <v/>
      </c>
      <c r="AD46" s="66" t="str">
        <f aca="false">IF(NOT(W46=""),W46-AG46,"")</f>
        <v/>
      </c>
      <c r="AE46" s="66" t="str">
        <f aca="false">IF(NOT(W46=""),W46+AG46,"")</f>
        <v/>
      </c>
      <c r="AF46" s="63"/>
      <c r="AG46" s="63"/>
      <c r="AH46" s="63"/>
    </row>
    <row r="47" customFormat="false" ht="12.8" hidden="false" customHeight="false" outlineLevel="0" collapsed="false">
      <c r="A47" s="56" t="s">
        <v>36</v>
      </c>
      <c r="B47" s="57" t="n">
        <v>30</v>
      </c>
      <c r="C47" s="56"/>
      <c r="D47" s="25" t="n">
        <v>2195</v>
      </c>
      <c r="E47" s="77"/>
      <c r="F47" s="0" t="n">
        <v>1692</v>
      </c>
      <c r="G47" s="0" t="str">
        <f aca="false">IF(F47="", "", IF(C47="","", F47-C47))</f>
        <v/>
      </c>
      <c r="H47" s="0" t="n">
        <f aca="false">IF(F47="", "", IF(D47="","", F47-D47))</f>
        <v>-503</v>
      </c>
      <c r="I47" s="0" t="str">
        <f aca="false">IF(F47="", "", IF(E47="","", F47-E47))</f>
        <v/>
      </c>
      <c r="J47" s="66" t="n">
        <f aca="false">IF(SUM(C47:E47)&gt;0,AVERAGE(G47:I47),"")</f>
        <v>-503</v>
      </c>
      <c r="K47" s="66" t="str">
        <f aca="false">IF(NOT(G47=""),(G47-$J47)^2,"")</f>
        <v/>
      </c>
      <c r="L47" s="66" t="n">
        <f aca="false">IF(NOT(H47=""),(H47-$J47)^2,"")</f>
        <v>0</v>
      </c>
      <c r="M47" s="66" t="str">
        <f aca="false">IF(NOT(I47=""),(I47-$J47)^2,"")</f>
        <v/>
      </c>
      <c r="N47" s="66" t="n">
        <f aca="false">IF(COUNT(K47:M47)&gt;0,SUM(K47:M47)/COUNT(K47:M47),"")</f>
        <v>0</v>
      </c>
      <c r="O47" s="66" t="n">
        <f aca="false">IF(NOT(N47=""),SQRT(N47),"")</f>
        <v>0</v>
      </c>
      <c r="P47" s="66" t="e">
        <f aca="false">IF(COUNT(K47:M47)&gt;0,VLOOKUP(COUNT(K47:M47),'t values'!$A$3:$C$5,3)*(O47/SQRT(COUNT(K47:M47))),"")</f>
        <v>#N/A</v>
      </c>
      <c r="Q47" s="66" t="e">
        <f aca="false">IF(NOT(P47=""),J47-P47,"")</f>
        <v>#N/A</v>
      </c>
      <c r="R47" s="66" t="e">
        <f aca="false">IF(NOT(P47=""),J47+P47,"")</f>
        <v>#N/A</v>
      </c>
      <c r="S47" s="0" t="n">
        <v>2398</v>
      </c>
      <c r="T47" s="0" t="str">
        <f aca="false">IF(S47="", "", IF(C47="","", S47-C47))</f>
        <v/>
      </c>
      <c r="U47" s="0" t="n">
        <f aca="false">IF($S47="", "", IF(D47="","", $S47-D47))</f>
        <v>203</v>
      </c>
      <c r="V47" s="0" t="str">
        <f aca="false">IF($S47="", "", IF(E47="","", $S47-E47))</f>
        <v/>
      </c>
      <c r="W47" s="66" t="n">
        <f aca="false">IF(SUM($C47:$E47)&gt;0,IF(NOT(S47=""),AVERAGE(T47:V47),""),"")</f>
        <v>203</v>
      </c>
      <c r="X47" s="66" t="str">
        <f aca="false">IF(NOT(T47=""),(T47-$W47)^2,"")</f>
        <v/>
      </c>
      <c r="Y47" s="66" t="n">
        <f aca="false">IF(NOT(U47=""),(U47-$W47)^2,"")</f>
        <v>0</v>
      </c>
      <c r="Z47" s="66" t="str">
        <f aca="false">IF(NOT(V47=""),(V47-$W47)^2,"")</f>
        <v/>
      </c>
      <c r="AA47" s="0" t="n">
        <f aca="false">IF(COUNT(X47:Z47)&gt;0,SUM(X47:Z47)/COUNT(X47:Z47),"")</f>
        <v>0</v>
      </c>
      <c r="AB47" s="0" t="n">
        <f aca="false">IF(NOT(AA47=""),SQRT(AA47),"")</f>
        <v>0</v>
      </c>
      <c r="AD47" s="66" t="e">
        <f aca="false">IF(NOT(W47=""),W47-AG47,"")</f>
        <v>#VALUE!</v>
      </c>
      <c r="AE47" s="66" t="e">
        <f aca="false">IF(NOT(W47=""),W47+AG47,"")</f>
        <v>#VALUE!</v>
      </c>
      <c r="AF47" s="63" t="n">
        <v>0</v>
      </c>
      <c r="AG47" s="63" t="s">
        <v>115</v>
      </c>
      <c r="AH47" s="63"/>
    </row>
    <row r="48" customFormat="false" ht="12.8" hidden="false" customHeight="false" outlineLevel="0" collapsed="false">
      <c r="A48" s="56" t="s">
        <v>36</v>
      </c>
      <c r="B48" s="57" t="n">
        <v>40</v>
      </c>
      <c r="C48" s="56"/>
      <c r="D48" s="25"/>
      <c r="E48" s="77" t="n">
        <v>1610</v>
      </c>
      <c r="F48" s="0" t="n">
        <v>1637</v>
      </c>
      <c r="G48" s="0" t="str">
        <f aca="false">IF(F48="", "", IF(C48="","", F48-C48))</f>
        <v/>
      </c>
      <c r="H48" s="0" t="str">
        <f aca="false">IF(F48="", "", IF(D48="","", F48-D48))</f>
        <v/>
      </c>
      <c r="I48" s="0" t="n">
        <f aca="false">IF(F48="", "", IF(E48="","", F48-E48))</f>
        <v>27</v>
      </c>
      <c r="J48" s="66" t="n">
        <f aca="false">IF(SUM(C48:E48)&gt;0,AVERAGE(G48:I48),"")</f>
        <v>27</v>
      </c>
      <c r="K48" s="66" t="str">
        <f aca="false">IF(NOT(G48=""),(G48-$J48)^2,"")</f>
        <v/>
      </c>
      <c r="L48" s="66" t="str">
        <f aca="false">IF(NOT(H48=""),(H48-$J48)^2,"")</f>
        <v/>
      </c>
      <c r="M48" s="66" t="n">
        <f aca="false">IF(NOT(I48=""),(I48-$J48)^2,"")</f>
        <v>0</v>
      </c>
      <c r="N48" s="66" t="n">
        <f aca="false">IF(COUNT(K48:M48)&gt;0,SUM(K48:M48)/COUNT(K48:M48),"")</f>
        <v>0</v>
      </c>
      <c r="O48" s="66" t="n">
        <f aca="false">IF(NOT(N48=""),SQRT(N48),"")</f>
        <v>0</v>
      </c>
      <c r="P48" s="66" t="e">
        <f aca="false">IF(COUNT(K48:M48)&gt;0,VLOOKUP(COUNT(K48:M48),'t values'!$A$3:$C$5,3)*(O48/SQRT(COUNT(K48:M48))),"")</f>
        <v>#N/A</v>
      </c>
      <c r="Q48" s="66" t="e">
        <f aca="false">IF(NOT(P48=""),J48-P48,"")</f>
        <v>#N/A</v>
      </c>
      <c r="R48" s="66" t="e">
        <f aca="false">IF(NOT(P48=""),J48+P48,"")</f>
        <v>#N/A</v>
      </c>
      <c r="S48" s="0" t="n">
        <v>2197</v>
      </c>
      <c r="T48" s="0" t="str">
        <f aca="false">IF(S48="", "", IF(C48="","", S48-C48))</f>
        <v/>
      </c>
      <c r="U48" s="0" t="str">
        <f aca="false">IF($S48="", "", IF(D48="","", $S48-D48))</f>
        <v/>
      </c>
      <c r="V48" s="0" t="n">
        <f aca="false">IF($S48="", "", IF(E48="","", $S48-E48))</f>
        <v>587</v>
      </c>
      <c r="W48" s="66" t="n">
        <f aca="false">IF(SUM($C48:$E48)&gt;0,IF(NOT(S48=""),AVERAGE(T48:V48),""),"")</f>
        <v>587</v>
      </c>
      <c r="X48" s="66" t="str">
        <f aca="false">IF(NOT(T48=""),(T48-$W48)^2,"")</f>
        <v/>
      </c>
      <c r="Y48" s="66" t="str">
        <f aca="false">IF(NOT(U48=""),(U48-$W48)^2,"")</f>
        <v/>
      </c>
      <c r="Z48" s="66" t="n">
        <f aca="false">IF(NOT(V48=""),(V48-$W48)^2,"")</f>
        <v>0</v>
      </c>
      <c r="AA48" s="0" t="n">
        <f aca="false">IF(COUNT(X48:Z48)&gt;0,SUM(X48:Z48)/COUNT(X48:Z48),"")</f>
        <v>0</v>
      </c>
      <c r="AB48" s="0" t="n">
        <f aca="false">IF(NOT(AA48=""),SQRT(AA48),"")</f>
        <v>0</v>
      </c>
      <c r="AD48" s="66" t="e">
        <f aca="false">IF(NOT(W48=""),W48-AG48,"")</f>
        <v>#VALUE!</v>
      </c>
      <c r="AE48" s="66" t="e">
        <f aca="false">IF(NOT(W48=""),W48+AG48,"")</f>
        <v>#VALUE!</v>
      </c>
      <c r="AF48" s="63" t="n">
        <v>0</v>
      </c>
      <c r="AG48" s="63" t="s">
        <v>115</v>
      </c>
      <c r="AH48" s="63"/>
    </row>
    <row r="49" customFormat="false" ht="12.8" hidden="false" customHeight="false" outlineLevel="0" collapsed="false">
      <c r="A49" s="56" t="s">
        <v>36</v>
      </c>
      <c r="B49" s="57" t="n">
        <v>50</v>
      </c>
      <c r="C49" s="56" t="n">
        <v>1507</v>
      </c>
      <c r="D49" s="25" t="n">
        <v>1198</v>
      </c>
      <c r="E49" s="77" t="n">
        <v>1239</v>
      </c>
      <c r="F49" s="0" t="n">
        <v>1809</v>
      </c>
      <c r="G49" s="0" t="n">
        <f aca="false">IF(F49="", "", IF(C49="","", F49-C49))</f>
        <v>302</v>
      </c>
      <c r="H49" s="0" t="n">
        <f aca="false">IF(F49="", "", IF(D49="","", F49-D49))</f>
        <v>611</v>
      </c>
      <c r="I49" s="0" t="n">
        <f aca="false">IF(F49="", "", IF(E49="","", F49-E49))</f>
        <v>570</v>
      </c>
      <c r="J49" s="66" t="n">
        <f aca="false">IF(SUM(C49:E49)&gt;0,AVERAGE(G49:I49),"")</f>
        <v>494.333333333333</v>
      </c>
      <c r="K49" s="66" t="n">
        <f aca="false">IF(NOT(G49=""),(G49-$J49)^2,"")</f>
        <v>36992.1111111111</v>
      </c>
      <c r="L49" s="66" t="n">
        <f aca="false">IF(NOT(H49=""),(H49-$J49)^2,"")</f>
        <v>13611.1111111111</v>
      </c>
      <c r="M49" s="66" t="n">
        <f aca="false">IF(NOT(I49=""),(I49-$J49)^2,"")</f>
        <v>5725.44444444445</v>
      </c>
      <c r="N49" s="66" t="n">
        <f aca="false">IF(COUNT(K49:M49)&gt;0,SUM(K49:M49)/COUNT(K49:M49),"")</f>
        <v>18776.2222222222</v>
      </c>
      <c r="O49" s="66" t="n">
        <f aca="false">IF(NOT(N49=""),SQRT(N49),"")</f>
        <v>137.026355940097</v>
      </c>
      <c r="P49" s="66" t="n">
        <f aca="false">IF(COUNT(K49:M49)&gt;0,VLOOKUP(COUNT(K49:M49),'t values'!$A$3:$C$5,3)*(O49/SQRT(COUNT(K49:M49))),"")</f>
        <v>340.419811609245</v>
      </c>
      <c r="Q49" s="66" t="n">
        <f aca="false">IF(NOT(P49=""),J49-P49,"")</f>
        <v>153.913521724088</v>
      </c>
      <c r="R49" s="66" t="n">
        <f aca="false">IF(NOT(P49=""),J49+P49,"")</f>
        <v>834.753144942579</v>
      </c>
      <c r="S49" s="0" t="n">
        <v>2117</v>
      </c>
      <c r="T49" s="0" t="n">
        <f aca="false">IF(S49="", "", IF(C49="","", S49-C49))</f>
        <v>610</v>
      </c>
      <c r="U49" s="0" t="n">
        <f aca="false">IF($S49="", "", IF(D49="","", $S49-D49))</f>
        <v>919</v>
      </c>
      <c r="V49" s="0" t="n">
        <f aca="false">IF($S49="", "", IF(E49="","", $S49-E49))</f>
        <v>878</v>
      </c>
      <c r="W49" s="66" t="n">
        <f aca="false">IF(SUM($C49:$E49)&gt;0,IF(NOT(S49=""),AVERAGE(T49:V49),""),"")</f>
        <v>802.333333333333</v>
      </c>
      <c r="X49" s="66" t="n">
        <f aca="false">IF(NOT(T49=""),(T49-$W49)^2,"")</f>
        <v>36992.1111111111</v>
      </c>
      <c r="Y49" s="66" t="n">
        <f aca="false">IF(NOT(U49=""),(U49-$W49)^2,"")</f>
        <v>13611.1111111111</v>
      </c>
      <c r="Z49" s="66" t="n">
        <f aca="false">IF(NOT(V49=""),(V49-$W49)^2,"")</f>
        <v>5725.44444444444</v>
      </c>
      <c r="AA49" s="0" t="n">
        <f aca="false">IF(COUNT(X49:Z49)&gt;0,SUM(X49:Z49)/COUNT(X49:Z49),"")</f>
        <v>18776.2222222222</v>
      </c>
      <c r="AB49" s="0" t="n">
        <f aca="false">IF(NOT(AA49=""),SQRT(AA49),"")</f>
        <v>137.026355940097</v>
      </c>
      <c r="AD49" s="66" t="n">
        <f aca="false">IF(NOT(W49=""),W49-AG49,"")</f>
        <v>462.333333333333</v>
      </c>
      <c r="AE49" s="66" t="n">
        <f aca="false">IF(NOT(W49=""),W49+AG49,"")</f>
        <v>1142.33333333333</v>
      </c>
      <c r="AF49" s="63" t="n">
        <v>137.026355940097</v>
      </c>
      <c r="AG49" s="63" t="n">
        <v>340</v>
      </c>
      <c r="AH49" s="63"/>
    </row>
    <row r="50" customFormat="false" ht="12.8" hidden="false" customHeight="false" outlineLevel="0" collapsed="false">
      <c r="A50" s="56" t="s">
        <v>36</v>
      </c>
      <c r="B50" s="57" t="n">
        <v>64</v>
      </c>
      <c r="C50" s="56" t="n">
        <v>1026</v>
      </c>
      <c r="D50" s="25" t="n">
        <v>970</v>
      </c>
      <c r="E50" s="77" t="n">
        <v>893</v>
      </c>
      <c r="F50" s="0" t="n">
        <v>1458</v>
      </c>
      <c r="G50" s="0" t="n">
        <f aca="false">IF(F50="", "", IF(C50="","", F50-C50))</f>
        <v>432</v>
      </c>
      <c r="H50" s="0" t="n">
        <f aca="false">IF(F50="", "", IF(D50="","", F50-D50))</f>
        <v>488</v>
      </c>
      <c r="I50" s="0" t="n">
        <f aca="false">IF(F50="", "", IF(E50="","", F50-E50))</f>
        <v>565</v>
      </c>
      <c r="J50" s="66" t="n">
        <f aca="false">IF(SUM(C50:E50)&gt;0,AVERAGE(G50:I50),"")</f>
        <v>495</v>
      </c>
      <c r="K50" s="66" t="n">
        <f aca="false">IF(NOT(G50=""),(G50-$J50)^2,"")</f>
        <v>3969</v>
      </c>
      <c r="L50" s="66" t="n">
        <f aca="false">IF(NOT(H50=""),(H50-$J50)^2,"")</f>
        <v>49</v>
      </c>
      <c r="M50" s="66" t="n">
        <f aca="false">IF(NOT(I50=""),(I50-$J50)^2,"")</f>
        <v>4900</v>
      </c>
      <c r="N50" s="66" t="n">
        <f aca="false">IF(COUNT(K50:M50)&gt;0,SUM(K50:M50)/COUNT(K50:M50),"")</f>
        <v>2972.66666666667</v>
      </c>
      <c r="O50" s="66" t="n">
        <f aca="false">IF(NOT(N50=""),SQRT(N50),"")</f>
        <v>54.5221667458903</v>
      </c>
      <c r="P50" s="66" t="n">
        <f aca="false">IF(COUNT(K50:M50)&gt;0,VLOOKUP(COUNT(K50:M50),'t values'!$A$3:$C$5,3)*(O50/SQRT(COUNT(K50:M50))),"")</f>
        <v>135.451502047371</v>
      </c>
      <c r="Q50" s="66" t="n">
        <f aca="false">IF(NOT(P50=""),J50-P50,"")</f>
        <v>359.548497952629</v>
      </c>
      <c r="R50" s="66" t="n">
        <f aca="false">IF(NOT(P50=""),J50+P50,"")</f>
        <v>630.451502047371</v>
      </c>
      <c r="T50" s="0" t="str">
        <f aca="false">IF(S50="", "", IF(C50="","", S50-C50))</f>
        <v/>
      </c>
      <c r="U50" s="0" t="str">
        <f aca="false">IF($S50="", "", IF(D50="","", $S50-D50))</f>
        <v/>
      </c>
      <c r="V50" s="0" t="str">
        <f aca="false">IF($S50="", "", IF(E50="","", $S50-E50))</f>
        <v/>
      </c>
      <c r="W50" s="66" t="str">
        <f aca="false">IF(SUM($C50:$E50)&gt;0,IF(NOT(S50=""),AVERAGE(T50:V50),""),"")</f>
        <v/>
      </c>
      <c r="X50" s="66" t="str">
        <f aca="false">IF(NOT(T50=""),(T50-$W50)^2,"")</f>
        <v/>
      </c>
      <c r="Y50" s="66" t="str">
        <f aca="false">IF(NOT(U50=""),(U50-$W50)^2,"")</f>
        <v/>
      </c>
      <c r="Z50" s="66" t="str">
        <f aca="false">IF(NOT(V50=""),(V50-$W50)^2,"")</f>
        <v/>
      </c>
      <c r="AA50" s="0" t="str">
        <f aca="false">IF(COUNT(X50:Z50)&gt;0,SUM(X50:Z50)/COUNT(X50:Z50),"")</f>
        <v/>
      </c>
      <c r="AB50" s="0" t="str">
        <f aca="false">IF(NOT(AA50=""),SQRT(AA50),"")</f>
        <v/>
      </c>
      <c r="AD50" s="66" t="str">
        <f aca="false">IF(NOT(W50=""),W50-AG50,"")</f>
        <v/>
      </c>
      <c r="AE50" s="66" t="str">
        <f aca="false">IF(NOT(W50=""),W50+AG50,"")</f>
        <v/>
      </c>
      <c r="AF50" s="63" t="n">
        <v>54.5221667458903</v>
      </c>
      <c r="AG50" s="63" t="n">
        <v>135</v>
      </c>
      <c r="AH50" s="63"/>
    </row>
    <row r="51" customFormat="false" ht="12.8" hidden="false" customHeight="false" outlineLevel="0" collapsed="false">
      <c r="A51" s="56" t="s">
        <v>36</v>
      </c>
      <c r="B51" s="57" t="n">
        <v>82</v>
      </c>
      <c r="C51" s="56" t="n">
        <v>1128</v>
      </c>
      <c r="D51" s="25" t="n">
        <v>810</v>
      </c>
      <c r="E51" s="77" t="n">
        <v>770</v>
      </c>
      <c r="F51" s="0" t="n">
        <v>1316</v>
      </c>
      <c r="G51" s="0" t="n">
        <f aca="false">IF(F51="", "", IF(C51="","", F51-C51))</f>
        <v>188</v>
      </c>
      <c r="H51" s="0" t="n">
        <f aca="false">IF(F51="", "", IF(D51="","", F51-D51))</f>
        <v>506</v>
      </c>
      <c r="I51" s="0" t="n">
        <f aca="false">IF(F51="", "", IF(E51="","", F51-E51))</f>
        <v>546</v>
      </c>
      <c r="J51" s="66" t="n">
        <f aca="false">IF(SUM(C51:E51)&gt;0,AVERAGE(G51:I51),"")</f>
        <v>413.333333333333</v>
      </c>
      <c r="K51" s="66" t="n">
        <f aca="false">IF(NOT(G51=""),(G51-$J51)^2,"")</f>
        <v>50775.1111111111</v>
      </c>
      <c r="L51" s="66" t="n">
        <f aca="false">IF(NOT(H51=""),(H51-$J51)^2,"")</f>
        <v>8587.11111111112</v>
      </c>
      <c r="M51" s="66" t="n">
        <f aca="false">IF(NOT(I51=""),(I51-$J51)^2,"")</f>
        <v>17600.4444444445</v>
      </c>
      <c r="N51" s="66" t="n">
        <f aca="false">IF(COUNT(K51:M51)&gt;0,SUM(K51:M51)/COUNT(K51:M51),"")</f>
        <v>25654.2222222222</v>
      </c>
      <c r="O51" s="66" t="n">
        <f aca="false">IF(NOT(N51=""),SQRT(N51),"")</f>
        <v>160.169354816151</v>
      </c>
      <c r="P51" s="66" t="n">
        <f aca="false">IF(COUNT(K51:M51)&gt;0,VLOOKUP(COUNT(K51:M51),'t values'!$A$3:$C$5,3)*(O51/SQRT(COUNT(K51:M51))),"")</f>
        <v>397.914847972202</v>
      </c>
      <c r="Q51" s="66" t="n">
        <f aca="false">IF(NOT(P51=""),J51-P51,"")</f>
        <v>15.4184853611312</v>
      </c>
      <c r="R51" s="66" t="n">
        <f aca="false">IF(NOT(P51=""),J51+P51,"")</f>
        <v>811.248181305536</v>
      </c>
      <c r="S51" s="0" t="n">
        <v>1984</v>
      </c>
      <c r="T51" s="0" t="n">
        <f aca="false">IF(S51="", "", IF(C51="","", S51-C51))</f>
        <v>856</v>
      </c>
      <c r="U51" s="0" t="n">
        <f aca="false">IF($S51="", "", IF(D51="","", $S51-D51))</f>
        <v>1174</v>
      </c>
      <c r="V51" s="0" t="n">
        <f aca="false">IF($S51="", "", IF(E51="","", $S51-E51))</f>
        <v>1214</v>
      </c>
      <c r="W51" s="66" t="n">
        <f aca="false">IF(SUM($C51:$E51)&gt;0,IF(NOT(S51=""),AVERAGE(T51:V51),""),"")</f>
        <v>1081.33333333333</v>
      </c>
      <c r="X51" s="66" t="n">
        <f aca="false">IF(NOT(T51=""),(T51-$W51)^2,"")</f>
        <v>50775.1111111111</v>
      </c>
      <c r="Y51" s="66" t="n">
        <f aca="false">IF(NOT(U51=""),(U51-$W51)^2,"")</f>
        <v>8587.11111111113</v>
      </c>
      <c r="Z51" s="66" t="n">
        <f aca="false">IF(NOT(V51=""),(V51-$W51)^2,"")</f>
        <v>17600.4444444445</v>
      </c>
      <c r="AA51" s="0" t="n">
        <f aca="false">IF(COUNT(X51:Z51)&gt;0,SUM(X51:Z51)/COUNT(X51:Z51),"")</f>
        <v>25654.2222222222</v>
      </c>
      <c r="AB51" s="0" t="n">
        <f aca="false">IF(NOT(AA51=""),SQRT(AA51),"")</f>
        <v>160.169354816152</v>
      </c>
      <c r="AD51" s="66" t="n">
        <f aca="false">IF(NOT(W51=""),W51-AG51,"")</f>
        <v>683.333333333333</v>
      </c>
      <c r="AE51" s="66" t="n">
        <f aca="false">IF(NOT(W51=""),W51+AG51,"")</f>
        <v>1479.33333333333</v>
      </c>
      <c r="AF51" s="63" t="n">
        <v>160.169354816151</v>
      </c>
      <c r="AG51" s="63" t="n">
        <v>398</v>
      </c>
      <c r="AH51" s="63"/>
    </row>
    <row r="52" customFormat="false" ht="12.8" hidden="false" customHeight="false" outlineLevel="0" collapsed="false">
      <c r="A52" s="56" t="s">
        <v>36</v>
      </c>
      <c r="B52" s="57" t="n">
        <v>100</v>
      </c>
      <c r="C52" s="56" t="n">
        <v>675</v>
      </c>
      <c r="D52" s="25" t="n">
        <v>697</v>
      </c>
      <c r="E52" s="77" t="n">
        <v>677</v>
      </c>
      <c r="F52" s="0" t="n">
        <v>1183</v>
      </c>
      <c r="G52" s="0" t="n">
        <f aca="false">IF(F52="", "", IF(C52="","", F52-C52))</f>
        <v>508</v>
      </c>
      <c r="H52" s="0" t="n">
        <f aca="false">IF(F52="", "", IF(D52="","", F52-D52))</f>
        <v>486</v>
      </c>
      <c r="I52" s="0" t="n">
        <f aca="false">IF(F52="", "", IF(E52="","", F52-E52))</f>
        <v>506</v>
      </c>
      <c r="J52" s="66" t="n">
        <f aca="false">IF(SUM(C52:E52)&gt;0,AVERAGE(G52:I52),"")</f>
        <v>500</v>
      </c>
      <c r="K52" s="66" t="n">
        <f aca="false">IF(NOT(G52=""),(G52-$J52)^2,"")</f>
        <v>64</v>
      </c>
      <c r="L52" s="66" t="n">
        <f aca="false">IF(NOT(H52=""),(H52-$J52)^2,"")</f>
        <v>196</v>
      </c>
      <c r="M52" s="66" t="n">
        <f aca="false">IF(NOT(I52=""),(I52-$J52)^2,"")</f>
        <v>36</v>
      </c>
      <c r="N52" s="66" t="n">
        <f aca="false">IF(COUNT(K52:M52)&gt;0,SUM(K52:M52)/COUNT(K52:M52),"")</f>
        <v>98.6666666666667</v>
      </c>
      <c r="O52" s="66" t="n">
        <f aca="false">IF(NOT(N52=""),SQRT(N52),"")</f>
        <v>9.93310961716756</v>
      </c>
      <c r="P52" s="66" t="n">
        <f aca="false">IF(COUNT(K52:M52)&gt;0,VLOOKUP(COUNT(K52:M52),'t values'!$A$3:$C$5,3)*(O52/SQRT(COUNT(K52:M52))),"")</f>
        <v>24.6772037493896</v>
      </c>
      <c r="Q52" s="66" t="n">
        <f aca="false">IF(NOT(P52=""),J52-P52,"")</f>
        <v>475.32279625061</v>
      </c>
      <c r="R52" s="66" t="n">
        <f aca="false">IF(NOT(P52=""),J52+P52,"")</f>
        <v>524.67720374939</v>
      </c>
      <c r="T52" s="0" t="str">
        <f aca="false">IF(S52="", "", IF(C52="","", S52-C52))</f>
        <v/>
      </c>
      <c r="U52" s="0" t="str">
        <f aca="false">IF($S52="", "", IF(D52="","", $S52-D52))</f>
        <v/>
      </c>
      <c r="V52" s="0" t="str">
        <f aca="false">IF($S52="", "", IF(E52="","", $S52-E52))</f>
        <v/>
      </c>
      <c r="W52" s="66" t="str">
        <f aca="false">IF(SUM($C52:$E52)&gt;0,IF(NOT(S52=""),AVERAGE(T52:V52),""),"")</f>
        <v/>
      </c>
      <c r="X52" s="66" t="str">
        <f aca="false">IF(NOT(T52=""),(T52-$W52)^2,"")</f>
        <v/>
      </c>
      <c r="Y52" s="66" t="str">
        <f aca="false">IF(NOT(U52=""),(U52-$W52)^2,"")</f>
        <v/>
      </c>
      <c r="Z52" s="66" t="str">
        <f aca="false">IF(NOT(V52=""),(V52-$W52)^2,"")</f>
        <v/>
      </c>
      <c r="AA52" s="0" t="str">
        <f aca="false">IF(COUNT(X52:Z52)&gt;0,SUM(X52:Z52)/COUNT(X52:Z52),"")</f>
        <v/>
      </c>
      <c r="AB52" s="0" t="str">
        <f aca="false">IF(NOT(AA52=""),SQRT(AA52),"")</f>
        <v/>
      </c>
      <c r="AD52" s="66" t="str">
        <f aca="false">IF(NOT(W52=""),W52-AG52,"")</f>
        <v/>
      </c>
      <c r="AE52" s="66" t="str">
        <f aca="false">IF(NOT(W52=""),W52+AG52,"")</f>
        <v/>
      </c>
      <c r="AF52" s="63" t="n">
        <v>9.93310961716756</v>
      </c>
      <c r="AG52" s="63" t="n">
        <v>25</v>
      </c>
      <c r="AH52" s="63"/>
    </row>
    <row r="53" customFormat="false" ht="12.8" hidden="false" customHeight="false" outlineLevel="0" collapsed="false">
      <c r="A53" s="56" t="s">
        <v>37</v>
      </c>
      <c r="B53" s="57" t="n">
        <v>5</v>
      </c>
      <c r="C53" s="56" t="n">
        <v>609</v>
      </c>
      <c r="D53" s="25"/>
      <c r="E53" s="77"/>
      <c r="F53" s="0" t="n">
        <v>1212</v>
      </c>
      <c r="G53" s="0" t="n">
        <f aca="false">IF(F53="", "", IF(C53="","", F53-C53))</f>
        <v>603</v>
      </c>
      <c r="H53" s="0" t="str">
        <f aca="false">IF(F53="", "", IF(D53="","", F53-D53))</f>
        <v/>
      </c>
      <c r="I53" s="0" t="str">
        <f aca="false">IF(F53="", "", IF(E53="","", F53-E53))</f>
        <v/>
      </c>
      <c r="J53" s="66" t="n">
        <f aca="false">IF(SUM(C53:E53)&gt;0,AVERAGE(G53:I53),"")</f>
        <v>603</v>
      </c>
      <c r="K53" s="66" t="n">
        <f aca="false">IF(NOT(G53=""),(G53-$J53)^2,"")</f>
        <v>0</v>
      </c>
      <c r="L53" s="66" t="str">
        <f aca="false">IF(NOT(H53=""),(H53-$J53)^2,"")</f>
        <v/>
      </c>
      <c r="M53" s="66" t="str">
        <f aca="false">IF(NOT(I53=""),(I53-$J53)^2,"")</f>
        <v/>
      </c>
      <c r="N53" s="66" t="n">
        <f aca="false">IF(COUNT(K53:M53)&gt;0,SUM(K53:M53)/COUNT(K53:M53),"")</f>
        <v>0</v>
      </c>
      <c r="O53" s="66" t="n">
        <f aca="false">IF(NOT(N53=""),SQRT(N53),"")</f>
        <v>0</v>
      </c>
      <c r="P53" s="66" t="e">
        <f aca="false">IF(COUNT(K53:M53)&gt;0,VLOOKUP(COUNT(K53:M53),'t values'!$A$3:$C$5,3)*(O53/SQRT(COUNT(K53:M53))),"")</f>
        <v>#N/A</v>
      </c>
      <c r="Q53" s="66" t="e">
        <f aca="false">IF(NOT(P53=""),J53-P53,"")</f>
        <v>#N/A</v>
      </c>
      <c r="R53" s="66" t="e">
        <f aca="false">IF(NOT(P53=""),J53+P53,"")</f>
        <v>#N/A</v>
      </c>
      <c r="S53" s="0" t="n">
        <v>1924</v>
      </c>
      <c r="T53" s="0" t="n">
        <f aca="false">IF(S53="", "", IF(C53="","", S53-C53))</f>
        <v>1315</v>
      </c>
      <c r="U53" s="0" t="str">
        <f aca="false">IF($S53="", "", IF(D53="","", $S53-D53))</f>
        <v/>
      </c>
      <c r="V53" s="0" t="str">
        <f aca="false">IF($S53="", "", IF(E53="","", $S53-E53))</f>
        <v/>
      </c>
      <c r="W53" s="66" t="n">
        <f aca="false">IF(SUM($C53:$E53)&gt;0,IF(NOT(S53=""),AVERAGE(T53:V53),""),"")</f>
        <v>1315</v>
      </c>
      <c r="X53" s="66" t="n">
        <f aca="false">IF(NOT(T53=""),(T53-$W53)^2,"")</f>
        <v>0</v>
      </c>
      <c r="Y53" s="66" t="str">
        <f aca="false">IF(NOT(U53=""),(U53-$W53)^2,"")</f>
        <v/>
      </c>
      <c r="Z53" s="66" t="str">
        <f aca="false">IF(NOT(V53=""),(V53-$W53)^2,"")</f>
        <v/>
      </c>
      <c r="AA53" s="0" t="n">
        <f aca="false">IF(COUNT(X53:Z53)&gt;0,SUM(X53:Z53)/COUNT(X53:Z53),"")</f>
        <v>0</v>
      </c>
      <c r="AB53" s="0" t="n">
        <f aca="false">IF(NOT(AA53=""),SQRT(AA53),"")</f>
        <v>0</v>
      </c>
      <c r="AD53" s="66" t="n">
        <f aca="false">IF(NOT(W53=""),W53-AG53,"")</f>
        <v>1315</v>
      </c>
      <c r="AE53" s="66" t="n">
        <f aca="false">IF(NOT(W53=""),W53+AG53,"")</f>
        <v>1315</v>
      </c>
      <c r="AF53" s="63" t="n">
        <v>0</v>
      </c>
      <c r="AG53" s="63"/>
      <c r="AH53" s="63"/>
    </row>
    <row r="54" customFormat="false" ht="12.8" hidden="false" customHeight="false" outlineLevel="0" collapsed="false">
      <c r="A54" s="56" t="s">
        <v>37</v>
      </c>
      <c r="B54" s="57" t="n">
        <v>10</v>
      </c>
      <c r="C54" s="56" t="n">
        <v>570</v>
      </c>
      <c r="D54" s="25"/>
      <c r="E54" s="77"/>
      <c r="F54" s="0" t="n">
        <v>1155</v>
      </c>
      <c r="G54" s="0" t="n">
        <f aca="false">IF(F54="", "", IF(C54="","", F54-C54))</f>
        <v>585</v>
      </c>
      <c r="H54" s="0" t="str">
        <f aca="false">IF(F54="", "", IF(D54="","", F54-D54))</f>
        <v/>
      </c>
      <c r="I54" s="0" t="str">
        <f aca="false">IF(F54="", "", IF(E54="","", F54-E54))</f>
        <v/>
      </c>
      <c r="J54" s="66" t="n">
        <f aca="false">IF(SUM(C54:E54)&gt;0,AVERAGE(G54:I54),"")</f>
        <v>585</v>
      </c>
      <c r="K54" s="66" t="n">
        <f aca="false">IF(NOT(G54=""),(G54-$J54)^2,"")</f>
        <v>0</v>
      </c>
      <c r="L54" s="66" t="str">
        <f aca="false">IF(NOT(H54=""),(H54-$J54)^2,"")</f>
        <v/>
      </c>
      <c r="M54" s="66" t="str">
        <f aca="false">IF(NOT(I54=""),(I54-$J54)^2,"")</f>
        <v/>
      </c>
      <c r="N54" s="66" t="n">
        <f aca="false">IF(COUNT(K54:M54)&gt;0,SUM(K54:M54)/COUNT(K54:M54),"")</f>
        <v>0</v>
      </c>
      <c r="O54" s="66" t="n">
        <f aca="false">IF(NOT(N54=""),SQRT(N54),"")</f>
        <v>0</v>
      </c>
      <c r="P54" s="66" t="e">
        <f aca="false">IF(COUNT(K54:M54)&gt;0,VLOOKUP(COUNT(K54:M54),'t values'!$A$3:$C$5,3)*(O54/SQRT(COUNT(K54:M54))),"")</f>
        <v>#N/A</v>
      </c>
      <c r="Q54" s="66" t="e">
        <f aca="false">IF(NOT(P54=""),J54-P54,"")</f>
        <v>#N/A</v>
      </c>
      <c r="R54" s="66" t="e">
        <f aca="false">IF(NOT(P54=""),J54+P54,"")</f>
        <v>#N/A</v>
      </c>
      <c r="S54" s="0" t="n">
        <v>1529</v>
      </c>
      <c r="T54" s="0" t="n">
        <f aca="false">IF(S54="", "", IF(C54="","", S54-C54))</f>
        <v>959</v>
      </c>
      <c r="U54" s="0" t="str">
        <f aca="false">IF($S54="", "", IF(D54="","", $S54-D54))</f>
        <v/>
      </c>
      <c r="V54" s="0" t="str">
        <f aca="false">IF($S54="", "", IF(E54="","", $S54-E54))</f>
        <v/>
      </c>
      <c r="W54" s="66" t="n">
        <f aca="false">IF(SUM($C54:$E54)&gt;0,IF(NOT(S54=""),AVERAGE(T54:V54),""),"")</f>
        <v>959</v>
      </c>
      <c r="X54" s="66" t="n">
        <f aca="false">IF(NOT(T54=""),(T54-$W54)^2,"")</f>
        <v>0</v>
      </c>
      <c r="Y54" s="66" t="str">
        <f aca="false">IF(NOT(U54=""),(U54-$W54)^2,"")</f>
        <v/>
      </c>
      <c r="Z54" s="66" t="str">
        <f aca="false">IF(NOT(V54=""),(V54-$W54)^2,"")</f>
        <v/>
      </c>
      <c r="AA54" s="0" t="n">
        <f aca="false">IF(COUNT(X54:Z54)&gt;0,SUM(X54:Z54)/COUNT(X54:Z54),"")</f>
        <v>0</v>
      </c>
      <c r="AB54" s="0" t="n">
        <f aca="false">IF(NOT(AA54=""),SQRT(AA54),"")</f>
        <v>0</v>
      </c>
      <c r="AD54" s="66" t="n">
        <f aca="false">IF(NOT(W54=""),W54-AG54,"")</f>
        <v>959</v>
      </c>
      <c r="AE54" s="66" t="n">
        <f aca="false">IF(NOT(W54=""),W54+AG54,"")</f>
        <v>959</v>
      </c>
      <c r="AF54" s="63" t="n">
        <v>0</v>
      </c>
      <c r="AG54" s="63"/>
      <c r="AH54" s="63"/>
    </row>
    <row r="55" customFormat="false" ht="12.8" hidden="false" customHeight="false" outlineLevel="0" collapsed="false">
      <c r="A55" s="56" t="s">
        <v>37</v>
      </c>
      <c r="B55" s="57" t="n">
        <v>15</v>
      </c>
      <c r="C55" s="56" t="n">
        <v>386</v>
      </c>
      <c r="D55" s="25" t="n">
        <v>438</v>
      </c>
      <c r="E55" s="77" t="n">
        <v>616</v>
      </c>
      <c r="F55" s="0" t="n">
        <v>632</v>
      </c>
      <c r="G55" s="0" t="n">
        <f aca="false">IF(F55="", "", IF(C55="","", F55-C55))</f>
        <v>246</v>
      </c>
      <c r="H55" s="0" t="n">
        <f aca="false">IF(F55="", "", IF(D55="","", F55-D55))</f>
        <v>194</v>
      </c>
      <c r="I55" s="0" t="n">
        <f aca="false">IF(F55="", "", IF(E55="","", F55-E55))</f>
        <v>16</v>
      </c>
      <c r="J55" s="66" t="n">
        <f aca="false">IF(SUM(C55:E55)&gt;0,AVERAGE(G55:I55),"")</f>
        <v>152</v>
      </c>
      <c r="K55" s="66" t="n">
        <f aca="false">IF(NOT(G55=""),(G55-$J55)^2,"")</f>
        <v>8836</v>
      </c>
      <c r="L55" s="66" t="n">
        <f aca="false">IF(NOT(H55=""),(H55-$J55)^2,"")</f>
        <v>1764</v>
      </c>
      <c r="M55" s="66" t="n">
        <f aca="false">IF(NOT(I55=""),(I55-$J55)^2,"")</f>
        <v>18496</v>
      </c>
      <c r="N55" s="66" t="n">
        <f aca="false">IF(COUNT(K55:M55)&gt;0,SUM(K55:M55)/COUNT(K55:M55),"")</f>
        <v>9698.66666666667</v>
      </c>
      <c r="O55" s="66" t="n">
        <f aca="false">IF(NOT(N55=""),SQRT(N55),"")</f>
        <v>98.4818088109</v>
      </c>
      <c r="P55" s="66" t="n">
        <f aca="false">IF(COUNT(K55:M55)&gt;0,VLOOKUP(COUNT(K55:M55),'t values'!$A$3:$C$5,3)*(O55/SQRT(COUNT(K55:M55))),"")</f>
        <v>244.662120453676</v>
      </c>
      <c r="Q55" s="66" t="n">
        <f aca="false">IF(NOT(P55=""),J55-P55,"")</f>
        <v>-92.6621204536756</v>
      </c>
      <c r="R55" s="66" t="n">
        <f aca="false">IF(NOT(P55=""),J55+P55,"")</f>
        <v>396.662120453676</v>
      </c>
      <c r="S55" s="0" t="n">
        <v>831</v>
      </c>
      <c r="T55" s="0" t="n">
        <f aca="false">IF(S55="", "", IF(C55="","", S55-C55))</f>
        <v>445</v>
      </c>
      <c r="U55" s="0" t="n">
        <f aca="false">IF($S55="", "", IF(D55="","", $S55-D55))</f>
        <v>393</v>
      </c>
      <c r="V55" s="0" t="n">
        <f aca="false">IF($S55="", "", IF(E55="","", $S55-E55))</f>
        <v>215</v>
      </c>
      <c r="W55" s="66" t="n">
        <f aca="false">IF(SUM($C55:$E55)&gt;0,IF(NOT(S55=""),AVERAGE(T55:V55),""),"")</f>
        <v>351</v>
      </c>
      <c r="X55" s="66" t="n">
        <f aca="false">IF(NOT(T55=""),(T55-$W55)^2,"")</f>
        <v>8836</v>
      </c>
      <c r="Y55" s="66" t="n">
        <f aca="false">IF(NOT(U55=""),(U55-$W55)^2,"")</f>
        <v>1764</v>
      </c>
      <c r="Z55" s="66" t="n">
        <f aca="false">IF(NOT(V55=""),(V55-$W55)^2,"")</f>
        <v>18496</v>
      </c>
      <c r="AA55" s="0" t="n">
        <f aca="false">IF(COUNT(X55:Z55)&gt;0,SUM(X55:Z55)/COUNT(X55:Z55),"")</f>
        <v>9698.66666666667</v>
      </c>
      <c r="AB55" s="0" t="n">
        <f aca="false">IF(NOT(AA55=""),SQRT(AA55),"")</f>
        <v>98.4818088109</v>
      </c>
      <c r="AD55" s="66" t="n">
        <f aca="false">IF(NOT(W55=""),W55-AG55,"")</f>
        <v>106</v>
      </c>
      <c r="AE55" s="66" t="n">
        <f aca="false">IF(NOT(W55=""),W55+AG55,"")</f>
        <v>596</v>
      </c>
      <c r="AF55" s="63" t="n">
        <v>98.4818088109</v>
      </c>
      <c r="AG55" s="63" t="n">
        <v>245</v>
      </c>
      <c r="AH55" s="63"/>
    </row>
    <row r="56" customFormat="false" ht="12.8" hidden="false" customHeight="false" outlineLevel="0" collapsed="false">
      <c r="A56" s="56" t="s">
        <v>37</v>
      </c>
      <c r="B56" s="57" t="n">
        <v>20</v>
      </c>
      <c r="C56" s="56" t="n">
        <v>340</v>
      </c>
      <c r="D56" s="25" t="n">
        <v>372</v>
      </c>
      <c r="E56" s="77" t="n">
        <v>648</v>
      </c>
      <c r="F56" s="0" t="n">
        <v>507</v>
      </c>
      <c r="G56" s="0" t="n">
        <f aca="false">IF(F56="", "", IF(C56="","", F56-C56))</f>
        <v>167</v>
      </c>
      <c r="H56" s="0" t="n">
        <f aca="false">IF(F56="", "", IF(D56="","", F56-D56))</f>
        <v>135</v>
      </c>
      <c r="I56" s="0" t="n">
        <f aca="false">IF(F56="", "", IF(E56="","", F56-E56))</f>
        <v>-141</v>
      </c>
      <c r="J56" s="66" t="n">
        <f aca="false">IF(SUM(C56:E56)&gt;0,AVERAGE(G56:I56),"")</f>
        <v>53.6666666666667</v>
      </c>
      <c r="K56" s="66" t="n">
        <f aca="false">IF(NOT(G56=""),(G56-$J56)^2,"")</f>
        <v>12844.4444444444</v>
      </c>
      <c r="L56" s="66" t="n">
        <f aca="false">IF(NOT(H56=""),(H56-$J56)^2,"")</f>
        <v>6615.11111111111</v>
      </c>
      <c r="M56" s="66" t="n">
        <f aca="false">IF(NOT(I56=""),(I56-$J56)^2,"")</f>
        <v>37895.1111111111</v>
      </c>
      <c r="N56" s="66" t="n">
        <f aca="false">IF(COUNT(K56:M56)&gt;0,SUM(K56:M56)/COUNT(K56:M56),"")</f>
        <v>19118.2222222222</v>
      </c>
      <c r="O56" s="66" t="n">
        <f aca="false">IF(NOT(N56=""),SQRT(N56),"")</f>
        <v>138.268659580623</v>
      </c>
      <c r="P56" s="66" t="n">
        <f aca="false">IF(COUNT(K56:M56)&gt;0,VLOOKUP(COUNT(K56:M56),'t values'!$A$3:$C$5,3)*(O56/SQRT(COUNT(K56:M56))),"")</f>
        <v>343.506114009742</v>
      </c>
      <c r="Q56" s="66" t="n">
        <f aca="false">IF(NOT(P56=""),J56-P56,"")</f>
        <v>-289.839447343076</v>
      </c>
      <c r="R56" s="66" t="n">
        <f aca="false">IF(NOT(P56=""),J56+P56,"")</f>
        <v>397.172780676409</v>
      </c>
      <c r="T56" s="0" t="str">
        <f aca="false">IF(S56="", "", IF(C56="","", S56-C56))</f>
        <v/>
      </c>
      <c r="U56" s="0" t="str">
        <f aca="false">IF($S56="", "", IF(D56="","", $S56-D56))</f>
        <v/>
      </c>
      <c r="V56" s="0" t="str">
        <f aca="false">IF($S56="", "", IF(E56="","", $S56-E56))</f>
        <v/>
      </c>
      <c r="W56" s="66" t="str">
        <f aca="false">IF(SUM($C56:$E56)&gt;0,IF(NOT(S56=""),AVERAGE(T56:V56),""),"")</f>
        <v/>
      </c>
      <c r="X56" s="66" t="str">
        <f aca="false">IF(NOT(T56=""),(T56-$W56)^2,"")</f>
        <v/>
      </c>
      <c r="Y56" s="66" t="str">
        <f aca="false">IF(NOT(U56=""),(U56-$W56)^2,"")</f>
        <v/>
      </c>
      <c r="Z56" s="66" t="str">
        <f aca="false">IF(NOT(V56=""),(V56-$W56)^2,"")</f>
        <v/>
      </c>
      <c r="AA56" s="0" t="str">
        <f aca="false">IF(COUNT(X56:Z56)&gt;0,SUM(X56:Z56)/COUNT(X56:Z56),"")</f>
        <v/>
      </c>
      <c r="AB56" s="0" t="str">
        <f aca="false">IF(NOT(AA56=""),SQRT(AA56),"")</f>
        <v/>
      </c>
      <c r="AD56" s="66" t="str">
        <f aca="false">IF(NOT(W56=""),W56-AG56,"")</f>
        <v/>
      </c>
      <c r="AE56" s="66" t="str">
        <f aca="false">IF(NOT(W56=""),W56+AG56,"")</f>
        <v/>
      </c>
      <c r="AF56" s="63" t="n">
        <v>138.268659580623</v>
      </c>
      <c r="AG56" s="63" t="n">
        <v>344</v>
      </c>
      <c r="AH56" s="63"/>
    </row>
    <row r="57" customFormat="false" ht="12.8" hidden="false" customHeight="false" outlineLevel="0" collapsed="false">
      <c r="A57" s="56" t="s">
        <v>37</v>
      </c>
      <c r="B57" s="57" t="n">
        <v>30</v>
      </c>
      <c r="C57" s="56" t="n">
        <v>282</v>
      </c>
      <c r="D57" s="25" t="n">
        <v>323</v>
      </c>
      <c r="E57" s="77" t="n">
        <v>358</v>
      </c>
      <c r="F57" s="0" t="n">
        <v>426</v>
      </c>
      <c r="G57" s="0" t="n">
        <f aca="false">IF(F57="", "", IF(C57="","", F57-C57))</f>
        <v>144</v>
      </c>
      <c r="H57" s="0" t="n">
        <f aca="false">IF(F57="", "", IF(D57="","", F57-D57))</f>
        <v>103</v>
      </c>
      <c r="I57" s="0" t="n">
        <f aca="false">IF(F57="", "", IF(E57="","", F57-E57))</f>
        <v>68</v>
      </c>
      <c r="J57" s="66" t="n">
        <f aca="false">IF(SUM(C57:E57)&gt;0,AVERAGE(G57:I57),"")</f>
        <v>105</v>
      </c>
      <c r="K57" s="66" t="n">
        <f aca="false">IF(NOT(G57=""),(G57-$J57)^2,"")</f>
        <v>1521</v>
      </c>
      <c r="L57" s="66" t="n">
        <f aca="false">IF(NOT(H57=""),(H57-$J57)^2,"")</f>
        <v>4</v>
      </c>
      <c r="M57" s="66" t="n">
        <f aca="false">IF(NOT(I57=""),(I57-$J57)^2,"")</f>
        <v>1369</v>
      </c>
      <c r="N57" s="66" t="n">
        <f aca="false">IF(COUNT(K57:M57)&gt;0,SUM(K57:M57)/COUNT(K57:M57),"")</f>
        <v>964.666666666667</v>
      </c>
      <c r="O57" s="66" t="n">
        <f aca="false">IF(NOT(N57=""),SQRT(N57),"")</f>
        <v>31.0590834807898</v>
      </c>
      <c r="P57" s="66" t="n">
        <f aca="false">IF(COUNT(K57:M57)&gt;0,VLOOKUP(COUNT(K57:M57),'t values'!$A$3:$C$5,3)*(O57/SQRT(COUNT(K57:M57))),"")</f>
        <v>77.1612678068184</v>
      </c>
      <c r="Q57" s="66" t="n">
        <f aca="false">IF(NOT(P57=""),J57-P57,"")</f>
        <v>27.8387321931816</v>
      </c>
      <c r="R57" s="66" t="n">
        <f aca="false">IF(NOT(P57=""),J57+P57,"")</f>
        <v>182.161267806818</v>
      </c>
      <c r="T57" s="0" t="str">
        <f aca="false">IF(S57="", "", IF(C57="","", S57-C57))</f>
        <v/>
      </c>
      <c r="U57" s="0" t="str">
        <f aca="false">IF($S57="", "", IF(D57="","", $S57-D57))</f>
        <v/>
      </c>
      <c r="V57" s="0" t="str">
        <f aca="false">IF($S57="", "", IF(E57="","", $S57-E57))</f>
        <v/>
      </c>
      <c r="W57" s="66" t="str">
        <f aca="false">IF(SUM($C57:$E57)&gt;0,IF(NOT(S57=""),AVERAGE(T57:V57),""),"")</f>
        <v/>
      </c>
      <c r="X57" s="66" t="str">
        <f aca="false">IF(NOT(T57=""),(T57-$W57)^2,"")</f>
        <v/>
      </c>
      <c r="Y57" s="66" t="str">
        <f aca="false">IF(NOT(U57=""),(U57-$W57)^2,"")</f>
        <v/>
      </c>
      <c r="Z57" s="66" t="str">
        <f aca="false">IF(NOT(V57=""),(V57-$W57)^2,"")</f>
        <v/>
      </c>
      <c r="AA57" s="0" t="str">
        <f aca="false">IF(COUNT(X57:Z57)&gt;0,SUM(X57:Z57)/COUNT(X57:Z57),"")</f>
        <v/>
      </c>
      <c r="AB57" s="0" t="str">
        <f aca="false">IF(NOT(AA57=""),SQRT(AA57),"")</f>
        <v/>
      </c>
      <c r="AD57" s="66" t="str">
        <f aca="false">IF(NOT(W57=""),W57-AG57,"")</f>
        <v/>
      </c>
      <c r="AE57" s="66" t="str">
        <f aca="false">IF(NOT(W57=""),W57+AG57,"")</f>
        <v/>
      </c>
      <c r="AF57" s="63" t="n">
        <v>31.0590834807898</v>
      </c>
      <c r="AG57" s="63" t="n">
        <v>77</v>
      </c>
      <c r="AH57" s="63"/>
    </row>
    <row r="58" customFormat="false" ht="12.8" hidden="false" customHeight="false" outlineLevel="0" collapsed="false">
      <c r="A58" s="56" t="s">
        <v>37</v>
      </c>
      <c r="B58" s="57" t="n">
        <v>40</v>
      </c>
      <c r="C58" s="56" t="n">
        <v>226</v>
      </c>
      <c r="D58" s="25" t="n">
        <v>283</v>
      </c>
      <c r="E58" s="77" t="n">
        <v>241</v>
      </c>
      <c r="F58" s="0" t="n">
        <v>647</v>
      </c>
      <c r="G58" s="0" t="n">
        <f aca="false">IF(F58="", "", IF(C58="","", F58-C58))</f>
        <v>421</v>
      </c>
      <c r="H58" s="0" t="n">
        <f aca="false">IF(F58="", "", IF(D58="","", F58-D58))</f>
        <v>364</v>
      </c>
      <c r="I58" s="0" t="n">
        <f aca="false">IF(F58="", "", IF(E58="","", F58-E58))</f>
        <v>406</v>
      </c>
      <c r="J58" s="66" t="n">
        <f aca="false">IF(SUM(C58:E58)&gt;0,AVERAGE(G58:I58),"")</f>
        <v>397</v>
      </c>
      <c r="K58" s="66" t="n">
        <f aca="false">IF(NOT(G58=""),(G58-$J58)^2,"")</f>
        <v>576</v>
      </c>
      <c r="L58" s="66" t="n">
        <f aca="false">IF(NOT(H58=""),(H58-$J58)^2,"")</f>
        <v>1089</v>
      </c>
      <c r="M58" s="66" t="n">
        <f aca="false">IF(NOT(I58=""),(I58-$J58)^2,"")</f>
        <v>81</v>
      </c>
      <c r="N58" s="66" t="n">
        <f aca="false">IF(COUNT(K58:M58)&gt;0,SUM(K58:M58)/COUNT(K58:M58),"")</f>
        <v>582</v>
      </c>
      <c r="O58" s="66" t="n">
        <f aca="false">IF(NOT(N58=""),SQRT(N58),"")</f>
        <v>24.1246761636296</v>
      </c>
      <c r="P58" s="66" t="n">
        <f aca="false">IF(COUNT(K58:M58)&gt;0,VLOOKUP(COUNT(K58:M58),'t values'!$A$3:$C$5,3)*(O58/SQRT(COUNT(K58:M58))),"")</f>
        <v>59.9338547567233</v>
      </c>
      <c r="Q58" s="66" t="n">
        <f aca="false">IF(NOT(P58=""),J58-P58,"")</f>
        <v>337.066145243277</v>
      </c>
      <c r="R58" s="66" t="n">
        <f aca="false">IF(NOT(P58=""),J58+P58,"")</f>
        <v>456.933854756723</v>
      </c>
      <c r="T58" s="0" t="str">
        <f aca="false">IF(S58="", "", IF(C58="","", S58-C58))</f>
        <v/>
      </c>
      <c r="U58" s="0" t="str">
        <f aca="false">IF($S58="", "", IF(D58="","", $S58-D58))</f>
        <v/>
      </c>
      <c r="V58" s="0" t="str">
        <f aca="false">IF($S58="", "", IF(E58="","", $S58-E58))</f>
        <v/>
      </c>
      <c r="W58" s="66" t="str">
        <f aca="false">IF(SUM($C58:$E58)&gt;0,IF(NOT(S58=""),AVERAGE(T58:V58),""),"")</f>
        <v/>
      </c>
      <c r="X58" s="66" t="str">
        <f aca="false">IF(NOT(T58=""),(T58-$W58)^2,"")</f>
        <v/>
      </c>
      <c r="Y58" s="66" t="str">
        <f aca="false">IF(NOT(U58=""),(U58-$W58)^2,"")</f>
        <v/>
      </c>
      <c r="Z58" s="66" t="str">
        <f aca="false">IF(NOT(V58=""),(V58-$W58)^2,"")</f>
        <v/>
      </c>
      <c r="AA58" s="0" t="str">
        <f aca="false">IF(COUNT(X58:Z58)&gt;0,SUM(X58:Z58)/COUNT(X58:Z58),"")</f>
        <v/>
      </c>
      <c r="AB58" s="0" t="str">
        <f aca="false">IF(NOT(AA58=""),SQRT(AA58),"")</f>
        <v/>
      </c>
      <c r="AD58" s="66" t="str">
        <f aca="false">IF(NOT(W58=""),W58-AG58,"")</f>
        <v/>
      </c>
      <c r="AE58" s="66" t="str">
        <f aca="false">IF(NOT(W58=""),W58+AG58,"")</f>
        <v/>
      </c>
      <c r="AF58" s="63" t="n">
        <v>24.1246761636296</v>
      </c>
      <c r="AG58" s="63" t="n">
        <v>60</v>
      </c>
      <c r="AH58" s="63"/>
    </row>
    <row r="59" customFormat="false" ht="12.8" hidden="false" customHeight="false" outlineLevel="0" collapsed="false">
      <c r="A59" s="56" t="s">
        <v>37</v>
      </c>
      <c r="B59" s="57" t="n">
        <v>50</v>
      </c>
      <c r="C59" s="56" t="n">
        <v>195</v>
      </c>
      <c r="D59" s="25" t="n">
        <v>249</v>
      </c>
      <c r="E59" s="77" t="n">
        <v>242</v>
      </c>
      <c r="F59" s="0" t="n">
        <v>354</v>
      </c>
      <c r="G59" s="0" t="n">
        <f aca="false">IF(F59="", "", IF(C59="","", F59-C59))</f>
        <v>159</v>
      </c>
      <c r="H59" s="0" t="n">
        <f aca="false">IF(F59="", "", IF(D59="","", F59-D59))</f>
        <v>105</v>
      </c>
      <c r="I59" s="0" t="n">
        <f aca="false">IF(F59="", "", IF(E59="","", F59-E59))</f>
        <v>112</v>
      </c>
      <c r="J59" s="66" t="n">
        <f aca="false">IF(SUM(C59:E59)&gt;0,AVERAGE(G59:I59),"")</f>
        <v>125.333333333333</v>
      </c>
      <c r="K59" s="66" t="n">
        <f aca="false">IF(NOT(G59=""),(G59-$J59)^2,"")</f>
        <v>1133.44444444444</v>
      </c>
      <c r="L59" s="66" t="n">
        <f aca="false">IF(NOT(H59=""),(H59-$J59)^2,"")</f>
        <v>413.444444444444</v>
      </c>
      <c r="M59" s="66" t="n">
        <f aca="false">IF(NOT(I59=""),(I59-$J59)^2,"")</f>
        <v>177.777777777778</v>
      </c>
      <c r="N59" s="66" t="n">
        <f aca="false">IF(COUNT(K59:M59)&gt;0,SUM(K59:M59)/COUNT(K59:M59),"")</f>
        <v>574.888888888889</v>
      </c>
      <c r="O59" s="66" t="n">
        <f aca="false">IF(NOT(N59=""),SQRT(N59),"")</f>
        <v>23.9768406778059</v>
      </c>
      <c r="P59" s="66" t="n">
        <f aca="false">IF(COUNT(K59:M59)&gt;0,VLOOKUP(COUNT(K59:M59),'t values'!$A$3:$C$5,3)*(O59/SQRT(COUNT(K59:M59))),"")</f>
        <v>59.5665814107454</v>
      </c>
      <c r="Q59" s="66" t="n">
        <f aca="false">IF(NOT(P59=""),J59-P59,"")</f>
        <v>65.7667519225879</v>
      </c>
      <c r="R59" s="66" t="n">
        <f aca="false">IF(NOT(P59=""),J59+P59,"")</f>
        <v>184.899914744079</v>
      </c>
      <c r="T59" s="0" t="str">
        <f aca="false">IF(S59="", "", IF(C59="","", S59-C59))</f>
        <v/>
      </c>
      <c r="U59" s="0" t="str">
        <f aca="false">IF($S59="", "", IF(D59="","", $S59-D59))</f>
        <v/>
      </c>
      <c r="V59" s="0" t="str">
        <f aca="false">IF($S59="", "", IF(E59="","", $S59-E59))</f>
        <v/>
      </c>
      <c r="W59" s="66" t="str">
        <f aca="false">IF(SUM($C59:$E59)&gt;0,IF(NOT(S59=""),AVERAGE(T59:V59),""),"")</f>
        <v/>
      </c>
      <c r="X59" s="66" t="str">
        <f aca="false">IF(NOT(T59=""),(T59-$W59)^2,"")</f>
        <v/>
      </c>
      <c r="Y59" s="66" t="str">
        <f aca="false">IF(NOT(U59=""),(U59-$W59)^2,"")</f>
        <v/>
      </c>
      <c r="Z59" s="66" t="str">
        <f aca="false">IF(NOT(V59=""),(V59-$W59)^2,"")</f>
        <v/>
      </c>
      <c r="AA59" s="0" t="str">
        <f aca="false">IF(COUNT(X59:Z59)&gt;0,SUM(X59:Z59)/COUNT(X59:Z59),"")</f>
        <v/>
      </c>
      <c r="AB59" s="0" t="str">
        <f aca="false">IF(NOT(AA59=""),SQRT(AA59),"")</f>
        <v/>
      </c>
      <c r="AD59" s="66" t="str">
        <f aca="false">IF(NOT(W59=""),W59-AG59,"")</f>
        <v/>
      </c>
      <c r="AE59" s="66" t="str">
        <f aca="false">IF(NOT(W59=""),W59+AG59,"")</f>
        <v/>
      </c>
      <c r="AF59" s="63" t="n">
        <v>23.9768406778059</v>
      </c>
      <c r="AG59" s="63" t="n">
        <v>60</v>
      </c>
      <c r="AH59" s="63"/>
    </row>
    <row r="60" customFormat="false" ht="12.8" hidden="false" customHeight="false" outlineLevel="0" collapsed="false">
      <c r="A60" s="56" t="s">
        <v>37</v>
      </c>
      <c r="B60" s="57" t="n">
        <v>64</v>
      </c>
      <c r="C60" s="56" t="n">
        <v>609</v>
      </c>
      <c r="D60" s="25" t="n">
        <v>199</v>
      </c>
      <c r="E60" s="77" t="n">
        <v>191</v>
      </c>
      <c r="F60" s="0" t="n">
        <v>364</v>
      </c>
      <c r="G60" s="0" t="n">
        <f aca="false">IF(F60="", "", IF(C60="","", F60-C60))</f>
        <v>-245</v>
      </c>
      <c r="H60" s="0" t="n">
        <f aca="false">IF(F60="", "", IF(D60="","", F60-D60))</f>
        <v>165</v>
      </c>
      <c r="I60" s="0" t="n">
        <f aca="false">IF(F60="", "", IF(E60="","", F60-E60))</f>
        <v>173</v>
      </c>
      <c r="J60" s="66" t="n">
        <f aca="false">IF(SUM(C60:E60)&gt;0,AVERAGE(G60:I60),"")</f>
        <v>31</v>
      </c>
      <c r="K60" s="66" t="n">
        <f aca="false">IF(NOT(G60=""),(G60-$J60)^2,"")</f>
        <v>76176</v>
      </c>
      <c r="L60" s="66" t="n">
        <f aca="false">IF(NOT(H60=""),(H60-$J60)^2,"")</f>
        <v>17956</v>
      </c>
      <c r="M60" s="66" t="n">
        <f aca="false">IF(NOT(I60=""),(I60-$J60)^2,"")</f>
        <v>20164</v>
      </c>
      <c r="N60" s="66" t="n">
        <f aca="false">IF(COUNT(K60:M60)&gt;0,SUM(K60:M60)/COUNT(K60:M60),"")</f>
        <v>38098.6666666667</v>
      </c>
      <c r="O60" s="66" t="n">
        <f aca="false">IF(NOT(N60=""),SQRT(N60),"")</f>
        <v>195.188797492752</v>
      </c>
      <c r="P60" s="66" t="n">
        <f aca="false">IF(COUNT(K60:M60)&gt;0,VLOOKUP(COUNT(K60:M60),'t values'!$A$3:$C$5,3)*(O60/SQRT(COUNT(K60:M60))),"")</f>
        <v>484.914987447857</v>
      </c>
      <c r="Q60" s="66" t="n">
        <f aca="false">IF(NOT(P60=""),J60-P60,"")</f>
        <v>-453.914987447857</v>
      </c>
      <c r="R60" s="66" t="n">
        <f aca="false">IF(NOT(P60=""),J60+P60,"")</f>
        <v>515.914987447857</v>
      </c>
      <c r="T60" s="0" t="str">
        <f aca="false">IF(S60="", "", IF(C60="","", S60-C60))</f>
        <v/>
      </c>
      <c r="U60" s="0" t="str">
        <f aca="false">IF($S60="", "", IF(D60="","", $S60-D60))</f>
        <v/>
      </c>
      <c r="V60" s="0" t="str">
        <f aca="false">IF($S60="", "", IF(E60="","", $S60-E60))</f>
        <v/>
      </c>
      <c r="W60" s="66" t="str">
        <f aca="false">IF(SUM($C60:$E60)&gt;0,IF(NOT(S60=""),AVERAGE(T60:V60),""),"")</f>
        <v/>
      </c>
      <c r="X60" s="66" t="str">
        <f aca="false">IF(NOT(T60=""),(T60-$W60)^2,"")</f>
        <v/>
      </c>
      <c r="Y60" s="66" t="str">
        <f aca="false">IF(NOT(U60=""),(U60-$W60)^2,"")</f>
        <v/>
      </c>
      <c r="Z60" s="66" t="str">
        <f aca="false">IF(NOT(V60=""),(V60-$W60)^2,"")</f>
        <v/>
      </c>
      <c r="AA60" s="0" t="str">
        <f aca="false">IF(COUNT(X60:Z60)&gt;0,SUM(X60:Z60)/COUNT(X60:Z60),"")</f>
        <v/>
      </c>
      <c r="AB60" s="0" t="str">
        <f aca="false">IF(NOT(AA60=""),SQRT(AA60),"")</f>
        <v/>
      </c>
      <c r="AD60" s="66" t="str">
        <f aca="false">IF(NOT(W60=""),W60-AG60,"")</f>
        <v/>
      </c>
      <c r="AE60" s="66" t="str">
        <f aca="false">IF(NOT(W60=""),W60+AG60,"")</f>
        <v/>
      </c>
      <c r="AF60" s="63" t="n">
        <v>195.188797492752</v>
      </c>
      <c r="AG60" s="63" t="n">
        <v>485</v>
      </c>
      <c r="AH60" s="63"/>
    </row>
    <row r="61" customFormat="false" ht="12.8" hidden="false" customHeight="false" outlineLevel="0" collapsed="false">
      <c r="A61" s="56" t="s">
        <v>37</v>
      </c>
      <c r="B61" s="57" t="n">
        <v>82</v>
      </c>
      <c r="C61" s="56" t="n">
        <v>570</v>
      </c>
      <c r="D61" s="25" t="n">
        <v>188</v>
      </c>
      <c r="E61" s="77" t="n">
        <v>168</v>
      </c>
      <c r="F61" s="0" t="n">
        <v>357</v>
      </c>
      <c r="G61" s="0" t="n">
        <f aca="false">IF(F61="", "", IF(C61="","", F61-C61))</f>
        <v>-213</v>
      </c>
      <c r="H61" s="0" t="n">
        <f aca="false">IF(F61="", "", IF(D61="","", F61-D61))</f>
        <v>169</v>
      </c>
      <c r="I61" s="0" t="n">
        <f aca="false">IF(F61="", "", IF(E61="","", F61-E61))</f>
        <v>189</v>
      </c>
      <c r="J61" s="66" t="n">
        <f aca="false">IF(SUM(C61:E61)&gt;0,AVERAGE(G61:I61),"")</f>
        <v>48.3333333333333</v>
      </c>
      <c r="K61" s="66" t="n">
        <f aca="false">IF(NOT(G61=""),(G61-$J61)^2,"")</f>
        <v>68295.1111111111</v>
      </c>
      <c r="L61" s="66" t="n">
        <f aca="false">IF(NOT(H61=""),(H61-$J61)^2,"")</f>
        <v>14560.4444444444</v>
      </c>
      <c r="M61" s="66" t="n">
        <f aca="false">IF(NOT(I61=""),(I61-$J61)^2,"")</f>
        <v>19787.1111111111</v>
      </c>
      <c r="N61" s="66" t="n">
        <f aca="false">IF(COUNT(K61:M61)&gt;0,SUM(K61:M61)/COUNT(K61:M61),"")</f>
        <v>34214.2222222222</v>
      </c>
      <c r="O61" s="66" t="n">
        <f aca="false">IF(NOT(N61=""),SQRT(N61),"")</f>
        <v>184.97086857725</v>
      </c>
      <c r="P61" s="66" t="n">
        <f aca="false">IF(COUNT(K61:M61)&gt;0,VLOOKUP(COUNT(K61:M61),'t values'!$A$3:$C$5,3)*(O61/SQRT(COUNT(K61:M61))),"")</f>
        <v>459.530196233146</v>
      </c>
      <c r="Q61" s="66" t="n">
        <f aca="false">IF(NOT(P61=""),J61-P61,"")</f>
        <v>-411.196862899813</v>
      </c>
      <c r="R61" s="66" t="n">
        <f aca="false">IF(NOT(P61=""),J61+P61,"")</f>
        <v>507.86352956648</v>
      </c>
      <c r="T61" s="0" t="str">
        <f aca="false">IF(S61="", "", IF(C61="","", S61-C61))</f>
        <v/>
      </c>
      <c r="U61" s="0" t="str">
        <f aca="false">IF($S61="", "", IF(D61="","", $S61-D61))</f>
        <v/>
      </c>
      <c r="V61" s="0" t="str">
        <f aca="false">IF($S61="", "", IF(E61="","", $S61-E61))</f>
        <v/>
      </c>
      <c r="W61" s="66" t="str">
        <f aca="false">IF(SUM($C61:$E61)&gt;0,IF(NOT(S61=""),AVERAGE(T61:V61),""),"")</f>
        <v/>
      </c>
      <c r="X61" s="66" t="str">
        <f aca="false">IF(NOT(T61=""),(T61-$W61)^2,"")</f>
        <v/>
      </c>
      <c r="Y61" s="66" t="str">
        <f aca="false">IF(NOT(U61=""),(U61-$W61)^2,"")</f>
        <v/>
      </c>
      <c r="Z61" s="66" t="str">
        <f aca="false">IF(NOT(V61=""),(V61-$W61)^2,"")</f>
        <v/>
      </c>
      <c r="AA61" s="0" t="str">
        <f aca="false">IF(COUNT(X61:Z61)&gt;0,SUM(X61:Z61)/COUNT(X61:Z61),"")</f>
        <v/>
      </c>
      <c r="AB61" s="0" t="str">
        <f aca="false">IF(NOT(AA61=""),SQRT(AA61),"")</f>
        <v/>
      </c>
      <c r="AD61" s="66" t="str">
        <f aca="false">IF(NOT(W61=""),W61-AG61,"")</f>
        <v/>
      </c>
      <c r="AE61" s="66" t="str">
        <f aca="false">IF(NOT(W61=""),W61+AG61,"")</f>
        <v/>
      </c>
      <c r="AF61" s="63" t="n">
        <v>184.97086857725</v>
      </c>
      <c r="AG61" s="63" t="n">
        <v>460</v>
      </c>
      <c r="AH61" s="63"/>
    </row>
    <row r="62" customFormat="false" ht="12.8" hidden="false" customHeight="false" outlineLevel="0" collapsed="false">
      <c r="A62" s="56" t="s">
        <v>37</v>
      </c>
      <c r="B62" s="57" t="n">
        <v>100</v>
      </c>
      <c r="C62" s="56" t="n">
        <v>386</v>
      </c>
      <c r="D62" s="25" t="n">
        <v>172</v>
      </c>
      <c r="E62" s="77" t="n">
        <v>154</v>
      </c>
      <c r="F62" s="0" t="n">
        <v>360</v>
      </c>
      <c r="G62" s="0" t="n">
        <f aca="false">IF(F62="", "", IF(C62="","", F62-C62))</f>
        <v>-26</v>
      </c>
      <c r="H62" s="0" t="n">
        <f aca="false">IF(F62="", "", IF(D62="","", F62-D62))</f>
        <v>188</v>
      </c>
      <c r="I62" s="0" t="n">
        <f aca="false">IF(F62="", "", IF(E62="","", F62-E62))</f>
        <v>206</v>
      </c>
      <c r="J62" s="66" t="n">
        <f aca="false">IF(SUM(C62:E62)&gt;0,AVERAGE(G62:I62),"")</f>
        <v>122.666666666667</v>
      </c>
      <c r="K62" s="66" t="n">
        <f aca="false">IF(NOT(G62=""),(G62-$J62)^2,"")</f>
        <v>22101.7777777778</v>
      </c>
      <c r="L62" s="66" t="n">
        <f aca="false">IF(NOT(H62=""),(H62-$J62)^2,"")</f>
        <v>4268.44444444444</v>
      </c>
      <c r="M62" s="66" t="n">
        <f aca="false">IF(NOT(I62=""),(I62-$J62)^2,"")</f>
        <v>6944.44444444444</v>
      </c>
      <c r="N62" s="66" t="n">
        <f aca="false">IF(COUNT(K62:M62)&gt;0,SUM(K62:M62)/COUNT(K62:M62),"")</f>
        <v>11104.8888888889</v>
      </c>
      <c r="O62" s="66" t="n">
        <f aca="false">IF(NOT(N62=""),SQRT(N62),"")</f>
        <v>105.379736614251</v>
      </c>
      <c r="P62" s="66" t="n">
        <f aca="false">IF(COUNT(K62:M62)&gt;0,VLOOKUP(COUNT(K62:M62),'t values'!$A$3:$C$5,3)*(O62/SQRT(COUNT(K62:M62))),"")</f>
        <v>261.798906053793</v>
      </c>
      <c r="Q62" s="66" t="n">
        <f aca="false">IF(NOT(P62=""),J62-P62,"")</f>
        <v>-139.132239387127</v>
      </c>
      <c r="R62" s="66" t="n">
        <f aca="false">IF(NOT(P62=""),J62+P62,"")</f>
        <v>384.46557272046</v>
      </c>
      <c r="T62" s="0" t="str">
        <f aca="false">IF(S62="", "", IF(C62="","", S62-C62))</f>
        <v/>
      </c>
      <c r="U62" s="0" t="str">
        <f aca="false">IF($S62="", "", IF(D62="","", $S62-D62))</f>
        <v/>
      </c>
      <c r="V62" s="0" t="str">
        <f aca="false">IF($S62="", "", IF(E62="","", $S62-E62))</f>
        <v/>
      </c>
      <c r="W62" s="66" t="str">
        <f aca="false">IF(SUM($C62:$E62)&gt;0,IF(NOT(S62=""),AVERAGE(T62:V62),""),"")</f>
        <v/>
      </c>
      <c r="X62" s="66" t="str">
        <f aca="false">IF(NOT(T62=""),(T62-$W62)^2,"")</f>
        <v/>
      </c>
      <c r="Y62" s="66" t="str">
        <f aca="false">IF(NOT(U62=""),(U62-$W62)^2,"")</f>
        <v/>
      </c>
      <c r="Z62" s="66" t="str">
        <f aca="false">IF(NOT(V62=""),(V62-$W62)^2,"")</f>
        <v/>
      </c>
      <c r="AA62" s="0" t="str">
        <f aca="false">IF(COUNT(X62:Z62)&gt;0,SUM(X62:Z62)/COUNT(X62:Z62),"")</f>
        <v/>
      </c>
      <c r="AB62" s="0" t="str">
        <f aca="false">IF(NOT(AA62=""),SQRT(AA62),"")</f>
        <v/>
      </c>
      <c r="AD62" s="66" t="str">
        <f aca="false">IF(NOT(W62=""),W62-AG62,"")</f>
        <v/>
      </c>
      <c r="AE62" s="66" t="str">
        <f aca="false">IF(NOT(W62=""),W62+AG62,"")</f>
        <v/>
      </c>
      <c r="AF62" s="63" t="n">
        <v>105.379736614251</v>
      </c>
      <c r="AG62" s="63" t="n">
        <v>262</v>
      </c>
      <c r="AH62" s="63"/>
    </row>
    <row r="63" customFormat="false" ht="12.8" hidden="false" customHeight="false" outlineLevel="0" collapsed="false">
      <c r="A63" s="56" t="s">
        <v>38</v>
      </c>
      <c r="B63" s="57" t="n">
        <v>5</v>
      </c>
      <c r="C63" s="56" t="n">
        <v>428</v>
      </c>
      <c r="D63" s="25" t="n">
        <v>1006</v>
      </c>
      <c r="E63" s="77"/>
      <c r="F63" s="0" t="n">
        <v>675</v>
      </c>
      <c r="G63" s="0" t="n">
        <f aca="false">IF(F63="", "", IF(C63="","", F63-C63))</f>
        <v>247</v>
      </c>
      <c r="H63" s="0" t="n">
        <f aca="false">IF(F63="", "", IF(D63="","", F63-D63))</f>
        <v>-331</v>
      </c>
      <c r="I63" s="0" t="str">
        <f aca="false">IF(F63="", "", IF(E63="","", F63-E63))</f>
        <v/>
      </c>
      <c r="J63" s="66" t="n">
        <f aca="false">IF(SUM(C63:E63)&gt;0,AVERAGE(G63:I63),"")</f>
        <v>-42</v>
      </c>
      <c r="K63" s="66" t="n">
        <f aca="false">IF(NOT(G63=""),(G63-$J63)^2,"")</f>
        <v>83521</v>
      </c>
      <c r="L63" s="66" t="n">
        <f aca="false">IF(NOT(H63=""),(H63-$J63)^2,"")</f>
        <v>83521</v>
      </c>
      <c r="M63" s="66" t="str">
        <f aca="false">IF(NOT(I63=""),(I63-$J63)^2,"")</f>
        <v/>
      </c>
      <c r="N63" s="66" t="n">
        <f aca="false">IF(COUNT(K63:M63)&gt;0,SUM(K63:M63)/COUNT(K63:M63),"")</f>
        <v>83521</v>
      </c>
      <c r="O63" s="66" t="n">
        <f aca="false">IF(NOT(N63=""),SQRT(N63),"")</f>
        <v>289</v>
      </c>
      <c r="P63" s="66" t="n">
        <f aca="false">IF(COUNT(K63:M63)&gt;0,VLOOKUP(COUNT(K63:M63),'t values'!$A$3:$C$5,3)*(O63/SQRT(COUNT(K63:M63))),"")</f>
        <v>2596.52014214756</v>
      </c>
      <c r="Q63" s="66" t="n">
        <f aca="false">IF(NOT(P63=""),J63-P63,"")</f>
        <v>-2638.52014214756</v>
      </c>
      <c r="R63" s="66" t="n">
        <f aca="false">IF(NOT(P63=""),J63+P63,"")</f>
        <v>2554.52014214756</v>
      </c>
      <c r="S63" s="0" t="n">
        <v>750</v>
      </c>
      <c r="T63" s="0" t="n">
        <f aca="false">IF(S63="", "", IF(C63="","", S63-C63))</f>
        <v>322</v>
      </c>
      <c r="U63" s="0" t="n">
        <f aca="false">IF($S63="", "", IF(D63="","", $S63-D63))</f>
        <v>-256</v>
      </c>
      <c r="V63" s="0" t="str">
        <f aca="false">IF($S63="", "", IF(E63="","", $S63-E63))</f>
        <v/>
      </c>
      <c r="W63" s="66" t="n">
        <f aca="false">IF(SUM($C63:$E63)&gt;0,IF(NOT(S63=""),AVERAGE(T63:V63),""),"")</f>
        <v>33</v>
      </c>
      <c r="X63" s="66" t="n">
        <f aca="false">IF(NOT(T63=""),(T63-$W63)^2,"")</f>
        <v>83521</v>
      </c>
      <c r="Y63" s="66" t="n">
        <f aca="false">IF(NOT(U63=""),(U63-$W63)^2,"")</f>
        <v>83521</v>
      </c>
      <c r="Z63" s="66" t="str">
        <f aca="false">IF(NOT(V63=""),(V63-$W63)^2,"")</f>
        <v/>
      </c>
      <c r="AA63" s="0" t="n">
        <f aca="false">IF(COUNT(X63:Z63)&gt;0,SUM(X63:Z63)/COUNT(X63:Z63),"")</f>
        <v>83521</v>
      </c>
      <c r="AB63" s="0" t="n">
        <f aca="false">IF(NOT(AA63=""),SQRT(AA63),"")</f>
        <v>289</v>
      </c>
      <c r="AD63" s="66" t="n">
        <f aca="false">IF(NOT(W63=""),W63-AG63,"")</f>
        <v>-2564</v>
      </c>
      <c r="AE63" s="66" t="n">
        <f aca="false">IF(NOT(W63=""),W63+AG63,"")</f>
        <v>2630</v>
      </c>
      <c r="AF63" s="63" t="n">
        <v>289</v>
      </c>
      <c r="AG63" s="63" t="n">
        <v>2597</v>
      </c>
      <c r="AH63" s="63"/>
    </row>
    <row r="64" customFormat="false" ht="12.8" hidden="false" customHeight="false" outlineLevel="0" collapsed="false">
      <c r="A64" s="56" t="s">
        <v>38</v>
      </c>
      <c r="B64" s="57" t="n">
        <v>10</v>
      </c>
      <c r="C64" s="56" t="n">
        <v>319</v>
      </c>
      <c r="D64" s="25" t="n">
        <v>228</v>
      </c>
      <c r="E64" s="77" t="n">
        <v>252</v>
      </c>
      <c r="F64" s="0" t="n">
        <v>374</v>
      </c>
      <c r="G64" s="0" t="n">
        <f aca="false">IF(F64="", "", IF(C64="","", F64-C64))</f>
        <v>55</v>
      </c>
      <c r="H64" s="0" t="n">
        <f aca="false">IF(F64="", "", IF(D64="","", F64-D64))</f>
        <v>146</v>
      </c>
      <c r="I64" s="0" t="n">
        <f aca="false">IF(F64="", "", IF(E64="","", F64-E64))</f>
        <v>122</v>
      </c>
      <c r="J64" s="66" t="n">
        <f aca="false">IF(SUM(C64:E64)&gt;0,AVERAGE(G64:I64),"")</f>
        <v>107.666666666667</v>
      </c>
      <c r="K64" s="66" t="n">
        <f aca="false">IF(NOT(G64=""),(G64-$J64)^2,"")</f>
        <v>2773.77777777778</v>
      </c>
      <c r="L64" s="66" t="n">
        <f aca="false">IF(NOT(H64=""),(H64-$J64)^2,"")</f>
        <v>1469.44444444444</v>
      </c>
      <c r="M64" s="66" t="n">
        <f aca="false">IF(NOT(I64=""),(I64-$J64)^2,"")</f>
        <v>205.444444444444</v>
      </c>
      <c r="N64" s="66" t="n">
        <f aca="false">IF(COUNT(K64:M64)&gt;0,SUM(K64:M64)/COUNT(K64:M64),"")</f>
        <v>1482.88888888889</v>
      </c>
      <c r="O64" s="66" t="n">
        <f aca="false">IF(NOT(N64=""),SQRT(N64),"")</f>
        <v>38.5082963644055</v>
      </c>
      <c r="P64" s="66" t="n">
        <f aca="false">IF(COUNT(K64:M64)&gt;0,VLOOKUP(COUNT(K64:M64),'t values'!$A$3:$C$5,3)*(O64/SQRT(COUNT(K64:M64))),"")</f>
        <v>95.6676319955168</v>
      </c>
      <c r="Q64" s="66" t="n">
        <f aca="false">IF(NOT(P64=""),J64-P64,"")</f>
        <v>11.9990346711499</v>
      </c>
      <c r="R64" s="66" t="n">
        <f aca="false">IF(NOT(P64=""),J64+P64,"")</f>
        <v>203.334298662183</v>
      </c>
      <c r="S64" s="0" t="n">
        <v>549</v>
      </c>
      <c r="T64" s="0" t="n">
        <f aca="false">IF(S64="", "", IF(C64="","", S64-C64))</f>
        <v>230</v>
      </c>
      <c r="U64" s="0" t="n">
        <f aca="false">IF($S64="", "", IF(D64="","", $S64-D64))</f>
        <v>321</v>
      </c>
      <c r="V64" s="0" t="n">
        <f aca="false">IF($S64="", "", IF(E64="","", $S64-E64))</f>
        <v>297</v>
      </c>
      <c r="W64" s="66" t="n">
        <f aca="false">IF(SUM($C64:$E64)&gt;0,IF(NOT(S64=""),AVERAGE(T64:V64),""),"")</f>
        <v>282.666666666667</v>
      </c>
      <c r="X64" s="66" t="n">
        <f aca="false">IF(NOT(T64=""),(T64-$W64)^2,"")</f>
        <v>2773.77777777778</v>
      </c>
      <c r="Y64" s="66" t="n">
        <f aca="false">IF(NOT(U64=""),(U64-$W64)^2,"")</f>
        <v>1469.44444444444</v>
      </c>
      <c r="Z64" s="66" t="n">
        <f aca="false">IF(NOT(V64=""),(V64-$W64)^2,"")</f>
        <v>205.444444444444</v>
      </c>
      <c r="AA64" s="0" t="n">
        <f aca="false">IF(COUNT(X64:Z64)&gt;0,SUM(X64:Z64)/COUNT(X64:Z64),"")</f>
        <v>1482.88888888889</v>
      </c>
      <c r="AB64" s="0" t="n">
        <f aca="false">IF(NOT(AA64=""),SQRT(AA64),"")</f>
        <v>38.5082963644055</v>
      </c>
      <c r="AD64" s="66" t="n">
        <f aca="false">IF(NOT(W64=""),W64-AG64,"")</f>
        <v>186.666666666667</v>
      </c>
      <c r="AE64" s="66" t="n">
        <f aca="false">IF(NOT(W64=""),W64+AG64,"")</f>
        <v>378.666666666667</v>
      </c>
      <c r="AF64" s="63" t="n">
        <v>38.5082963644055</v>
      </c>
      <c r="AG64" s="63" t="n">
        <v>96</v>
      </c>
      <c r="AH64" s="63"/>
    </row>
    <row r="65" customFormat="false" ht="12.8" hidden="false" customHeight="false" outlineLevel="0" collapsed="false">
      <c r="A65" s="56" t="s">
        <v>38</v>
      </c>
      <c r="B65" s="57" t="n">
        <v>15</v>
      </c>
      <c r="C65" s="56" t="n">
        <v>261</v>
      </c>
      <c r="D65" s="25" t="n">
        <v>181</v>
      </c>
      <c r="E65" s="77" t="n">
        <v>187</v>
      </c>
      <c r="F65" s="0" t="n">
        <v>432</v>
      </c>
      <c r="G65" s="0" t="n">
        <f aca="false">IF(F65="", "", IF(C65="","", F65-C65))</f>
        <v>171</v>
      </c>
      <c r="H65" s="0" t="n">
        <f aca="false">IF(F65="", "", IF(D65="","", F65-D65))</f>
        <v>251</v>
      </c>
      <c r="I65" s="0" t="n">
        <f aca="false">IF(F65="", "", IF(E65="","", F65-E65))</f>
        <v>245</v>
      </c>
      <c r="J65" s="66" t="n">
        <f aca="false">IF(SUM(C65:E65)&gt;0,AVERAGE(G65:I65),"")</f>
        <v>222.333333333333</v>
      </c>
      <c r="K65" s="66" t="n">
        <f aca="false">IF(NOT(G65=""),(G65-$J65)^2,"")</f>
        <v>2635.11111111111</v>
      </c>
      <c r="L65" s="66" t="n">
        <f aca="false">IF(NOT(H65=""),(H65-$J65)^2,"")</f>
        <v>821.777777777777</v>
      </c>
      <c r="M65" s="66" t="n">
        <f aca="false">IF(NOT(I65=""),(I65-$J65)^2,"")</f>
        <v>513.777777777777</v>
      </c>
      <c r="N65" s="66" t="n">
        <f aca="false">IF(COUNT(K65:M65)&gt;0,SUM(K65:M65)/COUNT(K65:M65),"")</f>
        <v>1323.55555555556</v>
      </c>
      <c r="O65" s="66" t="n">
        <f aca="false">IF(NOT(N65=""),SQRT(N65),"")</f>
        <v>36.3807030657127</v>
      </c>
      <c r="P65" s="66" t="n">
        <f aca="false">IF(COUNT(K65:M65)&gt;0,VLOOKUP(COUNT(K65:M65),'t values'!$A$3:$C$5,3)*(O65/SQRT(COUNT(K65:M65))),"")</f>
        <v>90.3819706718022</v>
      </c>
      <c r="Q65" s="66" t="n">
        <f aca="false">IF(NOT(P65=""),J65-P65,"")</f>
        <v>131.951362661531</v>
      </c>
      <c r="R65" s="66" t="n">
        <f aca="false">IF(NOT(P65=""),J65+P65,"")</f>
        <v>312.715304005136</v>
      </c>
      <c r="S65" s="0" t="n">
        <v>354</v>
      </c>
      <c r="T65" s="0" t="n">
        <f aca="false">IF(S65="", "", IF(C65="","", S65-C65))</f>
        <v>93</v>
      </c>
      <c r="U65" s="0" t="n">
        <f aca="false">IF($S65="", "", IF(D65="","", $S65-D65))</f>
        <v>173</v>
      </c>
      <c r="V65" s="0" t="n">
        <f aca="false">IF($S65="", "", IF(E65="","", $S65-E65))</f>
        <v>167</v>
      </c>
      <c r="W65" s="66" t="n">
        <f aca="false">IF(SUM($C65:$E65)&gt;0,IF(NOT(S65=""),AVERAGE(T65:V65),""),"")</f>
        <v>144.333333333333</v>
      </c>
      <c r="X65" s="66" t="n">
        <f aca="false">IF(NOT(T65=""),(T65-$W65)^2,"")</f>
        <v>2635.11111111111</v>
      </c>
      <c r="Y65" s="66" t="n">
        <f aca="false">IF(NOT(U65=""),(U65-$W65)^2,"")</f>
        <v>821.777777777777</v>
      </c>
      <c r="Z65" s="66" t="n">
        <f aca="false">IF(NOT(V65=""),(V65-$W65)^2,"")</f>
        <v>513.777777777777</v>
      </c>
      <c r="AA65" s="0" t="n">
        <f aca="false">IF(COUNT(X65:Z65)&gt;0,SUM(X65:Z65)/COUNT(X65:Z65),"")</f>
        <v>1323.55555555555</v>
      </c>
      <c r="AB65" s="0" t="n">
        <f aca="false">IF(NOT(AA65=""),SQRT(AA65),"")</f>
        <v>36.3807030657127</v>
      </c>
      <c r="AD65" s="66" t="n">
        <f aca="false">IF(NOT(W65=""),W65-AG65,"")</f>
        <v>54.3333333333333</v>
      </c>
      <c r="AE65" s="66" t="n">
        <f aca="false">IF(NOT(W65=""),W65+AG65,"")</f>
        <v>234.333333333333</v>
      </c>
      <c r="AF65" s="63" t="n">
        <v>36.3807030657127</v>
      </c>
      <c r="AG65" s="63" t="n">
        <v>90</v>
      </c>
      <c r="AH65" s="63"/>
    </row>
    <row r="66" customFormat="false" ht="12.8" hidden="false" customHeight="false" outlineLevel="0" collapsed="false">
      <c r="A66" s="56" t="s">
        <v>38</v>
      </c>
      <c r="B66" s="57" t="n">
        <v>20</v>
      </c>
      <c r="C66" s="56" t="n">
        <v>140</v>
      </c>
      <c r="D66" s="25" t="n">
        <v>179</v>
      </c>
      <c r="E66" s="77" t="n">
        <v>130</v>
      </c>
      <c r="F66" s="0" t="n">
        <v>336</v>
      </c>
      <c r="G66" s="0" t="n">
        <f aca="false">IF(F66="", "", IF(C66="","", F66-C66))</f>
        <v>196</v>
      </c>
      <c r="H66" s="0" t="n">
        <f aca="false">IF(F66="", "", IF(D66="","", F66-D66))</f>
        <v>157</v>
      </c>
      <c r="I66" s="0" t="n">
        <f aca="false">IF(F66="", "", IF(E66="","", F66-E66))</f>
        <v>206</v>
      </c>
      <c r="J66" s="66" t="n">
        <f aca="false">IF(SUM(C66:E66)&gt;0,AVERAGE(G66:I66),"")</f>
        <v>186.333333333333</v>
      </c>
      <c r="K66" s="66" t="n">
        <f aca="false">IF(NOT(G66=""),(G66-$J66)^2,"")</f>
        <v>93.4444444444443</v>
      </c>
      <c r="L66" s="66" t="n">
        <f aca="false">IF(NOT(H66=""),(H66-$J66)^2,"")</f>
        <v>860.444444444445</v>
      </c>
      <c r="M66" s="66" t="n">
        <f aca="false">IF(NOT(I66=""),(I66-$J66)^2,"")</f>
        <v>386.777777777777</v>
      </c>
      <c r="N66" s="66" t="n">
        <f aca="false">IF(COUNT(K66:M66)&gt;0,SUM(K66:M66)/COUNT(K66:M66),"")</f>
        <v>446.888888888889</v>
      </c>
      <c r="O66" s="66" t="n">
        <f aca="false">IF(NOT(N66=""),SQRT(N66),"")</f>
        <v>21.1397466609439</v>
      </c>
      <c r="P66" s="66" t="n">
        <f aca="false">IF(COUNT(K66:M66)&gt;0,VLOOKUP(COUNT(K66:M66),'t values'!$A$3:$C$5,3)*(O66/SQRT(COUNT(K66:M66))),"")</f>
        <v>52.5182803440507</v>
      </c>
      <c r="Q66" s="66" t="n">
        <f aca="false">IF(NOT(P66=""),J66-P66,"")</f>
        <v>133.815052989283</v>
      </c>
      <c r="R66" s="66" t="n">
        <f aca="false">IF(NOT(P66=""),J66+P66,"")</f>
        <v>238.851613677384</v>
      </c>
      <c r="S66" s="0" t="n">
        <v>269</v>
      </c>
      <c r="T66" s="0" t="n">
        <f aca="false">IF(S66="", "", IF(C66="","", S66-C66))</f>
        <v>129</v>
      </c>
      <c r="U66" s="0" t="n">
        <f aca="false">IF($S66="", "", IF(D66="","", $S66-D66))</f>
        <v>90</v>
      </c>
      <c r="V66" s="0" t="n">
        <f aca="false">IF($S66="", "", IF(E66="","", $S66-E66))</f>
        <v>139</v>
      </c>
      <c r="W66" s="66" t="n">
        <f aca="false">IF(SUM($C66:$E66)&gt;0,IF(NOT(S66=""),AVERAGE(T66:V66),""),"")</f>
        <v>119.333333333333</v>
      </c>
      <c r="X66" s="66" t="n">
        <f aca="false">IF(NOT(T66=""),(T66-$W66)^2,"")</f>
        <v>93.4444444444445</v>
      </c>
      <c r="Y66" s="66" t="n">
        <f aca="false">IF(NOT(U66=""),(U66-$W66)^2,"")</f>
        <v>860.444444444444</v>
      </c>
      <c r="Z66" s="66" t="n">
        <f aca="false">IF(NOT(V66=""),(V66-$W66)^2,"")</f>
        <v>386.777777777778</v>
      </c>
      <c r="AA66" s="0" t="n">
        <f aca="false">IF(COUNT(X66:Z66)&gt;0,SUM(X66:Z66)/COUNT(X66:Z66),"")</f>
        <v>446.888888888889</v>
      </c>
      <c r="AB66" s="0" t="n">
        <f aca="false">IF(NOT(AA66=""),SQRT(AA66),"")</f>
        <v>21.1397466609439</v>
      </c>
      <c r="AD66" s="66" t="n">
        <f aca="false">IF(NOT(W66=""),W66-AG66,"")</f>
        <v>66.3333333333333</v>
      </c>
      <c r="AE66" s="66" t="n">
        <f aca="false">IF(NOT(W66=""),W66+AG66,"")</f>
        <v>172.333333333333</v>
      </c>
      <c r="AF66" s="63" t="n">
        <v>21.1397466609439</v>
      </c>
      <c r="AG66" s="63" t="n">
        <v>53</v>
      </c>
      <c r="AH66" s="63"/>
    </row>
    <row r="67" customFormat="false" ht="12.8" hidden="false" customHeight="false" outlineLevel="0" collapsed="false">
      <c r="A67" s="56" t="s">
        <v>38</v>
      </c>
      <c r="B67" s="57" t="n">
        <v>30</v>
      </c>
      <c r="C67" s="56" t="n">
        <v>101</v>
      </c>
      <c r="D67" s="25" t="n">
        <v>104</v>
      </c>
      <c r="E67" s="77" t="n">
        <v>98</v>
      </c>
      <c r="F67" s="0" t="n">
        <v>387</v>
      </c>
      <c r="G67" s="0" t="n">
        <f aca="false">IF(F67="", "", IF(C67="","", F67-C67))</f>
        <v>286</v>
      </c>
      <c r="H67" s="0" t="n">
        <f aca="false">IF(F67="", "", IF(D67="","", F67-D67))</f>
        <v>283</v>
      </c>
      <c r="I67" s="0" t="n">
        <f aca="false">IF(F67="", "", IF(E67="","", F67-E67))</f>
        <v>289</v>
      </c>
      <c r="J67" s="66" t="n">
        <f aca="false">IF(SUM(C67:E67)&gt;0,AVERAGE(G67:I67),"")</f>
        <v>286</v>
      </c>
      <c r="K67" s="66" t="n">
        <f aca="false">IF(NOT(G67=""),(G67-$J67)^2,"")</f>
        <v>0</v>
      </c>
      <c r="L67" s="66" t="n">
        <f aca="false">IF(NOT(H67=""),(H67-$J67)^2,"")</f>
        <v>9</v>
      </c>
      <c r="M67" s="66" t="n">
        <f aca="false">IF(NOT(I67=""),(I67-$J67)^2,"")</f>
        <v>9</v>
      </c>
      <c r="N67" s="66" t="n">
        <f aca="false">IF(COUNT(K67:M67)&gt;0,SUM(K67:M67)/COUNT(K67:M67),"")</f>
        <v>6</v>
      </c>
      <c r="O67" s="66" t="n">
        <f aca="false">IF(NOT(N67=""),SQRT(N67),"")</f>
        <v>2.44948974278318</v>
      </c>
      <c r="P67" s="66" t="n">
        <f aca="false">IF(COUNT(K67:M67)&gt;0,VLOOKUP(COUNT(K67:M67),'t values'!$A$3:$C$5,3)*(O67/SQRT(COUNT(K67:M67))),"")</f>
        <v>6.08536095889143</v>
      </c>
      <c r="Q67" s="66" t="n">
        <f aca="false">IF(NOT(P67=""),J67-P67,"")</f>
        <v>279.914639041109</v>
      </c>
      <c r="R67" s="66" t="n">
        <f aca="false">IF(NOT(P67=""),J67+P67,"")</f>
        <v>292.085360958891</v>
      </c>
      <c r="S67" s="0" t="n">
        <v>172</v>
      </c>
      <c r="T67" s="0" t="n">
        <f aca="false">IF(S67="", "", IF(C67="","", S67-C67))</f>
        <v>71</v>
      </c>
      <c r="U67" s="0" t="n">
        <f aca="false">IF($S67="", "", IF(D67="","", $S67-D67))</f>
        <v>68</v>
      </c>
      <c r="V67" s="0" t="n">
        <f aca="false">IF($S67="", "", IF(E67="","", $S67-E67))</f>
        <v>74</v>
      </c>
      <c r="W67" s="66" t="n">
        <f aca="false">IF(SUM($C67:$E67)&gt;0,IF(NOT(S67=""),AVERAGE(T67:V67),""),"")</f>
        <v>71</v>
      </c>
      <c r="X67" s="66" t="n">
        <f aca="false">IF(NOT(T67=""),(T67-$W67)^2,"")</f>
        <v>0</v>
      </c>
      <c r="Y67" s="66" t="n">
        <f aca="false">IF(NOT(U67=""),(U67-$W67)^2,"")</f>
        <v>9</v>
      </c>
      <c r="Z67" s="66" t="n">
        <f aca="false">IF(NOT(V67=""),(V67-$W67)^2,"")</f>
        <v>9</v>
      </c>
      <c r="AA67" s="0" t="n">
        <f aca="false">IF(COUNT(X67:Z67)&gt;0,SUM(X67:Z67)/COUNT(X67:Z67),"")</f>
        <v>6</v>
      </c>
      <c r="AB67" s="0" t="n">
        <f aca="false">IF(NOT(AA67=""),SQRT(AA67),"")</f>
        <v>2.44948974278318</v>
      </c>
      <c r="AD67" s="66" t="n">
        <f aca="false">IF(NOT(W67=""),W67-AG67,"")</f>
        <v>65</v>
      </c>
      <c r="AE67" s="66" t="n">
        <f aca="false">IF(NOT(W67=""),W67+AG67,"")</f>
        <v>77</v>
      </c>
      <c r="AF67" s="63" t="n">
        <v>2.44948974278318</v>
      </c>
      <c r="AG67" s="63" t="n">
        <v>6</v>
      </c>
      <c r="AH67" s="63"/>
    </row>
    <row r="68" customFormat="false" ht="12.8" hidden="false" customHeight="false" outlineLevel="0" collapsed="false">
      <c r="A68" s="56" t="s">
        <v>38</v>
      </c>
      <c r="B68" s="57" t="n">
        <v>40</v>
      </c>
      <c r="C68" s="56" t="n">
        <v>86</v>
      </c>
      <c r="D68" s="25" t="n">
        <v>86</v>
      </c>
      <c r="E68" s="77" t="n">
        <v>105</v>
      </c>
      <c r="F68" s="0" t="n">
        <v>218</v>
      </c>
      <c r="G68" s="0" t="n">
        <f aca="false">IF(F68="", "", IF(C68="","", F68-C68))</f>
        <v>132</v>
      </c>
      <c r="H68" s="0" t="n">
        <f aca="false">IF(F68="", "", IF(D68="","", F68-D68))</f>
        <v>132</v>
      </c>
      <c r="I68" s="0" t="n">
        <f aca="false">IF(F68="", "", IF(E68="","", F68-E68))</f>
        <v>113</v>
      </c>
      <c r="J68" s="66" t="n">
        <f aca="false">IF(SUM(C68:E68)&gt;0,AVERAGE(G68:I68),"")</f>
        <v>125.666666666667</v>
      </c>
      <c r="K68" s="66" t="n">
        <f aca="false">IF(NOT(G68=""),(G68-$J68)^2,"")</f>
        <v>40.1111111111111</v>
      </c>
      <c r="L68" s="66" t="n">
        <f aca="false">IF(NOT(H68=""),(H68-$J68)^2,"")</f>
        <v>40.1111111111111</v>
      </c>
      <c r="M68" s="66" t="n">
        <f aca="false">IF(NOT(I68=""),(I68-$J68)^2,"")</f>
        <v>160.444444444445</v>
      </c>
      <c r="N68" s="66" t="n">
        <f aca="false">IF(COUNT(K68:M68)&gt;0,SUM(K68:M68)/COUNT(K68:M68),"")</f>
        <v>80.2222222222222</v>
      </c>
      <c r="O68" s="66" t="n">
        <f aca="false">IF(NOT(N68=""),SQRT(N68),"")</f>
        <v>8.9566858950296</v>
      </c>
      <c r="P68" s="66" t="n">
        <f aca="false">IF(COUNT(K68:M68)&gt;0,VLOOKUP(COUNT(K68:M68),'t values'!$A$3:$C$5,3)*(O68/SQRT(COUNT(K68:M68))),"")</f>
        <v>22.2514369889694</v>
      </c>
      <c r="Q68" s="66" t="n">
        <f aca="false">IF(NOT(P68=""),J68-P68,"")</f>
        <v>103.415229677697</v>
      </c>
      <c r="R68" s="66" t="n">
        <f aca="false">IF(NOT(P68=""),J68+P68,"")</f>
        <v>147.918103655636</v>
      </c>
      <c r="S68" s="0" t="n">
        <v>238</v>
      </c>
      <c r="T68" s="0" t="n">
        <f aca="false">IF(S68="", "", IF(C68="","", S68-C68))</f>
        <v>152</v>
      </c>
      <c r="U68" s="0" t="n">
        <f aca="false">IF($S68="", "", IF(D68="","", $S68-D68))</f>
        <v>152</v>
      </c>
      <c r="V68" s="0" t="n">
        <f aca="false">IF($S68="", "", IF(E68="","", $S68-E68))</f>
        <v>133</v>
      </c>
      <c r="W68" s="66" t="n">
        <f aca="false">IF(SUM($C68:$E68)&gt;0,IF(NOT(S68=""),AVERAGE(T68:V68),""),"")</f>
        <v>145.666666666667</v>
      </c>
      <c r="X68" s="66" t="n">
        <f aca="false">IF(NOT(T68=""),(T68-$W68)^2,"")</f>
        <v>40.1111111111112</v>
      </c>
      <c r="Y68" s="66" t="n">
        <f aca="false">IF(NOT(U68=""),(U68-$W68)^2,"")</f>
        <v>40.1111111111112</v>
      </c>
      <c r="Z68" s="66" t="n">
        <f aca="false">IF(NOT(V68=""),(V68-$W68)^2,"")</f>
        <v>160.444444444444</v>
      </c>
      <c r="AA68" s="0" t="n">
        <f aca="false">IF(COUNT(X68:Z68)&gt;0,SUM(X68:Z68)/COUNT(X68:Z68),"")</f>
        <v>80.2222222222221</v>
      </c>
      <c r="AB68" s="0" t="n">
        <f aca="false">IF(NOT(AA68=""),SQRT(AA68),"")</f>
        <v>8.9566858950296</v>
      </c>
      <c r="AD68" s="66" t="n">
        <f aca="false">IF(NOT(W68=""),W68-AG68,"")</f>
        <v>123.666666666667</v>
      </c>
      <c r="AE68" s="66" t="n">
        <f aca="false">IF(NOT(W68=""),W68+AG68,"")</f>
        <v>167.666666666667</v>
      </c>
      <c r="AF68" s="63" t="n">
        <v>8.9566858950296</v>
      </c>
      <c r="AG68" s="63" t="n">
        <v>22</v>
      </c>
      <c r="AH68" s="63"/>
    </row>
    <row r="69" customFormat="false" ht="12.8" hidden="false" customHeight="false" outlineLevel="0" collapsed="false">
      <c r="A69" s="56" t="s">
        <v>38</v>
      </c>
      <c r="B69" s="57" t="n">
        <v>50</v>
      </c>
      <c r="C69" s="56" t="n">
        <v>66</v>
      </c>
      <c r="D69" s="25" t="n">
        <v>77</v>
      </c>
      <c r="E69" s="77" t="n">
        <v>95</v>
      </c>
      <c r="F69" s="0" t="n">
        <v>259</v>
      </c>
      <c r="G69" s="0" t="n">
        <f aca="false">IF(F69="", "", IF(C69="","", F69-C69))</f>
        <v>193</v>
      </c>
      <c r="H69" s="0" t="n">
        <f aca="false">IF(F69="", "", IF(D69="","", F69-D69))</f>
        <v>182</v>
      </c>
      <c r="I69" s="0" t="n">
        <f aca="false">IF(F69="", "", IF(E69="","", F69-E69))</f>
        <v>164</v>
      </c>
      <c r="J69" s="66" t="n">
        <f aca="false">IF(SUM(C69:E69)&gt;0,AVERAGE(G69:I69),"")</f>
        <v>179.666666666667</v>
      </c>
      <c r="K69" s="66" t="n">
        <f aca="false">IF(NOT(G69=""),(G69-$J69)^2,"")</f>
        <v>177.777777777778</v>
      </c>
      <c r="L69" s="66" t="n">
        <f aca="false">IF(NOT(H69=""),(H69-$J69)^2,"")</f>
        <v>5.44444444444449</v>
      </c>
      <c r="M69" s="66" t="n">
        <f aca="false">IF(NOT(I69=""),(I69-$J69)^2,"")</f>
        <v>245.444444444444</v>
      </c>
      <c r="N69" s="66" t="n">
        <f aca="false">IF(COUNT(K69:M69)&gt;0,SUM(K69:M69)/COUNT(K69:M69),"")</f>
        <v>142.888888888889</v>
      </c>
      <c r="O69" s="66" t="n">
        <f aca="false">IF(NOT(N69=""),SQRT(N69),"")</f>
        <v>11.9536140513607</v>
      </c>
      <c r="P69" s="66" t="n">
        <f aca="false">IF(COUNT(K69:M69)&gt;0,VLOOKUP(COUNT(K69:M69),'t values'!$A$3:$C$5,3)*(O69/SQRT(COUNT(K69:M69))),"")</f>
        <v>29.6968201153417</v>
      </c>
      <c r="Q69" s="66" t="n">
        <f aca="false">IF(NOT(P69=""),J69-P69,"")</f>
        <v>149.969846551325</v>
      </c>
      <c r="R69" s="66" t="n">
        <f aca="false">IF(NOT(P69=""),J69+P69,"")</f>
        <v>209.363486782008</v>
      </c>
      <c r="S69" s="0" t="n">
        <v>179</v>
      </c>
      <c r="T69" s="0" t="n">
        <f aca="false">IF(S69="", "", IF(C69="","", S69-C69))</f>
        <v>113</v>
      </c>
      <c r="U69" s="0" t="n">
        <f aca="false">IF($S69="", "", IF(D69="","", $S69-D69))</f>
        <v>102</v>
      </c>
      <c r="V69" s="0" t="n">
        <f aca="false">IF($S69="", "", IF(E69="","", $S69-E69))</f>
        <v>84</v>
      </c>
      <c r="W69" s="66" t="n">
        <f aca="false">IF(SUM($C69:$E69)&gt;0,IF(NOT(S69=""),AVERAGE(T69:V69),""),"")</f>
        <v>99.6666666666667</v>
      </c>
      <c r="X69" s="66" t="n">
        <f aca="false">IF(NOT(T69=""),(T69-$W69)^2,"")</f>
        <v>177.777777777778</v>
      </c>
      <c r="Y69" s="66" t="n">
        <f aca="false">IF(NOT(U69=""),(U69-$W69)^2,"")</f>
        <v>5.44444444444442</v>
      </c>
      <c r="Z69" s="66" t="n">
        <f aca="false">IF(NOT(V69=""),(V69-$W69)^2,"")</f>
        <v>245.444444444445</v>
      </c>
      <c r="AA69" s="0" t="n">
        <f aca="false">IF(COUNT(X69:Z69)&gt;0,SUM(X69:Z69)/COUNT(X69:Z69),"")</f>
        <v>142.888888888889</v>
      </c>
      <c r="AB69" s="0" t="n">
        <f aca="false">IF(NOT(AA69=""),SQRT(AA69),"")</f>
        <v>11.9536140513607</v>
      </c>
      <c r="AD69" s="66" t="n">
        <f aca="false">IF(NOT(W69=""),W69-AG69,"")</f>
        <v>69.6666666666667</v>
      </c>
      <c r="AE69" s="66" t="n">
        <f aca="false">IF(NOT(W69=""),W69+AG69,"")</f>
        <v>129.666666666667</v>
      </c>
      <c r="AF69" s="63" t="n">
        <v>11.9536140513607</v>
      </c>
      <c r="AG69" s="63" t="n">
        <v>30</v>
      </c>
      <c r="AH69" s="63"/>
    </row>
    <row r="70" customFormat="false" ht="12.8" hidden="false" customHeight="false" outlineLevel="0" collapsed="false">
      <c r="A70" s="56" t="s">
        <v>38</v>
      </c>
      <c r="B70" s="57" t="n">
        <v>64</v>
      </c>
      <c r="C70" s="56" t="n">
        <v>52</v>
      </c>
      <c r="D70" s="25" t="n">
        <v>61</v>
      </c>
      <c r="E70" s="77" t="n">
        <v>53</v>
      </c>
      <c r="F70" s="0" t="n">
        <v>188</v>
      </c>
      <c r="G70" s="0" t="n">
        <f aca="false">IF(F70="", "", IF(C70="","", F70-C70))</f>
        <v>136</v>
      </c>
      <c r="H70" s="0" t="n">
        <f aca="false">IF(F70="", "", IF(D70="","", F70-D70))</f>
        <v>127</v>
      </c>
      <c r="I70" s="0" t="n">
        <f aca="false">IF(F70="", "", IF(E70="","", F70-E70))</f>
        <v>135</v>
      </c>
      <c r="J70" s="66" t="n">
        <f aca="false">IF(SUM(C70:E70)&gt;0,AVERAGE(G70:I70),"")</f>
        <v>132.666666666667</v>
      </c>
      <c r="K70" s="66" t="n">
        <f aca="false">IF(NOT(G70=""),(G70-$J70)^2,"")</f>
        <v>11.1111111111112</v>
      </c>
      <c r="L70" s="66" t="n">
        <f aca="false">IF(NOT(H70=""),(H70-$J70)^2,"")</f>
        <v>32.111111111111</v>
      </c>
      <c r="M70" s="66" t="n">
        <f aca="false">IF(NOT(I70=""),(I70-$J70)^2,"")</f>
        <v>5.44444444444449</v>
      </c>
      <c r="N70" s="66" t="n">
        <f aca="false">IF(COUNT(K70:M70)&gt;0,SUM(K70:M70)/COUNT(K70:M70),"")</f>
        <v>16.2222222222222</v>
      </c>
      <c r="O70" s="66" t="n">
        <f aca="false">IF(NOT(N70=""),SQRT(N70),"")</f>
        <v>4.02768199119819</v>
      </c>
      <c r="P70" s="66" t="n">
        <f aca="false">IF(COUNT(K70:M70)&gt;0,VLOOKUP(COUNT(K70:M70),'t values'!$A$3:$C$5,3)*(O70/SQRT(COUNT(K70:M70))),"")</f>
        <v>10.006124261708</v>
      </c>
      <c r="Q70" s="66" t="n">
        <f aca="false">IF(NOT(P70=""),J70-P70,"")</f>
        <v>122.660542404959</v>
      </c>
      <c r="R70" s="66" t="n">
        <f aca="false">IF(NOT(P70=""),J70+P70,"")</f>
        <v>142.672790928375</v>
      </c>
      <c r="S70" s="0" t="n">
        <v>125</v>
      </c>
      <c r="T70" s="0" t="n">
        <f aca="false">IF(S70="", "", IF(C70="","", S70-C70))</f>
        <v>73</v>
      </c>
      <c r="U70" s="0" t="n">
        <f aca="false">IF($S70="", "", IF(D70="","", $S70-D70))</f>
        <v>64</v>
      </c>
      <c r="V70" s="0" t="n">
        <f aca="false">IF($S70="", "", IF(E70="","", $S70-E70))</f>
        <v>72</v>
      </c>
      <c r="W70" s="66" t="n">
        <f aca="false">IF(SUM($C70:$E70)&gt;0,IF(NOT(S70=""),AVERAGE(T70:V70),""),"")</f>
        <v>69.6666666666667</v>
      </c>
      <c r="X70" s="66" t="n">
        <f aca="false">IF(NOT(T70=""),(T70-$W70)^2,"")</f>
        <v>11.1111111111111</v>
      </c>
      <c r="Y70" s="66" t="n">
        <f aca="false">IF(NOT(U70=""),(U70-$W70)^2,"")</f>
        <v>32.1111111111112</v>
      </c>
      <c r="Z70" s="66" t="n">
        <f aca="false">IF(NOT(V70=""),(V70-$W70)^2,"")</f>
        <v>5.44444444444442</v>
      </c>
      <c r="AA70" s="0" t="n">
        <f aca="false">IF(COUNT(X70:Z70)&gt;0,SUM(X70:Z70)/COUNT(X70:Z70),"")</f>
        <v>16.2222222222222</v>
      </c>
      <c r="AB70" s="0" t="n">
        <f aca="false">IF(NOT(AA70=""),SQRT(AA70),"")</f>
        <v>4.02768199119819</v>
      </c>
      <c r="AD70" s="66" t="n">
        <f aca="false">IF(NOT(W70=""),W70-AG70,"")</f>
        <v>59.6666666666667</v>
      </c>
      <c r="AE70" s="66" t="n">
        <f aca="false">IF(NOT(W70=""),W70+AG70,"")</f>
        <v>79.6666666666667</v>
      </c>
      <c r="AF70" s="63" t="n">
        <v>4.02768199119819</v>
      </c>
      <c r="AG70" s="63" t="n">
        <v>10</v>
      </c>
      <c r="AH70" s="63"/>
    </row>
    <row r="71" customFormat="false" ht="12.8" hidden="false" customHeight="false" outlineLevel="0" collapsed="false">
      <c r="A71" s="56" t="s">
        <v>38</v>
      </c>
      <c r="B71" s="57" t="n">
        <v>82</v>
      </c>
      <c r="C71" s="56" t="n">
        <v>46</v>
      </c>
      <c r="D71" s="25" t="n">
        <v>57</v>
      </c>
      <c r="E71" s="77" t="n">
        <v>47</v>
      </c>
      <c r="F71" s="0" t="n">
        <v>163</v>
      </c>
      <c r="G71" s="0" t="n">
        <f aca="false">IF(F71="", "", IF(C71="","", F71-C71))</f>
        <v>117</v>
      </c>
      <c r="H71" s="0" t="n">
        <f aca="false">IF(F71="", "", IF(D71="","", F71-D71))</f>
        <v>106</v>
      </c>
      <c r="I71" s="0" t="n">
        <f aca="false">IF(F71="", "", IF(E71="","", F71-E71))</f>
        <v>116</v>
      </c>
      <c r="J71" s="66" t="n">
        <f aca="false">IF(SUM(C71:E71)&gt;0,AVERAGE(G71:I71),"")</f>
        <v>113</v>
      </c>
      <c r="K71" s="66" t="n">
        <f aca="false">IF(NOT(G71=""),(G71-$J71)^2,"")</f>
        <v>16</v>
      </c>
      <c r="L71" s="66" t="n">
        <f aca="false">IF(NOT(H71=""),(H71-$J71)^2,"")</f>
        <v>49</v>
      </c>
      <c r="M71" s="66" t="n">
        <f aca="false">IF(NOT(I71=""),(I71-$J71)^2,"")</f>
        <v>9</v>
      </c>
      <c r="N71" s="66" t="n">
        <f aca="false">IF(COUNT(K71:M71)&gt;0,SUM(K71:M71)/COUNT(K71:M71),"")</f>
        <v>24.6666666666667</v>
      </c>
      <c r="O71" s="66" t="n">
        <f aca="false">IF(NOT(N71=""),SQRT(N71),"")</f>
        <v>4.96655480858378</v>
      </c>
      <c r="P71" s="66" t="n">
        <f aca="false">IF(COUNT(K71:M71)&gt;0,VLOOKUP(COUNT(K71:M71),'t values'!$A$3:$C$5,3)*(O71/SQRT(COUNT(K71:M71))),"")</f>
        <v>12.3386018746948</v>
      </c>
      <c r="Q71" s="66" t="n">
        <f aca="false">IF(NOT(P71=""),J71-P71,"")</f>
        <v>100.661398125305</v>
      </c>
      <c r="R71" s="66" t="n">
        <f aca="false">IF(NOT(P71=""),J71+P71,"")</f>
        <v>125.338601874695</v>
      </c>
      <c r="S71" s="0" t="n">
        <v>132</v>
      </c>
      <c r="T71" s="0" t="n">
        <f aca="false">IF(S71="", "", IF(C71="","", S71-C71))</f>
        <v>86</v>
      </c>
      <c r="U71" s="0" t="n">
        <f aca="false">IF($S71="", "", IF(D71="","", $S71-D71))</f>
        <v>75</v>
      </c>
      <c r="V71" s="0" t="n">
        <f aca="false">IF($S71="", "", IF(E71="","", $S71-E71))</f>
        <v>85</v>
      </c>
      <c r="W71" s="66" t="n">
        <f aca="false">IF(SUM($C71:$E71)&gt;0,IF(NOT(S71=""),AVERAGE(T71:V71),""),"")</f>
        <v>82</v>
      </c>
      <c r="X71" s="66" t="n">
        <f aca="false">IF(NOT(T71=""),(T71-$W71)^2,"")</f>
        <v>16</v>
      </c>
      <c r="Y71" s="66" t="n">
        <f aca="false">IF(NOT(U71=""),(U71-$W71)^2,"")</f>
        <v>49</v>
      </c>
      <c r="Z71" s="66" t="n">
        <f aca="false">IF(NOT(V71=""),(V71-$W71)^2,"")</f>
        <v>9</v>
      </c>
      <c r="AA71" s="0" t="n">
        <f aca="false">IF(COUNT(X71:Z71)&gt;0,SUM(X71:Z71)/COUNT(X71:Z71),"")</f>
        <v>24.6666666666667</v>
      </c>
      <c r="AB71" s="0" t="n">
        <f aca="false">IF(NOT(AA71=""),SQRT(AA71),"")</f>
        <v>4.96655480858378</v>
      </c>
      <c r="AD71" s="66" t="n">
        <f aca="false">IF(NOT(W71=""),W71-AG71,"")</f>
        <v>70</v>
      </c>
      <c r="AE71" s="66" t="n">
        <f aca="false">IF(NOT(W71=""),W71+AG71,"")</f>
        <v>94</v>
      </c>
      <c r="AF71" s="63" t="n">
        <v>4.96655480858378</v>
      </c>
      <c r="AG71" s="63" t="n">
        <v>12</v>
      </c>
      <c r="AH71" s="63"/>
    </row>
    <row r="72" customFormat="false" ht="12.8" hidden="false" customHeight="false" outlineLevel="0" collapsed="false">
      <c r="A72" s="56" t="s">
        <v>38</v>
      </c>
      <c r="B72" s="57" t="n">
        <v>100</v>
      </c>
      <c r="C72" s="56" t="n">
        <v>43</v>
      </c>
      <c r="D72" s="25" t="n">
        <v>40</v>
      </c>
      <c r="E72" s="77" t="n">
        <v>47</v>
      </c>
      <c r="F72" s="0" t="n">
        <v>143</v>
      </c>
      <c r="G72" s="0" t="n">
        <f aca="false">IF(F72="", "", IF(C72="","", F72-C72))</f>
        <v>100</v>
      </c>
      <c r="H72" s="0" t="n">
        <f aca="false">IF(F72="", "", IF(D72="","", F72-D72))</f>
        <v>103</v>
      </c>
      <c r="I72" s="0" t="n">
        <f aca="false">IF(F72="", "", IF(E72="","", F72-E72))</f>
        <v>96</v>
      </c>
      <c r="J72" s="66" t="n">
        <f aca="false">IF(SUM(C72:E72)&gt;0,AVERAGE(G72:I72),"")</f>
        <v>99.6666666666667</v>
      </c>
      <c r="K72" s="66" t="n">
        <f aca="false">IF(NOT(G72=""),(G72-$J72)^2,"")</f>
        <v>0.111111111111108</v>
      </c>
      <c r="L72" s="66" t="n">
        <f aca="false">IF(NOT(H72=""),(H72-$J72)^2,"")</f>
        <v>11.1111111111111</v>
      </c>
      <c r="M72" s="66" t="n">
        <f aca="false">IF(NOT(I72=""),(I72-$J72)^2,"")</f>
        <v>13.4444444444445</v>
      </c>
      <c r="N72" s="66" t="n">
        <f aca="false">IF(COUNT(K72:M72)&gt;0,SUM(K72:M72)/COUNT(K72:M72),"")</f>
        <v>8.22222222222222</v>
      </c>
      <c r="O72" s="66" t="n">
        <f aca="false">IF(NOT(N72=""),SQRT(N72),"")</f>
        <v>2.86744175568088</v>
      </c>
      <c r="P72" s="66" t="n">
        <f aca="false">IF(COUNT(K72:M72)&gt;0,VLOOKUP(COUNT(K72:M72),'t values'!$A$3:$C$5,3)*(O72/SQRT(COUNT(K72:M72))),"")</f>
        <v>7.12369511377867</v>
      </c>
      <c r="Q72" s="66" t="n">
        <f aca="false">IF(NOT(P72=""),J72-P72,"")</f>
        <v>92.542971552888</v>
      </c>
      <c r="R72" s="66" t="n">
        <f aca="false">IF(NOT(P72=""),J72+P72,"")</f>
        <v>106.790361780445</v>
      </c>
      <c r="S72" s="0" t="n">
        <v>134</v>
      </c>
      <c r="T72" s="0" t="n">
        <f aca="false">IF(S72="", "", IF(C72="","", S72-C72))</f>
        <v>91</v>
      </c>
      <c r="U72" s="0" t="n">
        <f aca="false">IF($S72="", "", IF(D72="","", $S72-D72))</f>
        <v>94</v>
      </c>
      <c r="V72" s="0" t="n">
        <f aca="false">IF($S72="", "", IF(E72="","", $S72-E72))</f>
        <v>87</v>
      </c>
      <c r="W72" s="66" t="n">
        <f aca="false">IF(SUM($C72:$E72)&gt;0,IF(NOT(S72=""),AVERAGE(T72:V72),""),"")</f>
        <v>90.6666666666667</v>
      </c>
      <c r="X72" s="66" t="n">
        <f aca="false">IF(NOT(T72=""),(T72-$W72)^2,"")</f>
        <v>0.111111111111108</v>
      </c>
      <c r="Y72" s="66" t="n">
        <f aca="false">IF(NOT(U72=""),(U72-$W72)^2,"")</f>
        <v>11.1111111111111</v>
      </c>
      <c r="Z72" s="66" t="n">
        <f aca="false">IF(NOT(V72=""),(V72-$W72)^2,"")</f>
        <v>13.4444444444445</v>
      </c>
      <c r="AA72" s="0" t="n">
        <f aca="false">IF(COUNT(X72:Z72)&gt;0,SUM(X72:Z72)/COUNT(X72:Z72),"")</f>
        <v>8.22222222222224</v>
      </c>
      <c r="AB72" s="0" t="n">
        <f aca="false">IF(NOT(AA72=""),SQRT(AA72),"")</f>
        <v>2.86744175568088</v>
      </c>
      <c r="AD72" s="66" t="n">
        <f aca="false">IF(NOT(W72=""),W72-AG72,"")</f>
        <v>83.6666666666667</v>
      </c>
      <c r="AE72" s="66" t="n">
        <f aca="false">IF(NOT(W72=""),W72+AG72,"")</f>
        <v>97.6666666666667</v>
      </c>
      <c r="AF72" s="63" t="n">
        <v>2.86744175568088</v>
      </c>
      <c r="AG72" s="63" t="n">
        <v>7</v>
      </c>
      <c r="AH72" s="63"/>
    </row>
    <row r="73" customFormat="false" ht="12.8" hidden="false" customHeight="false" outlineLevel="0" collapsed="false">
      <c r="A73" s="56" t="s">
        <v>39</v>
      </c>
      <c r="B73" s="57" t="n">
        <v>5</v>
      </c>
      <c r="C73" s="56" t="n">
        <v>1756</v>
      </c>
      <c r="D73" s="25"/>
      <c r="E73" s="77"/>
      <c r="F73" s="0" t="n">
        <v>1454</v>
      </c>
      <c r="G73" s="0" t="n">
        <f aca="false">IF(F73="", "", IF(C73="","", F73-C73))</f>
        <v>-302</v>
      </c>
      <c r="H73" s="0" t="str">
        <f aca="false">IF(F73="", "", IF(D73="","", F73-D73))</f>
        <v/>
      </c>
      <c r="I73" s="0" t="str">
        <f aca="false">IF(F73="", "", IF(E73="","", F73-E73))</f>
        <v/>
      </c>
      <c r="J73" s="66" t="n">
        <f aca="false">IF(SUM(C73:E73)&gt;0,AVERAGE(G73:I73),"")</f>
        <v>-302</v>
      </c>
      <c r="K73" s="66" t="n">
        <f aca="false">IF(NOT(G73=""),(G73-$J73)^2,"")</f>
        <v>0</v>
      </c>
      <c r="L73" s="66" t="str">
        <f aca="false">IF(NOT(H73=""),(H73-$J73)^2,"")</f>
        <v/>
      </c>
      <c r="M73" s="66" t="str">
        <f aca="false">IF(NOT(I73=""),(I73-$J73)^2,"")</f>
        <v/>
      </c>
      <c r="N73" s="66" t="n">
        <f aca="false">IF(COUNT(K73:M73)&gt;0,SUM(K73:M73)/COUNT(K73:M73),"")</f>
        <v>0</v>
      </c>
      <c r="O73" s="66" t="n">
        <f aca="false">IF(NOT(N73=""),SQRT(N73),"")</f>
        <v>0</v>
      </c>
      <c r="P73" s="66" t="e">
        <f aca="false">IF(COUNT(K73:M73)&gt;0,VLOOKUP(COUNT(K73:M73),'t values'!$A$3:$C$5,3)*(O73/SQRT(COUNT(K73:M73))),"")</f>
        <v>#N/A</v>
      </c>
      <c r="Q73" s="66" t="e">
        <f aca="false">IF(NOT(P73=""),J73-P73,"")</f>
        <v>#N/A</v>
      </c>
      <c r="R73" s="66" t="e">
        <f aca="false">IF(NOT(P73=""),J73+P73,"")</f>
        <v>#N/A</v>
      </c>
      <c r="S73" s="0" t="n">
        <v>1555</v>
      </c>
      <c r="T73" s="0" t="n">
        <f aca="false">IF(S73="", "", IF(C73="","", S73-C73))</f>
        <v>-201</v>
      </c>
      <c r="U73" s="0" t="str">
        <f aca="false">IF($S73="", "", IF(D73="","", $S73-D73))</f>
        <v/>
      </c>
      <c r="V73" s="0" t="str">
        <f aca="false">IF($S73="", "", IF(E73="","", $S73-E73))</f>
        <v/>
      </c>
      <c r="W73" s="66" t="n">
        <f aca="false">IF(SUM($C73:$E73)&gt;0,IF(NOT(S73=""),AVERAGE(T73:V73),""),"")</f>
        <v>-201</v>
      </c>
      <c r="X73" s="66" t="n">
        <f aca="false">IF(NOT(T73=""),(T73-$W73)^2,"")</f>
        <v>0</v>
      </c>
      <c r="Y73" s="66" t="str">
        <f aca="false">IF(NOT(U73=""),(U73-$W73)^2,"")</f>
        <v/>
      </c>
      <c r="Z73" s="66" t="str">
        <f aca="false">IF(NOT(V73=""),(V73-$W73)^2,"")</f>
        <v/>
      </c>
      <c r="AA73" s="0" t="n">
        <f aca="false">IF(COUNT(X73:Z73)&gt;0,SUM(X73:Z73)/COUNT(X73:Z73),"")</f>
        <v>0</v>
      </c>
      <c r="AB73" s="0" t="n">
        <f aca="false">IF(NOT(AA73=""),SQRT(AA73),"")</f>
        <v>0</v>
      </c>
      <c r="AD73" s="66" t="n">
        <f aca="false">IF(NOT(W73=""),W73-AG73,"")</f>
        <v>-201</v>
      </c>
      <c r="AE73" s="66" t="n">
        <f aca="false">IF(NOT(W73=""),W73+AG73,"")</f>
        <v>-201</v>
      </c>
      <c r="AF73" s="63" t="n">
        <v>0</v>
      </c>
      <c r="AG73" s="63"/>
      <c r="AH73" s="63"/>
    </row>
    <row r="74" customFormat="false" ht="12.8" hidden="false" customHeight="false" outlineLevel="0" collapsed="false">
      <c r="A74" s="56" t="s">
        <v>39</v>
      </c>
      <c r="B74" s="57" t="n">
        <v>10</v>
      </c>
      <c r="C74" s="56" t="n">
        <v>1352</v>
      </c>
      <c r="D74" s="25"/>
      <c r="E74" s="77"/>
      <c r="F74" s="0" t="n">
        <v>1385</v>
      </c>
      <c r="G74" s="0" t="n">
        <f aca="false">IF(F74="", "", IF(C74="","", F74-C74))</f>
        <v>33</v>
      </c>
      <c r="H74" s="0" t="str">
        <f aca="false">IF(F74="", "", IF(D74="","", F74-D74))</f>
        <v/>
      </c>
      <c r="I74" s="0" t="str">
        <f aca="false">IF(F74="", "", IF(E74="","", F74-E74))</f>
        <v/>
      </c>
      <c r="J74" s="66" t="n">
        <f aca="false">IF(SUM(C74:E74)&gt;0,AVERAGE(G74:I74),"")</f>
        <v>33</v>
      </c>
      <c r="K74" s="66" t="n">
        <f aca="false">IF(NOT(G74=""),(G74-$J74)^2,"")</f>
        <v>0</v>
      </c>
      <c r="L74" s="66" t="str">
        <f aca="false">IF(NOT(H74=""),(H74-$J74)^2,"")</f>
        <v/>
      </c>
      <c r="M74" s="66" t="str">
        <f aca="false">IF(NOT(I74=""),(I74-$J74)^2,"")</f>
        <v/>
      </c>
      <c r="N74" s="66" t="n">
        <f aca="false">IF(COUNT(K74:M74)&gt;0,SUM(K74:M74)/COUNT(K74:M74),"")</f>
        <v>0</v>
      </c>
      <c r="O74" s="66" t="n">
        <f aca="false">IF(NOT(N74=""),SQRT(N74),"")</f>
        <v>0</v>
      </c>
      <c r="P74" s="66" t="e">
        <f aca="false">IF(COUNT(K74:M74)&gt;0,VLOOKUP(COUNT(K74:M74),'t values'!$A$3:$C$5,3)*(O74/SQRT(COUNT(K74:M74))),"")</f>
        <v>#N/A</v>
      </c>
      <c r="Q74" s="66" t="e">
        <f aca="false">IF(NOT(P74=""),J74-P74,"")</f>
        <v>#N/A</v>
      </c>
      <c r="R74" s="66" t="e">
        <f aca="false">IF(NOT(P74=""),J74+P74,"")</f>
        <v>#N/A</v>
      </c>
      <c r="S74" s="0" t="n">
        <v>1144</v>
      </c>
      <c r="T74" s="0" t="n">
        <f aca="false">IF(S74="", "", IF(C74="","", S74-C74))</f>
        <v>-208</v>
      </c>
      <c r="U74" s="0" t="str">
        <f aca="false">IF($S74="", "", IF(D74="","", $S74-D74))</f>
        <v/>
      </c>
      <c r="V74" s="0" t="str">
        <f aca="false">IF($S74="", "", IF(E74="","", $S74-E74))</f>
        <v/>
      </c>
      <c r="W74" s="66" t="n">
        <f aca="false">IF(SUM($C74:$E74)&gt;0,IF(NOT(S74=""),AVERAGE(T74:V74),""),"")</f>
        <v>-208</v>
      </c>
      <c r="X74" s="66" t="n">
        <f aca="false">IF(NOT(T74=""),(T74-$W74)^2,"")</f>
        <v>0</v>
      </c>
      <c r="Y74" s="66" t="str">
        <f aca="false">IF(NOT(U74=""),(U74-$W74)^2,"")</f>
        <v/>
      </c>
      <c r="Z74" s="66" t="str">
        <f aca="false">IF(NOT(V74=""),(V74-$W74)^2,"")</f>
        <v/>
      </c>
      <c r="AA74" s="0" t="n">
        <f aca="false">IF(COUNT(X74:Z74)&gt;0,SUM(X74:Z74)/COUNT(X74:Z74),"")</f>
        <v>0</v>
      </c>
      <c r="AB74" s="0" t="n">
        <f aca="false">IF(NOT(AA74=""),SQRT(AA74),"")</f>
        <v>0</v>
      </c>
      <c r="AD74" s="66" t="n">
        <f aca="false">IF(NOT(W74=""),W74-AG74,"")</f>
        <v>-208</v>
      </c>
      <c r="AE74" s="66" t="n">
        <f aca="false">IF(NOT(W74=""),W74+AG74,"")</f>
        <v>-208</v>
      </c>
      <c r="AF74" s="63" t="n">
        <v>0</v>
      </c>
      <c r="AG74" s="63"/>
      <c r="AH74" s="63"/>
    </row>
    <row r="75" customFormat="false" ht="12.8" hidden="false" customHeight="false" outlineLevel="0" collapsed="false">
      <c r="A75" s="56" t="s">
        <v>39</v>
      </c>
      <c r="B75" s="57" t="n">
        <v>15</v>
      </c>
      <c r="C75" s="56" t="n">
        <v>919</v>
      </c>
      <c r="D75" s="25"/>
      <c r="E75" s="77" t="n">
        <v>770</v>
      </c>
      <c r="F75" s="0" t="n">
        <v>878</v>
      </c>
      <c r="G75" s="0" t="n">
        <f aca="false">IF(F75="", "", IF(C75="","", F75-C75))</f>
        <v>-41</v>
      </c>
      <c r="H75" s="0" t="str">
        <f aca="false">IF(F75="", "", IF(D75="","", F75-D75))</f>
        <v/>
      </c>
      <c r="I75" s="0" t="n">
        <f aca="false">IF(F75="", "", IF(E75="","", F75-E75))</f>
        <v>108</v>
      </c>
      <c r="J75" s="66" t="n">
        <f aca="false">IF(SUM(C75:E75)&gt;0,AVERAGE(G75:I75),"")</f>
        <v>33.5</v>
      </c>
      <c r="K75" s="66" t="n">
        <f aca="false">IF(NOT(G75=""),(G75-$J75)^2,"")</f>
        <v>5550.25</v>
      </c>
      <c r="L75" s="66" t="str">
        <f aca="false">IF(NOT(H75=""),(H75-$J75)^2,"")</f>
        <v/>
      </c>
      <c r="M75" s="66" t="n">
        <f aca="false">IF(NOT(I75=""),(I75-$J75)^2,"")</f>
        <v>5550.25</v>
      </c>
      <c r="N75" s="66" t="n">
        <f aca="false">IF(COUNT(K75:M75)&gt;0,SUM(K75:M75)/COUNT(K75:M75),"")</f>
        <v>5550.25</v>
      </c>
      <c r="O75" s="66" t="n">
        <f aca="false">IF(NOT(N75=""),SQRT(N75),"")</f>
        <v>74.5</v>
      </c>
      <c r="P75" s="66" t="n">
        <f aca="false">IF(COUNT(K75:M75)&gt;0,VLOOKUP(COUNT(K75:M75),'t values'!$A$3:$C$5,3)*(O75/SQRT(COUNT(K75:M75))),"")</f>
        <v>669.345157750842</v>
      </c>
      <c r="Q75" s="66" t="n">
        <f aca="false">IF(NOT(P75=""),J75-P75,"")</f>
        <v>-635.845157750842</v>
      </c>
      <c r="R75" s="66" t="n">
        <f aca="false">IF(NOT(P75=""),J75+P75,"")</f>
        <v>702.845157750842</v>
      </c>
      <c r="S75" s="0" t="n">
        <v>922</v>
      </c>
      <c r="T75" s="0" t="n">
        <f aca="false">IF(S75="", "", IF(C75="","", S75-C75))</f>
        <v>3</v>
      </c>
      <c r="U75" s="0" t="str">
        <f aca="false">IF($S75="", "", IF(D75="","", $S75-D75))</f>
        <v/>
      </c>
      <c r="V75" s="0" t="n">
        <f aca="false">IF($S75="", "", IF(E75="","", $S75-E75))</f>
        <v>152</v>
      </c>
      <c r="W75" s="66" t="n">
        <f aca="false">IF(SUM($C75:$E75)&gt;0,IF(NOT(S75=""),AVERAGE(T75:V75),""),"")</f>
        <v>77.5</v>
      </c>
      <c r="X75" s="66" t="n">
        <f aca="false">IF(NOT(T75=""),(T75-$W75)^2,"")</f>
        <v>5550.25</v>
      </c>
      <c r="Y75" s="66" t="str">
        <f aca="false">IF(NOT(U75=""),(U75-$W75)^2,"")</f>
        <v/>
      </c>
      <c r="Z75" s="66" t="n">
        <f aca="false">IF(NOT(V75=""),(V75-$W75)^2,"")</f>
        <v>5550.25</v>
      </c>
      <c r="AA75" s="0" t="n">
        <f aca="false">IF(COUNT(X75:Z75)&gt;0,SUM(X75:Z75)/COUNT(X75:Z75),"")</f>
        <v>5550.25</v>
      </c>
      <c r="AB75" s="0" t="n">
        <f aca="false">IF(NOT(AA75=""),SQRT(AA75),"")</f>
        <v>74.5</v>
      </c>
      <c r="AD75" s="66" t="n">
        <f aca="false">IF(NOT(W75=""),W75-AG75,"")</f>
        <v>-591.5</v>
      </c>
      <c r="AE75" s="66" t="n">
        <f aca="false">IF(NOT(W75=""),W75+AG75,"")</f>
        <v>746.5</v>
      </c>
      <c r="AF75" s="63" t="n">
        <v>74.5</v>
      </c>
      <c r="AG75" s="63" t="n">
        <v>669</v>
      </c>
      <c r="AH75" s="63"/>
    </row>
    <row r="76" customFormat="false" ht="12.8" hidden="false" customHeight="false" outlineLevel="0" collapsed="false">
      <c r="A76" s="56" t="s">
        <v>39</v>
      </c>
      <c r="B76" s="57" t="n">
        <v>20</v>
      </c>
      <c r="C76" s="56" t="n">
        <v>795</v>
      </c>
      <c r="D76" s="25"/>
      <c r="E76" s="77" t="n">
        <v>728</v>
      </c>
      <c r="F76" s="0" t="n">
        <v>488</v>
      </c>
      <c r="G76" s="0" t="n">
        <f aca="false">IF(F76="", "", IF(C76="","", F76-C76))</f>
        <v>-307</v>
      </c>
      <c r="H76" s="0" t="str">
        <f aca="false">IF(F76="", "", IF(D76="","", F76-D76))</f>
        <v/>
      </c>
      <c r="I76" s="0" t="n">
        <f aca="false">IF(F76="", "", IF(E76="","", F76-E76))</f>
        <v>-240</v>
      </c>
      <c r="J76" s="66" t="n">
        <f aca="false">IF(SUM(C76:E76)&gt;0,AVERAGE(G76:I76),"")</f>
        <v>-273.5</v>
      </c>
      <c r="K76" s="66" t="n">
        <f aca="false">IF(NOT(G76=""),(G76-$J76)^2,"")</f>
        <v>1122.25</v>
      </c>
      <c r="L76" s="66" t="str">
        <f aca="false">IF(NOT(H76=""),(H76-$J76)^2,"")</f>
        <v/>
      </c>
      <c r="M76" s="66" t="n">
        <f aca="false">IF(NOT(I76=""),(I76-$J76)^2,"")</f>
        <v>1122.25</v>
      </c>
      <c r="N76" s="66" t="n">
        <f aca="false">IF(COUNT(K76:M76)&gt;0,SUM(K76:M76)/COUNT(K76:M76),"")</f>
        <v>1122.25</v>
      </c>
      <c r="O76" s="66" t="n">
        <f aca="false">IF(NOT(N76=""),SQRT(N76),"")</f>
        <v>33.5</v>
      </c>
      <c r="P76" s="66" t="n">
        <f aca="false">IF(COUNT(K76:M76)&gt;0,VLOOKUP(COUNT(K76:M76),'t values'!$A$3:$C$5,3)*(O76/SQRT(COUNT(K76:M76))),"")</f>
        <v>300.980708518835</v>
      </c>
      <c r="Q76" s="66" t="n">
        <f aca="false">IF(NOT(P76=""),J76-P76,"")</f>
        <v>-574.480708518835</v>
      </c>
      <c r="R76" s="66" t="n">
        <f aca="false">IF(NOT(P76=""),J76+P76,"")</f>
        <v>27.4807085188351</v>
      </c>
      <c r="S76" s="0" t="n">
        <v>1022</v>
      </c>
      <c r="T76" s="0" t="n">
        <f aca="false">IF(S76="", "", IF(C76="","", S76-C76))</f>
        <v>227</v>
      </c>
      <c r="U76" s="0" t="str">
        <f aca="false">IF($S76="", "", IF(D76="","", $S76-D76))</f>
        <v/>
      </c>
      <c r="V76" s="0" t="n">
        <f aca="false">IF($S76="", "", IF(E76="","", $S76-E76))</f>
        <v>294</v>
      </c>
      <c r="W76" s="66" t="n">
        <f aca="false">IF(SUM($C76:$E76)&gt;0,IF(NOT(S76=""),AVERAGE(T76:V76),""),"")</f>
        <v>260.5</v>
      </c>
      <c r="X76" s="66" t="n">
        <f aca="false">IF(NOT(T76=""),(T76-$W76)^2,"")</f>
        <v>1122.25</v>
      </c>
      <c r="Y76" s="66" t="str">
        <f aca="false">IF(NOT(U76=""),(U76-$W76)^2,"")</f>
        <v/>
      </c>
      <c r="Z76" s="66" t="n">
        <f aca="false">IF(NOT(V76=""),(V76-$W76)^2,"")</f>
        <v>1122.25</v>
      </c>
      <c r="AA76" s="0" t="n">
        <f aca="false">IF(COUNT(X76:Z76)&gt;0,SUM(X76:Z76)/COUNT(X76:Z76),"")</f>
        <v>1122.25</v>
      </c>
      <c r="AB76" s="0" t="n">
        <f aca="false">IF(NOT(AA76=""),SQRT(AA76),"")</f>
        <v>33.5</v>
      </c>
      <c r="AD76" s="66" t="n">
        <f aca="false">IF(NOT(W76=""),W76-AG76,"")</f>
        <v>-40.5</v>
      </c>
      <c r="AE76" s="66" t="n">
        <f aca="false">IF(NOT(W76=""),W76+AG76,"")</f>
        <v>561.5</v>
      </c>
      <c r="AF76" s="63" t="n">
        <v>33.5</v>
      </c>
      <c r="AG76" s="63" t="n">
        <v>301</v>
      </c>
      <c r="AH76" s="63"/>
    </row>
    <row r="77" customFormat="false" ht="12.8" hidden="false" customHeight="false" outlineLevel="0" collapsed="false">
      <c r="A77" s="56" t="s">
        <v>39</v>
      </c>
      <c r="B77" s="57" t="n">
        <v>30</v>
      </c>
      <c r="C77" s="56" t="n">
        <v>526</v>
      </c>
      <c r="D77" s="25"/>
      <c r="E77" s="77" t="n">
        <v>489</v>
      </c>
      <c r="F77" s="0" t="n">
        <v>628</v>
      </c>
      <c r="G77" s="0" t="n">
        <f aca="false">IF(F77="", "", IF(C77="","", F77-C77))</f>
        <v>102</v>
      </c>
      <c r="H77" s="0" t="str">
        <f aca="false">IF(F77="", "", IF(D77="","", F77-D77))</f>
        <v/>
      </c>
      <c r="I77" s="0" t="n">
        <f aca="false">IF(F77="", "", IF(E77="","", F77-E77))</f>
        <v>139</v>
      </c>
      <c r="J77" s="66" t="n">
        <f aca="false">IF(SUM(C77:E77)&gt;0,AVERAGE(G77:I77),"")</f>
        <v>120.5</v>
      </c>
      <c r="K77" s="66" t="n">
        <f aca="false">IF(NOT(G77=""),(G77-$J77)^2,"")</f>
        <v>342.25</v>
      </c>
      <c r="L77" s="66" t="str">
        <f aca="false">IF(NOT(H77=""),(H77-$J77)^2,"")</f>
        <v/>
      </c>
      <c r="M77" s="66" t="n">
        <f aca="false">IF(NOT(I77=""),(I77-$J77)^2,"")</f>
        <v>342.25</v>
      </c>
      <c r="N77" s="66" t="n">
        <f aca="false">IF(COUNT(K77:M77)&gt;0,SUM(K77:M77)/COUNT(K77:M77),"")</f>
        <v>342.25</v>
      </c>
      <c r="O77" s="66" t="n">
        <f aca="false">IF(NOT(N77=""),SQRT(N77),"")</f>
        <v>18.5</v>
      </c>
      <c r="P77" s="66" t="n">
        <f aca="false">IF(COUNT(K77:M77)&gt;0,VLOOKUP(COUNT(K77:M77),'t values'!$A$3:$C$5,3)*(O77/SQRT(COUNT(K77:M77))),"")</f>
        <v>166.213227092491</v>
      </c>
      <c r="Q77" s="66" t="n">
        <f aca="false">IF(NOT(P77=""),J77-P77,"")</f>
        <v>-45.713227092491</v>
      </c>
      <c r="R77" s="66" t="n">
        <f aca="false">IF(NOT(P77=""),J77+P77,"")</f>
        <v>286.713227092491</v>
      </c>
      <c r="T77" s="0" t="str">
        <f aca="false">IF(S77="", "", IF(C77="","", S77-C77))</f>
        <v/>
      </c>
      <c r="U77" s="0" t="str">
        <f aca="false">IF($S77="", "", IF(D77="","", $S77-D77))</f>
        <v/>
      </c>
      <c r="V77" s="0" t="str">
        <f aca="false">IF($S77="", "", IF(E77="","", $S77-E77))</f>
        <v/>
      </c>
      <c r="W77" s="66" t="str">
        <f aca="false">IF(SUM($C77:$E77)&gt;0,IF(NOT(S77=""),AVERAGE(T77:V77),""),"")</f>
        <v/>
      </c>
      <c r="X77" s="66" t="str">
        <f aca="false">IF(NOT(T77=""),(T77-$W77)^2,"")</f>
        <v/>
      </c>
      <c r="Y77" s="66" t="str">
        <f aca="false">IF(NOT(U77=""),(U77-$W77)^2,"")</f>
        <v/>
      </c>
      <c r="Z77" s="66" t="str">
        <f aca="false">IF(NOT(V77=""),(V77-$W77)^2,"")</f>
        <v/>
      </c>
      <c r="AA77" s="0" t="str">
        <f aca="false">IF(COUNT(X77:Z77)&gt;0,SUM(X77:Z77)/COUNT(X77:Z77),"")</f>
        <v/>
      </c>
      <c r="AB77" s="0" t="str">
        <f aca="false">IF(NOT(AA77=""),SQRT(AA77),"")</f>
        <v/>
      </c>
      <c r="AD77" s="66" t="str">
        <f aca="false">IF(NOT(W77=""),W77-AG77,"")</f>
        <v/>
      </c>
      <c r="AE77" s="66" t="str">
        <f aca="false">IF(NOT(W77=""),W77+AG77,"")</f>
        <v/>
      </c>
      <c r="AF77" s="63" t="n">
        <v>18.5</v>
      </c>
      <c r="AG77" s="63" t="n">
        <v>166</v>
      </c>
      <c r="AH77" s="63"/>
    </row>
    <row r="78" customFormat="false" ht="12.8" hidden="false" customHeight="false" outlineLevel="0" collapsed="false">
      <c r="A78" s="56" t="s">
        <v>39</v>
      </c>
      <c r="B78" s="57" t="n">
        <v>40</v>
      </c>
      <c r="C78" s="56" t="n">
        <v>596</v>
      </c>
      <c r="D78" s="25"/>
      <c r="E78" s="77" t="n">
        <v>353</v>
      </c>
      <c r="F78" s="0" t="n">
        <v>675</v>
      </c>
      <c r="G78" s="0" t="n">
        <f aca="false">IF(F78="", "", IF(C78="","", F78-C78))</f>
        <v>79</v>
      </c>
      <c r="H78" s="0" t="str">
        <f aca="false">IF(F78="", "", IF(D78="","", F78-D78))</f>
        <v/>
      </c>
      <c r="I78" s="0" t="n">
        <f aca="false">IF(F78="", "", IF(E78="","", F78-E78))</f>
        <v>322</v>
      </c>
      <c r="J78" s="66" t="n">
        <f aca="false">IF(SUM(C78:E78)&gt;0,AVERAGE(G78:I78),"")</f>
        <v>200.5</v>
      </c>
      <c r="K78" s="66" t="n">
        <f aca="false">IF(NOT(G78=""),(G78-$J78)^2,"")</f>
        <v>14762.25</v>
      </c>
      <c r="L78" s="66" t="str">
        <f aca="false">IF(NOT(H78=""),(H78-$J78)^2,"")</f>
        <v/>
      </c>
      <c r="M78" s="66" t="n">
        <f aca="false">IF(NOT(I78=""),(I78-$J78)^2,"")</f>
        <v>14762.25</v>
      </c>
      <c r="N78" s="66" t="n">
        <f aca="false">IF(COUNT(K78:M78)&gt;0,SUM(K78:M78)/COUNT(K78:M78),"")</f>
        <v>14762.25</v>
      </c>
      <c r="O78" s="66" t="n">
        <f aca="false">IF(NOT(N78=""),SQRT(N78),"")</f>
        <v>121.5</v>
      </c>
      <c r="P78" s="66" t="n">
        <f aca="false">IF(COUNT(K78:M78)&gt;0,VLOOKUP(COUNT(K78:M78),'t values'!$A$3:$C$5,3)*(O78/SQRT(COUNT(K78:M78))),"")</f>
        <v>1091.61659955339</v>
      </c>
      <c r="Q78" s="66" t="n">
        <f aca="false">IF(NOT(P78=""),J78-P78,"")</f>
        <v>-891.116599553387</v>
      </c>
      <c r="R78" s="66" t="n">
        <f aca="false">IF(NOT(P78=""),J78+P78,"")</f>
        <v>1292.11659955339</v>
      </c>
      <c r="T78" s="0" t="str">
        <f aca="false">IF(S78="", "", IF(C78="","", S78-C78))</f>
        <v/>
      </c>
      <c r="U78" s="0" t="str">
        <f aca="false">IF($S78="", "", IF(D78="","", $S78-D78))</f>
        <v/>
      </c>
      <c r="V78" s="0" t="str">
        <f aca="false">IF($S78="", "", IF(E78="","", $S78-E78))</f>
        <v/>
      </c>
      <c r="W78" s="66" t="str">
        <f aca="false">IF(SUM($C78:$E78)&gt;0,IF(NOT(S78=""),AVERAGE(T78:V78),""),"")</f>
        <v/>
      </c>
      <c r="X78" s="66" t="str">
        <f aca="false">IF(NOT(T78=""),(T78-$W78)^2,"")</f>
        <v/>
      </c>
      <c r="Y78" s="66" t="str">
        <f aca="false">IF(NOT(U78=""),(U78-$W78)^2,"")</f>
        <v/>
      </c>
      <c r="Z78" s="66" t="str">
        <f aca="false">IF(NOT(V78=""),(V78-$W78)^2,"")</f>
        <v/>
      </c>
      <c r="AA78" s="0" t="str">
        <f aca="false">IF(COUNT(X78:Z78)&gt;0,SUM(X78:Z78)/COUNT(X78:Z78),"")</f>
        <v/>
      </c>
      <c r="AB78" s="0" t="str">
        <f aca="false">IF(NOT(AA78=""),SQRT(AA78),"")</f>
        <v/>
      </c>
      <c r="AD78" s="66" t="str">
        <f aca="false">IF(NOT(W78=""),W78-AG78,"")</f>
        <v/>
      </c>
      <c r="AE78" s="66" t="str">
        <f aca="false">IF(NOT(W78=""),W78+AG78,"")</f>
        <v/>
      </c>
      <c r="AF78" s="63" t="n">
        <v>121.5</v>
      </c>
      <c r="AG78" s="63" t="n">
        <v>1092</v>
      </c>
      <c r="AH78" s="63"/>
    </row>
    <row r="79" customFormat="false" ht="12.8" hidden="false" customHeight="false" outlineLevel="0" collapsed="false">
      <c r="A79" s="56" t="s">
        <v>39</v>
      </c>
      <c r="B79" s="57" t="n">
        <v>50</v>
      </c>
      <c r="C79" s="56" t="n">
        <v>357</v>
      </c>
      <c r="D79" s="25"/>
      <c r="E79" s="77" t="n">
        <v>335</v>
      </c>
      <c r="F79" s="0" t="n">
        <v>603</v>
      </c>
      <c r="G79" s="0" t="n">
        <f aca="false">IF(F79="", "", IF(C79="","", F79-C79))</f>
        <v>246</v>
      </c>
      <c r="H79" s="0" t="str">
        <f aca="false">IF(F79="", "", IF(D79="","", F79-D79))</f>
        <v/>
      </c>
      <c r="I79" s="0" t="n">
        <f aca="false">IF(F79="", "", IF(E79="","", F79-E79))</f>
        <v>268</v>
      </c>
      <c r="J79" s="66" t="n">
        <f aca="false">IF(SUM(C79:E79)&gt;0,AVERAGE(G79:I79),"")</f>
        <v>257</v>
      </c>
      <c r="K79" s="66" t="n">
        <f aca="false">IF(NOT(G79=""),(G79-$J79)^2,"")</f>
        <v>121</v>
      </c>
      <c r="L79" s="66" t="str">
        <f aca="false">IF(NOT(H79=""),(H79-$J79)^2,"")</f>
        <v/>
      </c>
      <c r="M79" s="66" t="n">
        <f aca="false">IF(NOT(I79=""),(I79-$J79)^2,"")</f>
        <v>121</v>
      </c>
      <c r="N79" s="66" t="n">
        <f aca="false">IF(COUNT(K79:M79)&gt;0,SUM(K79:M79)/COUNT(K79:M79),"")</f>
        <v>121</v>
      </c>
      <c r="O79" s="66" t="n">
        <f aca="false">IF(NOT(N79=""),SQRT(N79),"")</f>
        <v>11</v>
      </c>
      <c r="P79" s="66" t="n">
        <f aca="false">IF(COUNT(K79:M79)&gt;0,VLOOKUP(COUNT(K79:M79),'t values'!$A$3:$C$5,3)*(O79/SQRT(COUNT(K79:M79))),"")</f>
        <v>98.829486379319</v>
      </c>
      <c r="Q79" s="66" t="n">
        <f aca="false">IF(NOT(P79=""),J79-P79,"")</f>
        <v>158.170513620681</v>
      </c>
      <c r="R79" s="66" t="n">
        <f aca="false">IF(NOT(P79=""),J79+P79,"")</f>
        <v>355.829486379319</v>
      </c>
      <c r="S79" s="0" t="n">
        <v>510</v>
      </c>
      <c r="T79" s="0" t="n">
        <f aca="false">IF(S79="", "", IF(C79="","", S79-C79))</f>
        <v>153</v>
      </c>
      <c r="U79" s="0" t="str">
        <f aca="false">IF($S79="", "", IF(D79="","", $S79-D79))</f>
        <v/>
      </c>
      <c r="V79" s="0" t="n">
        <f aca="false">IF($S79="", "", IF(E79="","", $S79-E79))</f>
        <v>175</v>
      </c>
      <c r="W79" s="66" t="n">
        <f aca="false">IF(SUM($C79:$E79)&gt;0,IF(NOT(S79=""),AVERAGE(T79:V79),""),"")</f>
        <v>164</v>
      </c>
      <c r="X79" s="66" t="n">
        <f aca="false">IF(NOT(T79=""),(T79-$W79)^2,"")</f>
        <v>121</v>
      </c>
      <c r="Y79" s="66" t="str">
        <f aca="false">IF(NOT(U79=""),(U79-$W79)^2,"")</f>
        <v/>
      </c>
      <c r="Z79" s="66" t="n">
        <f aca="false">IF(NOT(V79=""),(V79-$W79)^2,"")</f>
        <v>121</v>
      </c>
      <c r="AA79" s="0" t="n">
        <f aca="false">IF(COUNT(X79:Z79)&gt;0,SUM(X79:Z79)/COUNT(X79:Z79),"")</f>
        <v>121</v>
      </c>
      <c r="AB79" s="0" t="n">
        <f aca="false">IF(NOT(AA79=""),SQRT(AA79),"")</f>
        <v>11</v>
      </c>
      <c r="AD79" s="66" t="n">
        <f aca="false">IF(NOT(W79=""),W79-AG79,"")</f>
        <v>65</v>
      </c>
      <c r="AE79" s="66" t="n">
        <f aca="false">IF(NOT(W79=""),W79+AG79,"")</f>
        <v>263</v>
      </c>
      <c r="AF79" s="63" t="n">
        <v>11</v>
      </c>
      <c r="AG79" s="63" t="n">
        <v>99</v>
      </c>
      <c r="AH79" s="63"/>
    </row>
    <row r="80" customFormat="false" ht="12.8" hidden="false" customHeight="false" outlineLevel="0" collapsed="false">
      <c r="A80" s="56" t="s">
        <v>39</v>
      </c>
      <c r="B80" s="57" t="n">
        <v>64</v>
      </c>
      <c r="C80" s="56" t="n">
        <v>255</v>
      </c>
      <c r="D80" s="25"/>
      <c r="E80" s="77" t="n">
        <v>237</v>
      </c>
      <c r="F80" s="0" t="n">
        <v>410</v>
      </c>
      <c r="G80" s="0" t="n">
        <f aca="false">IF(F80="", "", IF(C80="","", F80-C80))</f>
        <v>155</v>
      </c>
      <c r="H80" s="0" t="str">
        <f aca="false">IF(F80="", "", IF(D80="","", F80-D80))</f>
        <v/>
      </c>
      <c r="I80" s="0" t="n">
        <f aca="false">IF(F80="", "", IF(E80="","", F80-E80))</f>
        <v>173</v>
      </c>
      <c r="J80" s="66" t="n">
        <f aca="false">IF(SUM(C80:E80)&gt;0,AVERAGE(G80:I80),"")</f>
        <v>164</v>
      </c>
      <c r="K80" s="66" t="n">
        <f aca="false">IF(NOT(G80=""),(G80-$J80)^2,"")</f>
        <v>81</v>
      </c>
      <c r="L80" s="66" t="str">
        <f aca="false">IF(NOT(H80=""),(H80-$J80)^2,"")</f>
        <v/>
      </c>
      <c r="M80" s="66" t="n">
        <f aca="false">IF(NOT(I80=""),(I80-$J80)^2,"")</f>
        <v>81</v>
      </c>
      <c r="N80" s="66" t="n">
        <f aca="false">IF(COUNT(K80:M80)&gt;0,SUM(K80:M80)/COUNT(K80:M80),"")</f>
        <v>81</v>
      </c>
      <c r="O80" s="66" t="n">
        <f aca="false">IF(NOT(N80=""),SQRT(N80),"")</f>
        <v>9</v>
      </c>
      <c r="P80" s="66" t="n">
        <f aca="false">IF(COUNT(K80:M80)&gt;0,VLOOKUP(COUNT(K80:M80),'t values'!$A$3:$C$5,3)*(O80/SQRT(COUNT(K80:M80))),"")</f>
        <v>80.8604888558065</v>
      </c>
      <c r="Q80" s="66" t="n">
        <f aca="false">IF(NOT(P80=""),J80-P80,"")</f>
        <v>83.1395111441936</v>
      </c>
      <c r="R80" s="66" t="n">
        <f aca="false">IF(NOT(P80=""),J80+P80,"")</f>
        <v>244.860488855806</v>
      </c>
      <c r="T80" s="0" t="str">
        <f aca="false">IF(S80="", "", IF(C80="","", S80-C80))</f>
        <v/>
      </c>
      <c r="U80" s="0" t="str">
        <f aca="false">IF($S80="", "", IF(D80="","", $S80-D80))</f>
        <v/>
      </c>
      <c r="V80" s="0" t="str">
        <f aca="false">IF($S80="", "", IF(E80="","", $S80-E80))</f>
        <v/>
      </c>
      <c r="W80" s="66" t="str">
        <f aca="false">IF(SUM($C80:$E80)&gt;0,IF(NOT(S80=""),AVERAGE(T80:V80),""),"")</f>
        <v/>
      </c>
      <c r="X80" s="66" t="str">
        <f aca="false">IF(NOT(T80=""),(T80-$W80)^2,"")</f>
        <v/>
      </c>
      <c r="Y80" s="66" t="str">
        <f aca="false">IF(NOT(U80=""),(U80-$W80)^2,"")</f>
        <v/>
      </c>
      <c r="Z80" s="66" t="str">
        <f aca="false">IF(NOT(V80=""),(V80-$W80)^2,"")</f>
        <v/>
      </c>
      <c r="AA80" s="0" t="str">
        <f aca="false">IF(COUNT(X80:Z80)&gt;0,SUM(X80:Z80)/COUNT(X80:Z80),"")</f>
        <v/>
      </c>
      <c r="AB80" s="0" t="str">
        <f aca="false">IF(NOT(AA80=""),SQRT(AA80),"")</f>
        <v/>
      </c>
      <c r="AD80" s="66" t="str">
        <f aca="false">IF(NOT(W80=""),W80-AG80,"")</f>
        <v/>
      </c>
      <c r="AE80" s="66" t="str">
        <f aca="false">IF(NOT(W80=""),W80+AG80,"")</f>
        <v/>
      </c>
      <c r="AF80" s="63" t="n">
        <v>9</v>
      </c>
      <c r="AG80" s="63" t="n">
        <v>81</v>
      </c>
      <c r="AH80" s="63"/>
    </row>
    <row r="81" customFormat="false" ht="12.8" hidden="false" customHeight="false" outlineLevel="0" collapsed="false">
      <c r="A81" s="56" t="s">
        <v>39</v>
      </c>
      <c r="B81" s="57" t="n">
        <v>82</v>
      </c>
      <c r="C81" s="56" t="n">
        <v>177</v>
      </c>
      <c r="D81" s="25"/>
      <c r="E81" s="77" t="n">
        <v>246</v>
      </c>
      <c r="F81" s="0" t="n">
        <v>349</v>
      </c>
      <c r="G81" s="0" t="n">
        <f aca="false">IF(F81="", "", IF(C81="","", F81-C81))</f>
        <v>172</v>
      </c>
      <c r="H81" s="0" t="str">
        <f aca="false">IF(F81="", "", IF(D81="","", F81-D81))</f>
        <v/>
      </c>
      <c r="I81" s="0" t="n">
        <f aca="false">IF(F81="", "", IF(E81="","", F81-E81))</f>
        <v>103</v>
      </c>
      <c r="J81" s="66" t="n">
        <f aca="false">IF(SUM(C81:E81)&gt;0,AVERAGE(G81:I81),"")</f>
        <v>137.5</v>
      </c>
      <c r="K81" s="66" t="n">
        <f aca="false">IF(NOT(G81=""),(G81-$J81)^2,"")</f>
        <v>1190.25</v>
      </c>
      <c r="L81" s="66" t="str">
        <f aca="false">IF(NOT(H81=""),(H81-$J81)^2,"")</f>
        <v/>
      </c>
      <c r="M81" s="66" t="n">
        <f aca="false">IF(NOT(I81=""),(I81-$J81)^2,"")</f>
        <v>1190.25</v>
      </c>
      <c r="N81" s="66" t="n">
        <f aca="false">IF(COUNT(K81:M81)&gt;0,SUM(K81:M81)/COUNT(K81:M81),"")</f>
        <v>1190.25</v>
      </c>
      <c r="O81" s="66" t="n">
        <f aca="false">IF(NOT(N81=""),SQRT(N81),"")</f>
        <v>34.5</v>
      </c>
      <c r="P81" s="66" t="n">
        <f aca="false">IF(COUNT(K81:M81)&gt;0,VLOOKUP(COUNT(K81:M81),'t values'!$A$3:$C$5,3)*(O81/SQRT(COUNT(K81:M81))),"")</f>
        <v>309.965207280591</v>
      </c>
      <c r="Q81" s="66" t="n">
        <f aca="false">IF(NOT(P81=""),J81-P81,"")</f>
        <v>-172.465207280591</v>
      </c>
      <c r="R81" s="66" t="n">
        <f aca="false">IF(NOT(P81=""),J81+P81,"")</f>
        <v>447.465207280591</v>
      </c>
      <c r="T81" s="0" t="str">
        <f aca="false">IF(S81="", "", IF(C81="","", S81-C81))</f>
        <v/>
      </c>
      <c r="U81" s="0" t="str">
        <f aca="false">IF($S81="", "", IF(D81="","", $S81-D81))</f>
        <v/>
      </c>
      <c r="V81" s="0" t="str">
        <f aca="false">IF($S81="", "", IF(E81="","", $S81-E81))</f>
        <v/>
      </c>
      <c r="W81" s="66" t="str">
        <f aca="false">IF(SUM($C81:$E81)&gt;0,IF(NOT(S81=""),AVERAGE(T81:V81),""),"")</f>
        <v/>
      </c>
      <c r="X81" s="66" t="str">
        <f aca="false">IF(NOT(T81=""),(T81-$W81)^2,"")</f>
        <v/>
      </c>
      <c r="Y81" s="66" t="str">
        <f aca="false">IF(NOT(U81=""),(U81-$W81)^2,"")</f>
        <v/>
      </c>
      <c r="Z81" s="66" t="str">
        <f aca="false">IF(NOT(V81=""),(V81-$W81)^2,"")</f>
        <v/>
      </c>
      <c r="AA81" s="0" t="str">
        <f aca="false">IF(COUNT(X81:Z81)&gt;0,SUM(X81:Z81)/COUNT(X81:Z81),"")</f>
        <v/>
      </c>
      <c r="AB81" s="0" t="str">
        <f aca="false">IF(NOT(AA81=""),SQRT(AA81),"")</f>
        <v/>
      </c>
      <c r="AD81" s="66" t="str">
        <f aca="false">IF(NOT(W81=""),W81-AG81,"")</f>
        <v/>
      </c>
      <c r="AE81" s="66" t="str">
        <f aca="false">IF(NOT(W81=""),W81+AG81,"")</f>
        <v/>
      </c>
      <c r="AF81" s="63" t="n">
        <v>34.5</v>
      </c>
      <c r="AG81" s="63" t="n">
        <v>310</v>
      </c>
      <c r="AH81" s="63"/>
    </row>
    <row r="82" customFormat="false" ht="12.8" hidden="false" customHeight="false" outlineLevel="0" collapsed="false">
      <c r="A82" s="56" t="s">
        <v>39</v>
      </c>
      <c r="B82" s="57" t="n">
        <v>100</v>
      </c>
      <c r="C82" s="56" t="n">
        <v>178</v>
      </c>
      <c r="D82" s="25"/>
      <c r="E82" s="77" t="n">
        <v>192</v>
      </c>
      <c r="F82" s="0" t="n">
        <v>374</v>
      </c>
      <c r="G82" s="0" t="n">
        <f aca="false">IF(F82="", "", IF(C82="","", F82-C82))</f>
        <v>196</v>
      </c>
      <c r="H82" s="0" t="str">
        <f aca="false">IF(F82="", "", IF(D82="","", F82-D82))</f>
        <v/>
      </c>
      <c r="I82" s="0" t="n">
        <f aca="false">IF(F82="", "", IF(E82="","", F82-E82))</f>
        <v>182</v>
      </c>
      <c r="J82" s="66" t="n">
        <f aca="false">IF(SUM(C82:E82)&gt;0,AVERAGE(G82:I82),"")</f>
        <v>189</v>
      </c>
      <c r="K82" s="66" t="n">
        <f aca="false">IF(NOT(G82=""),(G82-$J82)^2,"")</f>
        <v>49</v>
      </c>
      <c r="L82" s="66" t="str">
        <f aca="false">IF(NOT(H82=""),(H82-$J82)^2,"")</f>
        <v/>
      </c>
      <c r="M82" s="66" t="n">
        <f aca="false">IF(NOT(I82=""),(I82-$J82)^2,"")</f>
        <v>49</v>
      </c>
      <c r="N82" s="66" t="n">
        <f aca="false">IF(COUNT(K82:M82)&gt;0,SUM(K82:M82)/COUNT(K82:M82),"")</f>
        <v>49</v>
      </c>
      <c r="O82" s="66" t="n">
        <f aca="false">IF(NOT(N82=""),SQRT(N82),"")</f>
        <v>7</v>
      </c>
      <c r="P82" s="66" t="n">
        <f aca="false">IF(COUNT(K82:M82)&gt;0,VLOOKUP(COUNT(K82:M82),'t values'!$A$3:$C$5,3)*(O82/SQRT(COUNT(K82:M82))),"")</f>
        <v>62.8914913322939</v>
      </c>
      <c r="Q82" s="66" t="n">
        <f aca="false">IF(NOT(P82=""),J82-P82,"")</f>
        <v>126.108508667706</v>
      </c>
      <c r="R82" s="66" t="n">
        <f aca="false">IF(NOT(P82=""),J82+P82,"")</f>
        <v>251.891491332294</v>
      </c>
      <c r="T82" s="0" t="str">
        <f aca="false">IF(S82="", "", IF(C82="","", S82-C82))</f>
        <v/>
      </c>
      <c r="U82" s="0" t="str">
        <f aca="false">IF($S82="", "", IF(D82="","", $S82-D82))</f>
        <v/>
      </c>
      <c r="V82" s="0" t="str">
        <f aca="false">IF($S82="", "", IF(E82="","", $S82-E82))</f>
        <v/>
      </c>
      <c r="W82" s="66" t="str">
        <f aca="false">IF(SUM($C82:$E82)&gt;0,IF(NOT(S82=""),AVERAGE(T82:V82),""),"")</f>
        <v/>
      </c>
      <c r="X82" s="66" t="str">
        <f aca="false">IF(NOT(T82=""),(T82-$W82)^2,"")</f>
        <v/>
      </c>
      <c r="Y82" s="66" t="str">
        <f aca="false">IF(NOT(U82=""),(U82-$W82)^2,"")</f>
        <v/>
      </c>
      <c r="Z82" s="66" t="str">
        <f aca="false">IF(NOT(V82=""),(V82-$W82)^2,"")</f>
        <v/>
      </c>
      <c r="AA82" s="0" t="str">
        <f aca="false">IF(COUNT(X82:Z82)&gt;0,SUM(X82:Z82)/COUNT(X82:Z82),"")</f>
        <v/>
      </c>
      <c r="AB82" s="0" t="str">
        <f aca="false">IF(NOT(AA82=""),SQRT(AA82),"")</f>
        <v/>
      </c>
      <c r="AD82" s="66" t="str">
        <f aca="false">IF(NOT(W82=""),W82-AG82,"")</f>
        <v/>
      </c>
      <c r="AE82" s="66" t="str">
        <f aca="false">IF(NOT(W82=""),W82+AG82,"")</f>
        <v/>
      </c>
      <c r="AF82" s="63" t="n">
        <v>7</v>
      </c>
      <c r="AG82" s="63" t="n">
        <v>63</v>
      </c>
      <c r="AH82" s="63"/>
    </row>
    <row r="83" customFormat="false" ht="12.8" hidden="false" customHeight="false" outlineLevel="0" collapsed="false">
      <c r="A83" s="56" t="s">
        <v>41</v>
      </c>
      <c r="B83" s="57" t="n">
        <v>5</v>
      </c>
      <c r="C83" s="56" t="n">
        <v>182</v>
      </c>
      <c r="D83" s="25" t="n">
        <v>165</v>
      </c>
      <c r="E83" s="77" t="n">
        <v>174</v>
      </c>
      <c r="F83" s="0" t="n">
        <v>166</v>
      </c>
      <c r="G83" s="0" t="n">
        <f aca="false">IF(F83="", "", IF(C83="","", F83-C83))</f>
        <v>-16</v>
      </c>
      <c r="H83" s="0" t="n">
        <f aca="false">IF(F83="", "", IF(D83="","", F83-D83))</f>
        <v>1</v>
      </c>
      <c r="I83" s="0" t="n">
        <f aca="false">IF(F83="", "", IF(E83="","", F83-E83))</f>
        <v>-8</v>
      </c>
      <c r="J83" s="66" t="n">
        <f aca="false">IF(SUM(C83:E83)&gt;0,AVERAGE(G83:I83),"")</f>
        <v>-7.66666666666667</v>
      </c>
      <c r="K83" s="66" t="n">
        <f aca="false">IF(NOT(G83=""),(G83-$J83)^2,"")</f>
        <v>69.4444444444444</v>
      </c>
      <c r="L83" s="66" t="n">
        <f aca="false">IF(NOT(H83=""),(H83-$J83)^2,"")</f>
        <v>75.1111111111111</v>
      </c>
      <c r="M83" s="66" t="n">
        <f aca="false">IF(NOT(I83=""),(I83-$J83)^2,"")</f>
        <v>0.111111111111111</v>
      </c>
      <c r="N83" s="66" t="n">
        <f aca="false">IF(COUNT(K83:M83)&gt;0,SUM(K83:M83)/COUNT(K83:M83),"")</f>
        <v>48.2222222222222</v>
      </c>
      <c r="O83" s="66" t="n">
        <f aca="false">IF(NOT(N83=""),SQRT(N83),"")</f>
        <v>6.94422221866655</v>
      </c>
      <c r="P83" s="66" t="n">
        <f aca="false">IF(COUNT(K83:M83)&gt;0,VLOOKUP(COUNT(K83:M83),'t values'!$A$3:$C$5,3)*(O83/SQRT(COUNT(K83:M83))),"")</f>
        <v>17.2517965849186</v>
      </c>
      <c r="Q83" s="66" t="n">
        <f aca="false">IF(NOT(P83=""),J83-P83,"")</f>
        <v>-24.9184632515852</v>
      </c>
      <c r="R83" s="66" t="n">
        <f aca="false">IF(NOT(P83=""),J83+P83,"")</f>
        <v>9.58512991825189</v>
      </c>
      <c r="S83" s="0" t="n">
        <v>271</v>
      </c>
      <c r="T83" s="0" t="n">
        <f aca="false">IF(S83="", "", IF(C83="","", S83-C83))</f>
        <v>89</v>
      </c>
      <c r="U83" s="0" t="n">
        <f aca="false">IF($S83="", "", IF(D83="","", $S83-D83))</f>
        <v>106</v>
      </c>
      <c r="V83" s="0" t="n">
        <f aca="false">IF($S83="", "", IF(E83="","", $S83-E83))</f>
        <v>97</v>
      </c>
      <c r="W83" s="66" t="n">
        <f aca="false">IF(SUM($C83:$E83)&gt;0,IF(NOT(S83=""),AVERAGE(T83:V83),""),"")</f>
        <v>97.3333333333333</v>
      </c>
      <c r="X83" s="66" t="n">
        <f aca="false">IF(NOT(T83=""),(T83-$W83)^2,"")</f>
        <v>69.4444444444444</v>
      </c>
      <c r="Y83" s="66" t="n">
        <f aca="false">IF(NOT(U83=""),(U83-$W83)^2,"")</f>
        <v>75.1111111111112</v>
      </c>
      <c r="Z83" s="66" t="n">
        <f aca="false">IF(NOT(V83=""),(V83-$W83)^2,"")</f>
        <v>0.111111111111108</v>
      </c>
      <c r="AA83" s="0" t="n">
        <f aca="false">IF(COUNT(X83:Z83)&gt;0,SUM(X83:Z83)/COUNT(X83:Z83),"")</f>
        <v>48.2222222222222</v>
      </c>
      <c r="AB83" s="0" t="n">
        <f aca="false">IF(NOT(AA83=""),SQRT(AA83),"")</f>
        <v>6.94422221866655</v>
      </c>
      <c r="AD83" s="66" t="n">
        <f aca="false">IF(NOT(W83=""),W83-AG83,"")</f>
        <v>80.3333333333333</v>
      </c>
      <c r="AE83" s="66" t="n">
        <f aca="false">IF(NOT(W83=""),W83+AG83,"")</f>
        <v>114.333333333333</v>
      </c>
      <c r="AF83" s="63" t="n">
        <v>6.94422221866655</v>
      </c>
      <c r="AG83" s="63" t="n">
        <v>17</v>
      </c>
      <c r="AH83" s="63"/>
    </row>
    <row r="84" customFormat="false" ht="12.8" hidden="false" customHeight="false" outlineLevel="0" collapsed="false">
      <c r="A84" s="56" t="s">
        <v>41</v>
      </c>
      <c r="B84" s="57" t="n">
        <v>10</v>
      </c>
      <c r="C84" s="56" t="n">
        <v>95</v>
      </c>
      <c r="D84" s="25" t="n">
        <v>115</v>
      </c>
      <c r="E84" s="77" t="n">
        <v>109</v>
      </c>
      <c r="F84" s="0" t="n">
        <v>335</v>
      </c>
      <c r="G84" s="0" t="n">
        <f aca="false">IF(F84="", "", IF(C84="","", F84-C84))</f>
        <v>240</v>
      </c>
      <c r="H84" s="0" t="n">
        <f aca="false">IF(F84="", "", IF(D84="","", F84-D84))</f>
        <v>220</v>
      </c>
      <c r="I84" s="0" t="n">
        <f aca="false">IF(F84="", "", IF(E84="","", F84-E84))</f>
        <v>226</v>
      </c>
      <c r="J84" s="66" t="n">
        <f aca="false">IF(SUM(C84:E84)&gt;0,AVERAGE(G84:I84),"")</f>
        <v>228.666666666667</v>
      </c>
      <c r="K84" s="66" t="n">
        <f aca="false">IF(NOT(G84=""),(G84-$J84)^2,"")</f>
        <v>128.444444444445</v>
      </c>
      <c r="L84" s="66" t="n">
        <f aca="false">IF(NOT(H84=""),(H84-$J84)^2,"")</f>
        <v>75.1111111111109</v>
      </c>
      <c r="M84" s="66" t="n">
        <f aca="false">IF(NOT(I84=""),(I84-$J84)^2,"")</f>
        <v>7.11111111111106</v>
      </c>
      <c r="N84" s="66" t="n">
        <f aca="false">IF(COUNT(K84:M84)&gt;0,SUM(K84:M84)/COUNT(K84:M84),"")</f>
        <v>70.2222222222222</v>
      </c>
      <c r="O84" s="66" t="n">
        <f aca="false">IF(NOT(N84=""),SQRT(N84),"")</f>
        <v>8.37987005998436</v>
      </c>
      <c r="P84" s="66" t="n">
        <f aca="false">IF(COUNT(K84:M84)&gt;0,VLOOKUP(COUNT(K84:M84),'t values'!$A$3:$C$5,3)*(O84/SQRT(COUNT(K84:M84))),"")</f>
        <v>20.8184313708008</v>
      </c>
      <c r="Q84" s="66" t="n">
        <f aca="false">IF(NOT(P84=""),J84-P84,"")</f>
        <v>207.848235295866</v>
      </c>
      <c r="R84" s="66" t="n">
        <f aca="false">IF(NOT(P84=""),J84+P84,"")</f>
        <v>249.485098037467</v>
      </c>
      <c r="S84" s="0" t="n">
        <v>146</v>
      </c>
      <c r="T84" s="0" t="n">
        <f aca="false">IF(S84="", "", IF(C84="","", S84-C84))</f>
        <v>51</v>
      </c>
      <c r="U84" s="0" t="n">
        <f aca="false">IF($S84="", "", IF(D84="","", $S84-D84))</f>
        <v>31</v>
      </c>
      <c r="V84" s="0" t="n">
        <f aca="false">IF($S84="", "", IF(E84="","", $S84-E84))</f>
        <v>37</v>
      </c>
      <c r="W84" s="66" t="n">
        <f aca="false">IF(SUM($C84:$E84)&gt;0,IF(NOT(S84=""),AVERAGE(T84:V84),""),"")</f>
        <v>39.6666666666667</v>
      </c>
      <c r="X84" s="66" t="n">
        <f aca="false">IF(NOT(T84=""),(T84-$W84)^2,"")</f>
        <v>128.444444444444</v>
      </c>
      <c r="Y84" s="66" t="n">
        <f aca="false">IF(NOT(U84=""),(U84-$W84)^2,"")</f>
        <v>75.1111111111111</v>
      </c>
      <c r="Z84" s="66" t="n">
        <f aca="false">IF(NOT(V84=""),(V84-$W84)^2,"")</f>
        <v>7.1111111111111</v>
      </c>
      <c r="AA84" s="0" t="n">
        <f aca="false">IF(COUNT(X84:Z84)&gt;0,SUM(X84:Z84)/COUNT(X84:Z84),"")</f>
        <v>70.2222222222221</v>
      </c>
      <c r="AB84" s="0" t="n">
        <f aca="false">IF(NOT(AA84=""),SQRT(AA84),"")</f>
        <v>8.37987005998435</v>
      </c>
      <c r="AD84" s="66" t="n">
        <f aca="false">IF(NOT(W84=""),W84-AG84,"")</f>
        <v>18.6666666666667</v>
      </c>
      <c r="AE84" s="66" t="n">
        <f aca="false">IF(NOT(W84=""),W84+AG84,"")</f>
        <v>60.6666666666667</v>
      </c>
      <c r="AF84" s="63" t="n">
        <v>8.37987005998436</v>
      </c>
      <c r="AG84" s="63" t="n">
        <v>21</v>
      </c>
      <c r="AH84" s="63"/>
    </row>
    <row r="85" customFormat="false" ht="12.8" hidden="false" customHeight="false" outlineLevel="0" collapsed="false">
      <c r="A85" s="56" t="s">
        <v>41</v>
      </c>
      <c r="B85" s="57" t="n">
        <v>15</v>
      </c>
      <c r="C85" s="56" t="n">
        <v>78</v>
      </c>
      <c r="D85" s="25" t="n">
        <v>91</v>
      </c>
      <c r="E85" s="77" t="n">
        <v>79</v>
      </c>
      <c r="F85" s="0" t="n">
        <v>156</v>
      </c>
      <c r="G85" s="0" t="n">
        <f aca="false">IF(F85="", "", IF(C85="","", F85-C85))</f>
        <v>78</v>
      </c>
      <c r="H85" s="0" t="n">
        <f aca="false">IF(F85="", "", IF(D85="","", F85-D85))</f>
        <v>65</v>
      </c>
      <c r="I85" s="0" t="n">
        <f aca="false">IF(F85="", "", IF(E85="","", F85-E85))</f>
        <v>77</v>
      </c>
      <c r="J85" s="66" t="n">
        <f aca="false">IF(SUM(C85:E85)&gt;0,AVERAGE(G85:I85),"")</f>
        <v>73.3333333333333</v>
      </c>
      <c r="K85" s="66" t="n">
        <f aca="false">IF(NOT(G85=""),(G85-$J85)^2,"")</f>
        <v>21.7777777777778</v>
      </c>
      <c r="L85" s="66" t="n">
        <f aca="false">IF(NOT(H85=""),(H85-$J85)^2,"")</f>
        <v>69.4444444444444</v>
      </c>
      <c r="M85" s="66" t="n">
        <f aca="false">IF(NOT(I85=""),(I85-$J85)^2,"")</f>
        <v>13.4444444444445</v>
      </c>
      <c r="N85" s="66" t="n">
        <f aca="false">IF(COUNT(K85:M85)&gt;0,SUM(K85:M85)/COUNT(K85:M85),"")</f>
        <v>34.8888888888889</v>
      </c>
      <c r="O85" s="66" t="n">
        <f aca="false">IF(NOT(N85=""),SQRT(N85),"")</f>
        <v>5.90668171555645</v>
      </c>
      <c r="P85" s="66" t="n">
        <f aca="false">IF(COUNT(K85:M85)&gt;0,VLOOKUP(COUNT(K85:M85),'t values'!$A$3:$C$5,3)*(O85/SQRT(COUNT(K85:M85))),"")</f>
        <v>14.6741950703595</v>
      </c>
      <c r="Q85" s="66" t="n">
        <f aca="false">IF(NOT(P85=""),J85-P85,"")</f>
        <v>58.6591382629738</v>
      </c>
      <c r="R85" s="66" t="n">
        <f aca="false">IF(NOT(P85=""),J85+P85,"")</f>
        <v>88.0075284036928</v>
      </c>
      <c r="S85" s="0" t="n">
        <v>94</v>
      </c>
      <c r="T85" s="0" t="n">
        <f aca="false">IF(S85="", "", IF(C85="","", S85-C85))</f>
        <v>16</v>
      </c>
      <c r="U85" s="0" t="n">
        <f aca="false">IF($S85="", "", IF(D85="","", $S85-D85))</f>
        <v>3</v>
      </c>
      <c r="V85" s="0" t="n">
        <f aca="false">IF($S85="", "", IF(E85="","", $S85-E85))</f>
        <v>15</v>
      </c>
      <c r="W85" s="66" t="n">
        <f aca="false">IF(SUM($C85:$E85)&gt;0,IF(NOT(S85=""),AVERAGE(T85:V85),""),"")</f>
        <v>11.3333333333333</v>
      </c>
      <c r="X85" s="66" t="n">
        <f aca="false">IF(NOT(T85=""),(T85-$W85)^2,"")</f>
        <v>21.7777777777778</v>
      </c>
      <c r="Y85" s="66" t="n">
        <f aca="false">IF(NOT(U85=""),(U85-$W85)^2,"")</f>
        <v>69.4444444444445</v>
      </c>
      <c r="Z85" s="66" t="n">
        <f aca="false">IF(NOT(V85=""),(V85-$W85)^2,"")</f>
        <v>13.4444444444444</v>
      </c>
      <c r="AA85" s="0" t="n">
        <f aca="false">IF(COUNT(X85:Z85)&gt;0,SUM(X85:Z85)/COUNT(X85:Z85),"")</f>
        <v>34.8888888888889</v>
      </c>
      <c r="AB85" s="0" t="n">
        <f aca="false">IF(NOT(AA85=""),SQRT(AA85),"")</f>
        <v>5.90668171555645</v>
      </c>
      <c r="AD85" s="66" t="n">
        <f aca="false">IF(NOT(W85=""),W85-AG85,"")</f>
        <v>-3.66666666666667</v>
      </c>
      <c r="AE85" s="66" t="n">
        <f aca="false">IF(NOT(W85=""),W85+AG85,"")</f>
        <v>26.3333333333333</v>
      </c>
      <c r="AF85" s="63" t="n">
        <v>5.90668171555645</v>
      </c>
      <c r="AG85" s="63" t="n">
        <v>15</v>
      </c>
      <c r="AH85" s="63"/>
    </row>
    <row r="86" customFormat="false" ht="12.8" hidden="false" customHeight="false" outlineLevel="0" collapsed="false">
      <c r="A86" s="56" t="s">
        <v>41</v>
      </c>
      <c r="B86" s="57" t="n">
        <v>20</v>
      </c>
      <c r="C86" s="56" t="n">
        <v>61</v>
      </c>
      <c r="D86" s="25" t="n">
        <v>75</v>
      </c>
      <c r="E86" s="77" t="n">
        <v>62</v>
      </c>
      <c r="F86" s="0" t="n">
        <v>107</v>
      </c>
      <c r="G86" s="0" t="n">
        <f aca="false">IF(F86="", "", IF(C86="","", F86-C86))</f>
        <v>46</v>
      </c>
      <c r="H86" s="0" t="n">
        <f aca="false">IF(F86="", "", IF(D86="","", F86-D86))</f>
        <v>32</v>
      </c>
      <c r="I86" s="0" t="n">
        <f aca="false">IF(F86="", "", IF(E86="","", F86-E86))</f>
        <v>45</v>
      </c>
      <c r="J86" s="66" t="n">
        <f aca="false">IF(SUM(C86:E86)&gt;0,AVERAGE(G86:I86),"")</f>
        <v>41</v>
      </c>
      <c r="K86" s="66" t="n">
        <f aca="false">IF(NOT(G86=""),(G86-$J86)^2,"")</f>
        <v>25</v>
      </c>
      <c r="L86" s="66" t="n">
        <f aca="false">IF(NOT(H86=""),(H86-$J86)^2,"")</f>
        <v>81</v>
      </c>
      <c r="M86" s="66" t="n">
        <f aca="false">IF(NOT(I86=""),(I86-$J86)^2,"")</f>
        <v>16</v>
      </c>
      <c r="N86" s="66" t="n">
        <f aca="false">IF(COUNT(K86:M86)&gt;0,SUM(K86:M86)/COUNT(K86:M86),"")</f>
        <v>40.6666666666667</v>
      </c>
      <c r="O86" s="66" t="n">
        <f aca="false">IF(NOT(N86=""),SQRT(N86),"")</f>
        <v>6.37704215656966</v>
      </c>
      <c r="P86" s="66" t="n">
        <f aca="false">IF(COUNT(K86:M86)&gt;0,VLOOKUP(COUNT(K86:M86),'t values'!$A$3:$C$5,3)*(O86/SQRT(COUNT(K86:M86))),"")</f>
        <v>15.8427294856523</v>
      </c>
      <c r="Q86" s="66" t="n">
        <f aca="false">IF(NOT(P86=""),J86-P86,"")</f>
        <v>25.1572705143477</v>
      </c>
      <c r="R86" s="66" t="n">
        <f aca="false">IF(NOT(P86=""),J86+P86,"")</f>
        <v>56.8427294856523</v>
      </c>
      <c r="S86" s="0" t="n">
        <v>94</v>
      </c>
      <c r="T86" s="0" t="n">
        <f aca="false">IF(S86="", "", IF(C86="","", S86-C86))</f>
        <v>33</v>
      </c>
      <c r="U86" s="0" t="n">
        <f aca="false">IF($S86="", "", IF(D86="","", $S86-D86))</f>
        <v>19</v>
      </c>
      <c r="V86" s="0" t="n">
        <f aca="false">IF($S86="", "", IF(E86="","", $S86-E86))</f>
        <v>32</v>
      </c>
      <c r="W86" s="66" t="n">
        <f aca="false">IF(SUM($C86:$E86)&gt;0,IF(NOT(S86=""),AVERAGE(T86:V86),""),"")</f>
        <v>28</v>
      </c>
      <c r="X86" s="66" t="n">
        <f aca="false">IF(NOT(T86=""),(T86-$W86)^2,"")</f>
        <v>25</v>
      </c>
      <c r="Y86" s="66" t="n">
        <f aca="false">IF(NOT(U86=""),(U86-$W86)^2,"")</f>
        <v>81</v>
      </c>
      <c r="Z86" s="66" t="n">
        <f aca="false">IF(NOT(V86=""),(V86-$W86)^2,"")</f>
        <v>16</v>
      </c>
      <c r="AA86" s="0" t="n">
        <f aca="false">IF(COUNT(X86:Z86)&gt;0,SUM(X86:Z86)/COUNT(X86:Z86),"")</f>
        <v>40.6666666666667</v>
      </c>
      <c r="AB86" s="0" t="n">
        <f aca="false">IF(NOT(AA86=""),SQRT(AA86),"")</f>
        <v>6.37704215656966</v>
      </c>
      <c r="AD86" s="66" t="n">
        <f aca="false">IF(NOT(W86=""),W86-AG86,"")</f>
        <v>12</v>
      </c>
      <c r="AE86" s="66" t="n">
        <f aca="false">IF(NOT(W86=""),W86+AG86,"")</f>
        <v>44</v>
      </c>
      <c r="AF86" s="63" t="n">
        <v>6.37704215656966</v>
      </c>
      <c r="AG86" s="63" t="n">
        <v>16</v>
      </c>
      <c r="AH86" s="63"/>
    </row>
    <row r="87" customFormat="false" ht="12.8" hidden="false" customHeight="false" outlineLevel="0" collapsed="false">
      <c r="A87" s="56" t="s">
        <v>41</v>
      </c>
      <c r="B87" s="57" t="n">
        <v>30</v>
      </c>
      <c r="C87" s="56" t="n">
        <v>49</v>
      </c>
      <c r="D87" s="25" t="n">
        <v>57</v>
      </c>
      <c r="E87" s="77" t="n">
        <v>56</v>
      </c>
      <c r="F87" s="0" t="n">
        <v>69</v>
      </c>
      <c r="G87" s="0" t="n">
        <f aca="false">IF(F87="", "", IF(C87="","", F87-C87))</f>
        <v>20</v>
      </c>
      <c r="H87" s="0" t="n">
        <f aca="false">IF(F87="", "", IF(D87="","", F87-D87))</f>
        <v>12</v>
      </c>
      <c r="I87" s="0" t="n">
        <f aca="false">IF(F87="", "", IF(E87="","", F87-E87))</f>
        <v>13</v>
      </c>
      <c r="J87" s="66" t="n">
        <f aca="false">IF(SUM(C87:E87)&gt;0,AVERAGE(G87:I87),"")</f>
        <v>15</v>
      </c>
      <c r="K87" s="66" t="n">
        <f aca="false">IF(NOT(G87=""),(G87-$J87)^2,"")</f>
        <v>25</v>
      </c>
      <c r="L87" s="66" t="n">
        <f aca="false">IF(NOT(H87=""),(H87-$J87)^2,"")</f>
        <v>9</v>
      </c>
      <c r="M87" s="66" t="n">
        <f aca="false">IF(NOT(I87=""),(I87-$J87)^2,"")</f>
        <v>4</v>
      </c>
      <c r="N87" s="66" t="n">
        <f aca="false">IF(COUNT(K87:M87)&gt;0,SUM(K87:M87)/COUNT(K87:M87),"")</f>
        <v>12.6666666666667</v>
      </c>
      <c r="O87" s="66" t="n">
        <f aca="false">IF(NOT(N87=""),SQRT(N87),"")</f>
        <v>3.55902608401044</v>
      </c>
      <c r="P87" s="66" t="n">
        <f aca="false">IF(COUNT(K87:M87)&gt;0,VLOOKUP(COUNT(K87:M87),'t values'!$A$3:$C$5,3)*(O87/SQRT(COUNT(K87:M87))),"")</f>
        <v>8.84182448492517</v>
      </c>
      <c r="Q87" s="66" t="n">
        <f aca="false">IF(NOT(P87=""),J87-P87,"")</f>
        <v>6.15817551507483</v>
      </c>
      <c r="R87" s="66" t="n">
        <f aca="false">IF(NOT(P87=""),J87+P87,"")</f>
        <v>23.8418244849252</v>
      </c>
      <c r="S87" s="0" t="n">
        <v>71</v>
      </c>
      <c r="T87" s="0" t="n">
        <f aca="false">IF(S87="", "", IF(C87="","", S87-C87))</f>
        <v>22</v>
      </c>
      <c r="U87" s="0" t="n">
        <f aca="false">IF($S87="", "", IF(D87="","", $S87-D87))</f>
        <v>14</v>
      </c>
      <c r="V87" s="0" t="n">
        <f aca="false">IF($S87="", "", IF(E87="","", $S87-E87))</f>
        <v>15</v>
      </c>
      <c r="W87" s="66" t="n">
        <f aca="false">IF(SUM($C87:$E87)&gt;0,IF(NOT(S87=""),AVERAGE(T87:V87),""),"")</f>
        <v>17</v>
      </c>
      <c r="X87" s="66" t="n">
        <f aca="false">IF(NOT(T87=""),(T87-$W87)^2,"")</f>
        <v>25</v>
      </c>
      <c r="Y87" s="66" t="n">
        <f aca="false">IF(NOT(U87=""),(U87-$W87)^2,"")</f>
        <v>9</v>
      </c>
      <c r="Z87" s="66" t="n">
        <f aca="false">IF(NOT(V87=""),(V87-$W87)^2,"")</f>
        <v>4</v>
      </c>
      <c r="AA87" s="0" t="n">
        <f aca="false">IF(COUNT(X87:Z87)&gt;0,SUM(X87:Z87)/COUNT(X87:Z87),"")</f>
        <v>12.6666666666667</v>
      </c>
      <c r="AB87" s="0" t="n">
        <f aca="false">IF(NOT(AA87=""),SQRT(AA87),"")</f>
        <v>3.55902608401044</v>
      </c>
      <c r="AD87" s="66" t="n">
        <f aca="false">IF(NOT(W87=""),W87-AG87,"")</f>
        <v>8</v>
      </c>
      <c r="AE87" s="66" t="n">
        <f aca="false">IF(NOT(W87=""),W87+AG87,"")</f>
        <v>26</v>
      </c>
      <c r="AF87" s="63" t="n">
        <v>3.55902608401044</v>
      </c>
      <c r="AG87" s="63" t="n">
        <v>9</v>
      </c>
      <c r="AH87" s="63"/>
    </row>
    <row r="88" customFormat="false" ht="12.8" hidden="false" customHeight="false" outlineLevel="0" collapsed="false">
      <c r="A88" s="56" t="s">
        <v>41</v>
      </c>
      <c r="B88" s="57" t="n">
        <v>40</v>
      </c>
      <c r="C88" s="56" t="n">
        <v>55</v>
      </c>
      <c r="D88" s="25" t="n">
        <v>43</v>
      </c>
      <c r="E88" s="77" t="n">
        <v>44</v>
      </c>
      <c r="F88" s="0" t="n">
        <v>84</v>
      </c>
      <c r="G88" s="0" t="n">
        <f aca="false">IF(F88="", "", IF(C88="","", F88-C88))</f>
        <v>29</v>
      </c>
      <c r="H88" s="0" t="n">
        <f aca="false">IF(F88="", "", IF(D88="","", F88-D88))</f>
        <v>41</v>
      </c>
      <c r="I88" s="0" t="n">
        <f aca="false">IF(F88="", "", IF(E88="","", F88-E88))</f>
        <v>40</v>
      </c>
      <c r="J88" s="66" t="n">
        <f aca="false">IF(SUM(C88:E88)&gt;0,AVERAGE(G88:I88),"")</f>
        <v>36.6666666666667</v>
      </c>
      <c r="K88" s="66" t="n">
        <f aca="false">IF(NOT(G88=""),(G88-$J88)^2,"")</f>
        <v>58.7777777777777</v>
      </c>
      <c r="L88" s="66" t="n">
        <f aca="false">IF(NOT(H88=""),(H88-$J88)^2,"")</f>
        <v>18.7777777777778</v>
      </c>
      <c r="M88" s="66" t="n">
        <f aca="false">IF(NOT(I88=""),(I88-$J88)^2,"")</f>
        <v>11.1111111111111</v>
      </c>
      <c r="N88" s="66" t="n">
        <f aca="false">IF(COUNT(K88:M88)&gt;0,SUM(K88:M88)/COUNT(K88:M88),"")</f>
        <v>29.5555555555556</v>
      </c>
      <c r="O88" s="66" t="n">
        <f aca="false">IF(NOT(N88=""),SQRT(N88),"")</f>
        <v>5.43650214343336</v>
      </c>
      <c r="P88" s="66" t="n">
        <f aca="false">IF(COUNT(K88:M88)&gt;0,VLOOKUP(COUNT(K88:M88),'t values'!$A$3:$C$5,3)*(O88/SQRT(COUNT(K88:M88))),"")</f>
        <v>13.5061099945612</v>
      </c>
      <c r="Q88" s="66" t="n">
        <f aca="false">IF(NOT(P88=""),J88-P88,"")</f>
        <v>23.1605566721055</v>
      </c>
      <c r="R88" s="66" t="n">
        <f aca="false">IF(NOT(P88=""),J88+P88,"")</f>
        <v>50.1727766612278</v>
      </c>
      <c r="S88" s="0" t="n">
        <v>104</v>
      </c>
      <c r="T88" s="0" t="n">
        <f aca="false">IF(S88="", "", IF(C88="","", S88-C88))</f>
        <v>49</v>
      </c>
      <c r="U88" s="0" t="n">
        <f aca="false">IF($S88="", "", IF(D88="","", $S88-D88))</f>
        <v>61</v>
      </c>
      <c r="V88" s="0" t="n">
        <f aca="false">IF($S88="", "", IF(E88="","", $S88-E88))</f>
        <v>60</v>
      </c>
      <c r="W88" s="66" t="n">
        <f aca="false">IF(SUM($C88:$E88)&gt;0,IF(NOT(S88=""),AVERAGE(T88:V88),""),"")</f>
        <v>56.6666666666667</v>
      </c>
      <c r="X88" s="66" t="n">
        <f aca="false">IF(NOT(T88=""),(T88-$W88)^2,"")</f>
        <v>58.7777777777777</v>
      </c>
      <c r="Y88" s="66" t="n">
        <f aca="false">IF(NOT(U88=""),(U88-$W88)^2,"")</f>
        <v>18.7777777777778</v>
      </c>
      <c r="Z88" s="66" t="n">
        <f aca="false">IF(NOT(V88=""),(V88-$W88)^2,"")</f>
        <v>11.1111111111111</v>
      </c>
      <c r="AA88" s="0" t="n">
        <f aca="false">IF(COUNT(X88:Z88)&gt;0,SUM(X88:Z88)/COUNT(X88:Z88),"")</f>
        <v>29.5555555555555</v>
      </c>
      <c r="AB88" s="0" t="n">
        <f aca="false">IF(NOT(AA88=""),SQRT(AA88),"")</f>
        <v>5.43650214343336</v>
      </c>
      <c r="AD88" s="66" t="n">
        <f aca="false">IF(NOT(W88=""),W88-AG88,"")</f>
        <v>42.6666666666667</v>
      </c>
      <c r="AE88" s="66" t="n">
        <f aca="false">IF(NOT(W88=""),W88+AG88,"")</f>
        <v>70.6666666666667</v>
      </c>
      <c r="AF88" s="63" t="n">
        <v>5.43650214343336</v>
      </c>
      <c r="AG88" s="63" t="n">
        <v>14</v>
      </c>
      <c r="AH88" s="63"/>
    </row>
    <row r="89" customFormat="false" ht="12.8" hidden="false" customHeight="false" outlineLevel="0" collapsed="false">
      <c r="A89" s="56" t="s">
        <v>41</v>
      </c>
      <c r="B89" s="57" t="n">
        <v>50</v>
      </c>
      <c r="C89" s="56" t="n">
        <v>38</v>
      </c>
      <c r="D89" s="25" t="n">
        <v>31</v>
      </c>
      <c r="E89" s="77" t="n">
        <v>37</v>
      </c>
      <c r="F89" s="0" t="n">
        <v>83</v>
      </c>
      <c r="G89" s="0" t="n">
        <f aca="false">IF(F89="", "", IF(C89="","", F89-C89))</f>
        <v>45</v>
      </c>
      <c r="H89" s="0" t="n">
        <f aca="false">IF(F89="", "", IF(D89="","", F89-D89))</f>
        <v>52</v>
      </c>
      <c r="I89" s="0" t="n">
        <f aca="false">IF(F89="", "", IF(E89="","", F89-E89))</f>
        <v>46</v>
      </c>
      <c r="J89" s="66" t="n">
        <f aca="false">IF(SUM(C89:E89)&gt;0,AVERAGE(G89:I89),"")</f>
        <v>47.6666666666667</v>
      </c>
      <c r="K89" s="66" t="n">
        <f aca="false">IF(NOT(G89=""),(G89-$J89)^2,"")</f>
        <v>7.1111111111111</v>
      </c>
      <c r="L89" s="66" t="n">
        <f aca="false">IF(NOT(H89=""),(H89-$J89)^2,"")</f>
        <v>18.7777777777778</v>
      </c>
      <c r="M89" s="66" t="n">
        <f aca="false">IF(NOT(I89=""),(I89-$J89)^2,"")</f>
        <v>2.77777777777777</v>
      </c>
      <c r="N89" s="66" t="n">
        <f aca="false">IF(COUNT(K89:M89)&gt;0,SUM(K89:M89)/COUNT(K89:M89),"")</f>
        <v>9.55555555555556</v>
      </c>
      <c r="O89" s="66" t="n">
        <f aca="false">IF(NOT(N89=""),SQRT(N89),"")</f>
        <v>3.09120616516524</v>
      </c>
      <c r="P89" s="66" t="n">
        <f aca="false">IF(COUNT(K89:M89)&gt;0,VLOOKUP(COUNT(K89:M89),'t values'!$A$3:$C$5,3)*(O89/SQRT(COUNT(K89:M89))),"")</f>
        <v>7.67960158592349</v>
      </c>
      <c r="Q89" s="66" t="n">
        <f aca="false">IF(NOT(P89=""),J89-P89,"")</f>
        <v>39.9870650807432</v>
      </c>
      <c r="R89" s="66" t="n">
        <f aca="false">IF(NOT(P89=""),J89+P89,"")</f>
        <v>55.3462682525902</v>
      </c>
      <c r="S89" s="0" t="n">
        <v>68</v>
      </c>
      <c r="T89" s="0" t="n">
        <f aca="false">IF(S89="", "", IF(C89="","", S89-C89))</f>
        <v>30</v>
      </c>
      <c r="U89" s="0" t="n">
        <f aca="false">IF($S89="", "", IF(D89="","", $S89-D89))</f>
        <v>37</v>
      </c>
      <c r="V89" s="0" t="n">
        <f aca="false">IF($S89="", "", IF(E89="","", $S89-E89))</f>
        <v>31</v>
      </c>
      <c r="W89" s="66" t="n">
        <f aca="false">IF(SUM($C89:$E89)&gt;0,IF(NOT(S89=""),AVERAGE(T89:V89),""),"")</f>
        <v>32.6666666666667</v>
      </c>
      <c r="X89" s="66" t="n">
        <f aca="false">IF(NOT(T89=""),(T89-$W89)^2,"")</f>
        <v>7.1111111111111</v>
      </c>
      <c r="Y89" s="66" t="n">
        <f aca="false">IF(NOT(U89=""),(U89-$W89)^2,"")</f>
        <v>18.7777777777778</v>
      </c>
      <c r="Z89" s="66" t="n">
        <f aca="false">IF(NOT(V89=""),(V89-$W89)^2,"")</f>
        <v>2.77777777777777</v>
      </c>
      <c r="AA89" s="0" t="n">
        <f aca="false">IF(COUNT(X89:Z89)&gt;0,SUM(X89:Z89)/COUNT(X89:Z89),"")</f>
        <v>9.55555555555556</v>
      </c>
      <c r="AB89" s="0" t="n">
        <f aca="false">IF(NOT(AA89=""),SQRT(AA89),"")</f>
        <v>3.09120616516524</v>
      </c>
      <c r="AD89" s="66" t="n">
        <f aca="false">IF(NOT(W89=""),W89-AG89,"")</f>
        <v>24.6666666666667</v>
      </c>
      <c r="AE89" s="66" t="n">
        <f aca="false">IF(NOT(W89=""),W89+AG89,"")</f>
        <v>40.6666666666667</v>
      </c>
      <c r="AF89" s="63" t="n">
        <v>3.09120616516524</v>
      </c>
      <c r="AG89" s="63" t="n">
        <v>8</v>
      </c>
      <c r="AH89" s="63"/>
    </row>
    <row r="90" customFormat="false" ht="12.8" hidden="false" customHeight="false" outlineLevel="0" collapsed="false">
      <c r="A90" s="56" t="s">
        <v>41</v>
      </c>
      <c r="B90" s="57" t="n">
        <v>64</v>
      </c>
      <c r="C90" s="56" t="n">
        <v>39</v>
      </c>
      <c r="D90" s="25" t="n">
        <v>33</v>
      </c>
      <c r="E90" s="77" t="n">
        <v>37</v>
      </c>
      <c r="F90" s="0" t="n">
        <v>65</v>
      </c>
      <c r="G90" s="0" t="n">
        <f aca="false">IF(F90="", "", IF(C90="","", F90-C90))</f>
        <v>26</v>
      </c>
      <c r="H90" s="0" t="n">
        <f aca="false">IF(F90="", "", IF(D90="","", F90-D90))</f>
        <v>32</v>
      </c>
      <c r="I90" s="0" t="n">
        <f aca="false">IF(F90="", "", IF(E90="","", F90-E90))</f>
        <v>28</v>
      </c>
      <c r="J90" s="66" t="n">
        <f aca="false">IF(SUM(C90:E90)&gt;0,AVERAGE(G90:I90),"")</f>
        <v>28.6666666666667</v>
      </c>
      <c r="K90" s="66" t="n">
        <f aca="false">IF(NOT(G90=""),(G90-$J90)^2,"")</f>
        <v>7.11111111111112</v>
      </c>
      <c r="L90" s="66" t="n">
        <f aca="false">IF(NOT(H90=""),(H90-$J90)^2,"")</f>
        <v>11.1111111111111</v>
      </c>
      <c r="M90" s="66" t="n">
        <f aca="false">IF(NOT(I90=""),(I90-$J90)^2,"")</f>
        <v>0.444444444444446</v>
      </c>
      <c r="N90" s="66" t="n">
        <f aca="false">IF(COUNT(K90:M90)&gt;0,SUM(K90:M90)/COUNT(K90:M90),"")</f>
        <v>6.22222222222222</v>
      </c>
      <c r="O90" s="66" t="n">
        <f aca="false">IF(NOT(N90=""),SQRT(N90),"")</f>
        <v>2.49443825784929</v>
      </c>
      <c r="P90" s="66" t="n">
        <f aca="false">IF(COUNT(K90:M90)&gt;0,VLOOKUP(COUNT(K90:M90),'t values'!$A$3:$C$5,3)*(O90/SQRT(COUNT(K90:M90))),"")</f>
        <v>6.19702827227756</v>
      </c>
      <c r="Q90" s="66" t="n">
        <f aca="false">IF(NOT(P90=""),J90-P90,"")</f>
        <v>22.4696383943891</v>
      </c>
      <c r="R90" s="66" t="n">
        <f aca="false">IF(NOT(P90=""),J90+P90,"")</f>
        <v>34.8636949389442</v>
      </c>
      <c r="S90" s="0" t="n">
        <v>47</v>
      </c>
      <c r="T90" s="0" t="n">
        <f aca="false">IF(S90="", "", IF(C90="","", S90-C90))</f>
        <v>8</v>
      </c>
      <c r="U90" s="0" t="n">
        <f aca="false">IF($S90="", "", IF(D90="","", $S90-D90))</f>
        <v>14</v>
      </c>
      <c r="V90" s="0" t="n">
        <f aca="false">IF($S90="", "", IF(E90="","", $S90-E90))</f>
        <v>10</v>
      </c>
      <c r="W90" s="66" t="n">
        <f aca="false">IF(SUM($C90:$E90)&gt;0,IF(NOT(S90=""),AVERAGE(T90:V90),""),"")</f>
        <v>10.6666666666667</v>
      </c>
      <c r="X90" s="66" t="n">
        <f aca="false">IF(NOT(T90=""),(T90-$W90)^2,"")</f>
        <v>7.11111111111111</v>
      </c>
      <c r="Y90" s="66" t="n">
        <f aca="false">IF(NOT(U90=""),(U90-$W90)^2,"")</f>
        <v>11.1111111111111</v>
      </c>
      <c r="Z90" s="66" t="n">
        <f aca="false">IF(NOT(V90=""),(V90-$W90)^2,"")</f>
        <v>0.444444444444444</v>
      </c>
      <c r="AA90" s="0" t="n">
        <f aca="false">IF(COUNT(X90:Z90)&gt;0,SUM(X90:Z90)/COUNT(X90:Z90),"")</f>
        <v>6.22222222222222</v>
      </c>
      <c r="AB90" s="0" t="n">
        <f aca="false">IF(NOT(AA90=""),SQRT(AA90),"")</f>
        <v>2.49443825784929</v>
      </c>
      <c r="AD90" s="66" t="n">
        <f aca="false">IF(NOT(W90=""),W90-AG90,"")</f>
        <v>4.66666666666667</v>
      </c>
      <c r="AE90" s="66" t="n">
        <f aca="false">IF(NOT(W90=""),W90+AG90,"")</f>
        <v>16.6666666666667</v>
      </c>
      <c r="AF90" s="63" t="n">
        <v>2.49443825784929</v>
      </c>
      <c r="AG90" s="63" t="n">
        <v>6</v>
      </c>
      <c r="AH90" s="63"/>
    </row>
    <row r="91" customFormat="false" ht="12.8" hidden="false" customHeight="false" outlineLevel="0" collapsed="false">
      <c r="A91" s="56" t="s">
        <v>41</v>
      </c>
      <c r="B91" s="57" t="n">
        <v>82</v>
      </c>
      <c r="C91" s="56" t="n">
        <v>31</v>
      </c>
      <c r="D91" s="25" t="n">
        <v>30</v>
      </c>
      <c r="E91" s="77" t="n">
        <v>29</v>
      </c>
      <c r="F91" s="0" t="n">
        <v>92</v>
      </c>
      <c r="G91" s="0" t="n">
        <f aca="false">IF(F91="", "", IF(C91="","", F91-C91))</f>
        <v>61</v>
      </c>
      <c r="H91" s="0" t="n">
        <f aca="false">IF(F91="", "", IF(D91="","", F91-D91))</f>
        <v>62</v>
      </c>
      <c r="I91" s="0" t="n">
        <f aca="false">IF(F91="", "", IF(E91="","", F91-E91))</f>
        <v>63</v>
      </c>
      <c r="J91" s="66" t="n">
        <f aca="false">IF(SUM(C91:E91)&gt;0,AVERAGE(G91:I91),"")</f>
        <v>62</v>
      </c>
      <c r="K91" s="66" t="n">
        <f aca="false">IF(NOT(G91=""),(G91-$J91)^2,"")</f>
        <v>1</v>
      </c>
      <c r="L91" s="66" t="n">
        <f aca="false">IF(NOT(H91=""),(H91-$J91)^2,"")</f>
        <v>0</v>
      </c>
      <c r="M91" s="66" t="n">
        <f aca="false">IF(NOT(I91=""),(I91-$J91)^2,"")</f>
        <v>1</v>
      </c>
      <c r="N91" s="66" t="n">
        <f aca="false">IF(COUNT(K91:M91)&gt;0,SUM(K91:M91)/COUNT(K91:M91),"")</f>
        <v>0.666666666666667</v>
      </c>
      <c r="O91" s="66" t="n">
        <f aca="false">IF(NOT(N91=""),SQRT(N91),"")</f>
        <v>0.816496580927726</v>
      </c>
      <c r="P91" s="66" t="n">
        <f aca="false">IF(COUNT(K91:M91)&gt;0,VLOOKUP(COUNT(K91:M91),'t values'!$A$3:$C$5,3)*(O91/SQRT(COUNT(K91:M91))),"")</f>
        <v>2.02845365296381</v>
      </c>
      <c r="Q91" s="66" t="n">
        <f aca="false">IF(NOT(P91=""),J91-P91,"")</f>
        <v>59.9715463470362</v>
      </c>
      <c r="R91" s="66" t="n">
        <f aca="false">IF(NOT(P91=""),J91+P91,"")</f>
        <v>64.0284536529638</v>
      </c>
      <c r="S91" s="0" t="n">
        <v>55</v>
      </c>
      <c r="T91" s="0" t="n">
        <f aca="false">IF(S91="", "", IF(C91="","", S91-C91))</f>
        <v>24</v>
      </c>
      <c r="U91" s="0" t="n">
        <f aca="false">IF($S91="", "", IF(D91="","", $S91-D91))</f>
        <v>25</v>
      </c>
      <c r="V91" s="0" t="n">
        <f aca="false">IF($S91="", "", IF(E91="","", $S91-E91))</f>
        <v>26</v>
      </c>
      <c r="W91" s="66" t="n">
        <f aca="false">IF(SUM($C91:$E91)&gt;0,IF(NOT(S91=""),AVERAGE(T91:V91),""),"")</f>
        <v>25</v>
      </c>
      <c r="X91" s="66" t="n">
        <f aca="false">IF(NOT(T91=""),(T91-$W91)^2,"")</f>
        <v>1</v>
      </c>
      <c r="Y91" s="66" t="n">
        <f aca="false">IF(NOT(U91=""),(U91-$W91)^2,"")</f>
        <v>0</v>
      </c>
      <c r="Z91" s="66" t="n">
        <f aca="false">IF(NOT(V91=""),(V91-$W91)^2,"")</f>
        <v>1</v>
      </c>
      <c r="AA91" s="0" t="n">
        <f aca="false">IF(COUNT(X91:Z91)&gt;0,SUM(X91:Z91)/COUNT(X91:Z91),"")</f>
        <v>0.666666666666667</v>
      </c>
      <c r="AB91" s="0" t="n">
        <f aca="false">IF(NOT(AA91=""),SQRT(AA91),"")</f>
        <v>0.816496580927726</v>
      </c>
      <c r="AD91" s="66" t="n">
        <f aca="false">IF(NOT(W91=""),W91-AG91,"")</f>
        <v>23</v>
      </c>
      <c r="AE91" s="66" t="n">
        <f aca="false">IF(NOT(W91=""),W91+AG91,"")</f>
        <v>27</v>
      </c>
      <c r="AF91" s="63" t="n">
        <v>0.816496580927726</v>
      </c>
      <c r="AG91" s="63" t="n">
        <v>2</v>
      </c>
      <c r="AH91" s="63"/>
    </row>
    <row r="92" customFormat="false" ht="12.8" hidden="false" customHeight="false" outlineLevel="0" collapsed="false">
      <c r="A92" s="56" t="s">
        <v>41</v>
      </c>
      <c r="B92" s="57" t="n">
        <v>100</v>
      </c>
      <c r="C92" s="56" t="n">
        <v>31</v>
      </c>
      <c r="D92" s="25" t="n">
        <v>29</v>
      </c>
      <c r="E92" s="77" t="n">
        <v>27</v>
      </c>
      <c r="F92" s="0" t="n">
        <v>53</v>
      </c>
      <c r="G92" s="0" t="n">
        <f aca="false">IF(F92="", "", IF(C92="","", F92-C92))</f>
        <v>22</v>
      </c>
      <c r="H92" s="0" t="n">
        <f aca="false">IF(F92="", "", IF(D92="","", F92-D92))</f>
        <v>24</v>
      </c>
      <c r="I92" s="0" t="n">
        <f aca="false">IF(F92="", "", IF(E92="","", F92-E92))</f>
        <v>26</v>
      </c>
      <c r="J92" s="66" t="n">
        <f aca="false">IF(SUM(C92:E92)&gt;0,AVERAGE(G92:I92),"")</f>
        <v>24</v>
      </c>
      <c r="K92" s="66" t="n">
        <f aca="false">IF(NOT(G92=""),(G92-$J92)^2,"")</f>
        <v>4</v>
      </c>
      <c r="L92" s="66" t="n">
        <f aca="false">IF(NOT(H92=""),(H92-$J92)^2,"")</f>
        <v>0</v>
      </c>
      <c r="M92" s="66" t="n">
        <f aca="false">IF(NOT(I92=""),(I92-$J92)^2,"")</f>
        <v>4</v>
      </c>
      <c r="N92" s="66" t="n">
        <f aca="false">IF(COUNT(K92:M92)&gt;0,SUM(K92:M92)/COUNT(K92:M92),"")</f>
        <v>2.66666666666667</v>
      </c>
      <c r="O92" s="66" t="n">
        <f aca="false">IF(NOT(N92=""),SQRT(N92),"")</f>
        <v>1.63299316185545</v>
      </c>
      <c r="P92" s="66" t="n">
        <f aca="false">IF(COUNT(K92:M92)&gt;0,VLOOKUP(COUNT(K92:M92),'t values'!$A$3:$C$5,3)*(O92/SQRT(COUNT(K92:M92))),"")</f>
        <v>4.05690730592762</v>
      </c>
      <c r="Q92" s="66" t="n">
        <f aca="false">IF(NOT(P92=""),J92-P92,"")</f>
        <v>19.9430926940724</v>
      </c>
      <c r="R92" s="66" t="n">
        <f aca="false">IF(NOT(P92=""),J92+P92,"")</f>
        <v>28.0569073059276</v>
      </c>
      <c r="S92" s="0" t="n">
        <v>39</v>
      </c>
      <c r="T92" s="0" t="n">
        <f aca="false">IF(S92="", "", IF(C92="","", S92-C92))</f>
        <v>8</v>
      </c>
      <c r="U92" s="0" t="n">
        <f aca="false">IF($S92="", "", IF(D92="","", $S92-D92))</f>
        <v>10</v>
      </c>
      <c r="V92" s="0" t="n">
        <f aca="false">IF($S92="", "", IF(E92="","", $S92-E92))</f>
        <v>12</v>
      </c>
      <c r="W92" s="66" t="n">
        <f aca="false">IF(SUM($C92:$E92)&gt;0,IF(NOT(S92=""),AVERAGE(T92:V92),""),"")</f>
        <v>10</v>
      </c>
      <c r="X92" s="66" t="n">
        <f aca="false">IF(NOT(T92=""),(T92-$W92)^2,"")</f>
        <v>4</v>
      </c>
      <c r="Y92" s="66" t="n">
        <f aca="false">IF(NOT(U92=""),(U92-$W92)^2,"")</f>
        <v>0</v>
      </c>
      <c r="Z92" s="66" t="n">
        <f aca="false">IF(NOT(V92=""),(V92-$W92)^2,"")</f>
        <v>4</v>
      </c>
      <c r="AA92" s="0" t="n">
        <f aca="false">IF(COUNT(X92:Z92)&gt;0,SUM(X92:Z92)/COUNT(X92:Z92),"")</f>
        <v>2.66666666666667</v>
      </c>
      <c r="AB92" s="0" t="n">
        <f aca="false">IF(NOT(AA92=""),SQRT(AA92),"")</f>
        <v>1.63299316185545</v>
      </c>
      <c r="AD92" s="66" t="n">
        <f aca="false">IF(NOT(W92=""),W92-AG92,"")</f>
        <v>6</v>
      </c>
      <c r="AE92" s="66" t="n">
        <f aca="false">IF(NOT(W92=""),W92+AG92,"")</f>
        <v>14</v>
      </c>
      <c r="AF92" s="63" t="n">
        <v>1.63299316185545</v>
      </c>
      <c r="AG92" s="63" t="n">
        <v>4</v>
      </c>
      <c r="AH92" s="63"/>
    </row>
    <row r="93" customFormat="false" ht="12.8" hidden="false" customHeight="false" outlineLevel="0" collapsed="false">
      <c r="A93" s="56" t="s">
        <v>42</v>
      </c>
      <c r="B93" s="57" t="n">
        <v>5</v>
      </c>
      <c r="C93" s="56"/>
      <c r="D93" s="25"/>
      <c r="E93" s="77"/>
      <c r="F93" s="0" t="n">
        <v>783</v>
      </c>
      <c r="G93" s="0" t="str">
        <f aca="false">IF(F93="", "", IF(C93="","", F93-C93))</f>
        <v/>
      </c>
      <c r="H93" s="0" t="str">
        <f aca="false">IF(F93="", "", IF(D93="","", F93-D93))</f>
        <v/>
      </c>
      <c r="I93" s="0" t="str">
        <f aca="false">IF(F93="", "", IF(E93="","", F93-E93))</f>
        <v/>
      </c>
      <c r="J93" s="66" t="str">
        <f aca="false">IF(SUM(C93:E93)&gt;0,AVERAGE(G93:I93),"")</f>
        <v/>
      </c>
      <c r="K93" s="66" t="str">
        <f aca="false">IF(NOT(G93=""),(G93-$J93)^2,"")</f>
        <v/>
      </c>
      <c r="L93" s="66" t="str">
        <f aca="false">IF(NOT(H93=""),(H93-$J93)^2,"")</f>
        <v/>
      </c>
      <c r="M93" s="66" t="str">
        <f aca="false">IF(NOT(I93=""),(I93-$J93)^2,"")</f>
        <v/>
      </c>
      <c r="N93" s="66" t="str">
        <f aca="false">IF(COUNT(K93:M93)&gt;0,SUM(K93:M93)/COUNT(K93:M93),"")</f>
        <v/>
      </c>
      <c r="O93" s="66" t="str">
        <f aca="false">IF(NOT(N93=""),SQRT(N93),"")</f>
        <v/>
      </c>
      <c r="P93" s="66" t="str">
        <f aca="false">IF(COUNT(K93:M93)&gt;0,VLOOKUP(COUNT(K93:M93),'t values'!$A$3:$C$5,3)*(O93/SQRT(COUNT(K93:M93))),"")</f>
        <v/>
      </c>
      <c r="Q93" s="66" t="str">
        <f aca="false">IF(NOT(P93=""),J93-P93,"")</f>
        <v/>
      </c>
      <c r="R93" s="66" t="str">
        <f aca="false">IF(NOT(P93=""),J93+P93,"")</f>
        <v/>
      </c>
      <c r="S93" s="0" t="n">
        <v>1664</v>
      </c>
      <c r="T93" s="0" t="str">
        <f aca="false">IF(S93="", "", IF(C93="","", S93-C93))</f>
        <v/>
      </c>
      <c r="U93" s="0" t="str">
        <f aca="false">IF($S93="", "", IF(D93="","", $S93-D93))</f>
        <v/>
      </c>
      <c r="V93" s="0" t="str">
        <f aca="false">IF($S93="", "", IF(E93="","", $S93-E93))</f>
        <v/>
      </c>
      <c r="W93" s="66" t="str">
        <f aca="false">IF(SUM($C93:$E93)&gt;0,IF(NOT(S93=""),AVERAGE(T93:V93),""),"")</f>
        <v/>
      </c>
      <c r="X93" s="66" t="str">
        <f aca="false">IF(NOT(T93=""),(T93-$W93)^2,"")</f>
        <v/>
      </c>
      <c r="Y93" s="66" t="str">
        <f aca="false">IF(NOT(U93=""),(U93-$W93)^2,"")</f>
        <v/>
      </c>
      <c r="Z93" s="66" t="str">
        <f aca="false">IF(NOT(V93=""),(V93-$W93)^2,"")</f>
        <v/>
      </c>
      <c r="AA93" s="0" t="str">
        <f aca="false">IF(COUNT(X93:Z93)&gt;0,SUM(X93:Z93)/COUNT(X93:Z93),"")</f>
        <v/>
      </c>
      <c r="AB93" s="0" t="str">
        <f aca="false">IF(NOT(AA93=""),SQRT(AA93),"")</f>
        <v/>
      </c>
      <c r="AD93" s="66" t="str">
        <f aca="false">IF(NOT(W93=""),W93-AG93,"")</f>
        <v/>
      </c>
      <c r="AE93" s="66" t="str">
        <f aca="false">IF(NOT(W93=""),W93+AG93,"")</f>
        <v/>
      </c>
      <c r="AF93" s="63"/>
      <c r="AG93" s="63"/>
      <c r="AH93" s="63"/>
    </row>
    <row r="94" customFormat="false" ht="12.8" hidden="false" customHeight="false" outlineLevel="0" collapsed="false">
      <c r="A94" s="56" t="s">
        <v>42</v>
      </c>
      <c r="B94" s="57" t="n">
        <v>10</v>
      </c>
      <c r="C94" s="56" t="n">
        <v>488</v>
      </c>
      <c r="D94" s="25" t="n">
        <v>449</v>
      </c>
      <c r="E94" s="77" t="n">
        <v>730</v>
      </c>
      <c r="F94" s="0" t="n">
        <v>720</v>
      </c>
      <c r="G94" s="0" t="n">
        <f aca="false">IF(F94="", "", IF(C94="","", F94-C94))</f>
        <v>232</v>
      </c>
      <c r="H94" s="0" t="n">
        <f aca="false">IF(F94="", "", IF(D94="","", F94-D94))</f>
        <v>271</v>
      </c>
      <c r="I94" s="0" t="n">
        <f aca="false">IF(F94="", "", IF(E94="","", F94-E94))</f>
        <v>-10</v>
      </c>
      <c r="J94" s="66" t="n">
        <f aca="false">IF(SUM(C94:E94)&gt;0,AVERAGE(G94:I94),"")</f>
        <v>164.333333333333</v>
      </c>
      <c r="K94" s="66" t="n">
        <f aca="false">IF(NOT(G94=""),(G94-$J94)^2,"")</f>
        <v>4578.77777777778</v>
      </c>
      <c r="L94" s="66" t="n">
        <f aca="false">IF(NOT(H94=""),(H94-$J94)^2,"")</f>
        <v>11377.7777777778</v>
      </c>
      <c r="M94" s="66" t="n">
        <f aca="false">IF(NOT(I94=""),(I94-$J94)^2,"")</f>
        <v>30392.1111111111</v>
      </c>
      <c r="N94" s="66" t="n">
        <f aca="false">IF(COUNT(K94:M94)&gt;0,SUM(K94:M94)/COUNT(K94:M94),"")</f>
        <v>15449.5555555556</v>
      </c>
      <c r="O94" s="66" t="n">
        <f aca="false">IF(NOT(N94=""),SQRT(N94),"")</f>
        <v>124.296241115955</v>
      </c>
      <c r="P94" s="66" t="n">
        <f aca="false">IF(COUNT(K94:M94)&gt;0,VLOOKUP(COUNT(K94:M94),'t values'!$A$3:$C$5,3)*(O94/SQRT(COUNT(K94:M94))),"")</f>
        <v>308.79390095529</v>
      </c>
      <c r="Q94" s="66" t="n">
        <f aca="false">IF(NOT(P94=""),J94-P94,"")</f>
        <v>-144.460567621956</v>
      </c>
      <c r="R94" s="66" t="n">
        <f aca="false">IF(NOT(P94=""),J94+P94,"")</f>
        <v>473.127234288623</v>
      </c>
      <c r="T94" s="0" t="str">
        <f aca="false">IF(S94="", "", IF(C94="","", S94-C94))</f>
        <v/>
      </c>
      <c r="U94" s="0" t="str">
        <f aca="false">IF($S94="", "", IF(D94="","", $S94-D94))</f>
        <v/>
      </c>
      <c r="V94" s="0" t="str">
        <f aca="false">IF($S94="", "", IF(E94="","", $S94-E94))</f>
        <v/>
      </c>
      <c r="W94" s="66" t="str">
        <f aca="false">IF(SUM($C94:$E94)&gt;0,IF(NOT(S94=""),AVERAGE(T94:V94),""),"")</f>
        <v/>
      </c>
      <c r="X94" s="66" t="str">
        <f aca="false">IF(NOT(T94=""),(T94-$W94)^2,"")</f>
        <v/>
      </c>
      <c r="Y94" s="66" t="str">
        <f aca="false">IF(NOT(U94=""),(U94-$W94)^2,"")</f>
        <v/>
      </c>
      <c r="Z94" s="66" t="str">
        <f aca="false">IF(NOT(V94=""),(V94-$W94)^2,"")</f>
        <v/>
      </c>
      <c r="AA94" s="0" t="str">
        <f aca="false">IF(COUNT(X94:Z94)&gt;0,SUM(X94:Z94)/COUNT(X94:Z94),"")</f>
        <v/>
      </c>
      <c r="AB94" s="0" t="str">
        <f aca="false">IF(NOT(AA94=""),SQRT(AA94),"")</f>
        <v/>
      </c>
      <c r="AD94" s="66" t="str">
        <f aca="false">IF(NOT(W94=""),W94-AG94,"")</f>
        <v/>
      </c>
      <c r="AE94" s="66" t="str">
        <f aca="false">IF(NOT(W94=""),W94+AG94,"")</f>
        <v/>
      </c>
      <c r="AF94" s="63" t="n">
        <v>124.296241115955</v>
      </c>
      <c r="AG94" s="63" t="n">
        <v>309</v>
      </c>
      <c r="AH94" s="63"/>
    </row>
    <row r="95" customFormat="false" ht="12.8" hidden="false" customHeight="false" outlineLevel="0" collapsed="false">
      <c r="A95" s="56" t="s">
        <v>42</v>
      </c>
      <c r="B95" s="57" t="n">
        <v>15</v>
      </c>
      <c r="C95" s="56" t="n">
        <v>365</v>
      </c>
      <c r="D95" s="25" t="n">
        <v>403</v>
      </c>
      <c r="E95" s="77" t="n">
        <v>357</v>
      </c>
      <c r="F95" s="0" t="n">
        <v>641</v>
      </c>
      <c r="G95" s="0" t="n">
        <f aca="false">IF(F95="", "", IF(C95="","", F95-C95))</f>
        <v>276</v>
      </c>
      <c r="H95" s="0" t="n">
        <f aca="false">IF(F95="", "", IF(D95="","", F95-D95))</f>
        <v>238</v>
      </c>
      <c r="I95" s="0" t="n">
        <f aca="false">IF(F95="", "", IF(E95="","", F95-E95))</f>
        <v>284</v>
      </c>
      <c r="J95" s="66" t="n">
        <f aca="false">IF(SUM(C95:E95)&gt;0,AVERAGE(G95:I95),"")</f>
        <v>266</v>
      </c>
      <c r="K95" s="66" t="n">
        <f aca="false">IF(NOT(G95=""),(G95-$J95)^2,"")</f>
        <v>100</v>
      </c>
      <c r="L95" s="66" t="n">
        <f aca="false">IF(NOT(H95=""),(H95-$J95)^2,"")</f>
        <v>784</v>
      </c>
      <c r="M95" s="66" t="n">
        <f aca="false">IF(NOT(I95=""),(I95-$J95)^2,"")</f>
        <v>324</v>
      </c>
      <c r="N95" s="66" t="n">
        <f aca="false">IF(COUNT(K95:M95)&gt;0,SUM(K95:M95)/COUNT(K95:M95),"")</f>
        <v>402.666666666667</v>
      </c>
      <c r="O95" s="66" t="n">
        <f aca="false">IF(NOT(N95=""),SQRT(N95),"")</f>
        <v>20.0665559243899</v>
      </c>
      <c r="P95" s="66" t="n">
        <f aca="false">IF(COUNT(K95:M95)&gt;0,VLOOKUP(COUNT(K95:M95),'t values'!$A$3:$C$5,3)*(O95/SQRT(COUNT(K95:M95))),"")</f>
        <v>49.8521115924112</v>
      </c>
      <c r="Q95" s="66" t="n">
        <f aca="false">IF(NOT(P95=""),J95-P95,"")</f>
        <v>216.147888407589</v>
      </c>
      <c r="R95" s="66" t="n">
        <f aca="false">IF(NOT(P95=""),J95+P95,"")</f>
        <v>315.852111592411</v>
      </c>
      <c r="T95" s="0" t="str">
        <f aca="false">IF(S95="", "", IF(C95="","", S95-C95))</f>
        <v/>
      </c>
      <c r="U95" s="0" t="str">
        <f aca="false">IF($S95="", "", IF(D95="","", $S95-D95))</f>
        <v/>
      </c>
      <c r="V95" s="0" t="str">
        <f aca="false">IF($S95="", "", IF(E95="","", $S95-E95))</f>
        <v/>
      </c>
      <c r="W95" s="66" t="str">
        <f aca="false">IF(SUM($C95:$E95)&gt;0,IF(NOT(S95=""),AVERAGE(T95:V95),""),"")</f>
        <v/>
      </c>
      <c r="X95" s="66" t="str">
        <f aca="false">IF(NOT(T95=""),(T95-$W95)^2,"")</f>
        <v/>
      </c>
      <c r="Y95" s="66" t="str">
        <f aca="false">IF(NOT(U95=""),(U95-$W95)^2,"")</f>
        <v/>
      </c>
      <c r="Z95" s="66" t="str">
        <f aca="false">IF(NOT(V95=""),(V95-$W95)^2,"")</f>
        <v/>
      </c>
      <c r="AA95" s="0" t="str">
        <f aca="false">IF(COUNT(X95:Z95)&gt;0,SUM(X95:Z95)/COUNT(X95:Z95),"")</f>
        <v/>
      </c>
      <c r="AB95" s="0" t="str">
        <f aca="false">IF(NOT(AA95=""),SQRT(AA95),"")</f>
        <v/>
      </c>
      <c r="AD95" s="66" t="str">
        <f aca="false">IF(NOT(W95=""),W95-AG95,"")</f>
        <v/>
      </c>
      <c r="AE95" s="66" t="str">
        <f aca="false">IF(NOT(W95=""),W95+AG95,"")</f>
        <v/>
      </c>
      <c r="AF95" s="63" t="n">
        <v>20.0665559243899</v>
      </c>
      <c r="AG95" s="63" t="n">
        <v>50</v>
      </c>
      <c r="AH95" s="63"/>
    </row>
    <row r="96" customFormat="false" ht="12.8" hidden="false" customHeight="false" outlineLevel="0" collapsed="false">
      <c r="A96" s="56" t="s">
        <v>42</v>
      </c>
      <c r="B96" s="57" t="n">
        <v>20</v>
      </c>
      <c r="C96" s="56" t="n">
        <v>276</v>
      </c>
      <c r="D96" s="25" t="n">
        <v>272</v>
      </c>
      <c r="E96" s="77" t="n">
        <v>296</v>
      </c>
      <c r="F96" s="0" t="n">
        <v>702</v>
      </c>
      <c r="G96" s="0" t="n">
        <f aca="false">IF(F96="", "", IF(C96="","", F96-C96))</f>
        <v>426</v>
      </c>
      <c r="H96" s="0" t="n">
        <f aca="false">IF(F96="", "", IF(D96="","", F96-D96))</f>
        <v>430</v>
      </c>
      <c r="I96" s="0" t="n">
        <f aca="false">IF(F96="", "", IF(E96="","", F96-E96))</f>
        <v>406</v>
      </c>
      <c r="J96" s="66" t="n">
        <f aca="false">IF(SUM(C96:E96)&gt;0,AVERAGE(G96:I96),"")</f>
        <v>420.666666666667</v>
      </c>
      <c r="K96" s="66" t="n">
        <f aca="false">IF(NOT(G96=""),(G96-$J96)^2,"")</f>
        <v>28.4444444444442</v>
      </c>
      <c r="L96" s="66" t="n">
        <f aca="false">IF(NOT(H96=""),(H96-$J96)^2,"")</f>
        <v>87.1111111111108</v>
      </c>
      <c r="M96" s="66" t="n">
        <f aca="false">IF(NOT(I96=""),(I96-$J96)^2,"")</f>
        <v>215.111111111112</v>
      </c>
      <c r="N96" s="66" t="n">
        <f aca="false">IF(COUNT(K96:M96)&gt;0,SUM(K96:M96)/COUNT(K96:M96),"")</f>
        <v>110.222222222222</v>
      </c>
      <c r="O96" s="66" t="n">
        <f aca="false">IF(NOT(N96=""),SQRT(N96),"")</f>
        <v>10.4986771653491</v>
      </c>
      <c r="P96" s="66" t="n">
        <f aca="false">IF(COUNT(K96:M96)&gt;0,VLOOKUP(COUNT(K96:M96),'t values'!$A$3:$C$5,3)*(O96/SQRT(COUNT(K96:M96))),"")</f>
        <v>26.0822648187245</v>
      </c>
      <c r="Q96" s="66" t="n">
        <f aca="false">IF(NOT(P96=""),J96-P96,"")</f>
        <v>394.584401847942</v>
      </c>
      <c r="R96" s="66" t="n">
        <f aca="false">IF(NOT(P96=""),J96+P96,"")</f>
        <v>446.748931485391</v>
      </c>
      <c r="S96" s="0" t="n">
        <v>552</v>
      </c>
      <c r="T96" s="0" t="n">
        <f aca="false">IF(S96="", "", IF(C96="","", S96-C96))</f>
        <v>276</v>
      </c>
      <c r="U96" s="0" t="n">
        <f aca="false">IF($S96="", "", IF(D96="","", $S96-D96))</f>
        <v>280</v>
      </c>
      <c r="V96" s="0" t="n">
        <f aca="false">IF($S96="", "", IF(E96="","", $S96-E96))</f>
        <v>256</v>
      </c>
      <c r="W96" s="66" t="n">
        <f aca="false">IF(SUM($C96:$E96)&gt;0,IF(NOT(S96=""),AVERAGE(T96:V96),""),"")</f>
        <v>270.666666666667</v>
      </c>
      <c r="X96" s="66" t="n">
        <f aca="false">IF(NOT(T96=""),(T96-$W96)^2,"")</f>
        <v>28.4444444444442</v>
      </c>
      <c r="Y96" s="66" t="n">
        <f aca="false">IF(NOT(U96=""),(U96-$W96)^2,"")</f>
        <v>87.1111111111108</v>
      </c>
      <c r="Z96" s="66" t="n">
        <f aca="false">IF(NOT(V96=""),(V96-$W96)^2,"")</f>
        <v>215.111111111112</v>
      </c>
      <c r="AA96" s="0" t="n">
        <f aca="false">IF(COUNT(X96:Z96)&gt;0,SUM(X96:Z96)/COUNT(X96:Z96),"")</f>
        <v>110.222222222222</v>
      </c>
      <c r="AB96" s="0" t="n">
        <f aca="false">IF(NOT(AA96=""),SQRT(AA96),"")</f>
        <v>10.4986771653491</v>
      </c>
      <c r="AD96" s="66" t="n">
        <f aca="false">IF(NOT(W96=""),W96-AG96,"")</f>
        <v>244.666666666667</v>
      </c>
      <c r="AE96" s="66" t="n">
        <f aca="false">IF(NOT(W96=""),W96+AG96,"")</f>
        <v>296.666666666667</v>
      </c>
      <c r="AF96" s="63" t="n">
        <v>10.4986771653491</v>
      </c>
      <c r="AG96" s="63" t="n">
        <v>26</v>
      </c>
      <c r="AH96" s="63"/>
    </row>
    <row r="97" customFormat="false" ht="12.8" hidden="false" customHeight="false" outlineLevel="0" collapsed="false">
      <c r="A97" s="56" t="s">
        <v>42</v>
      </c>
      <c r="B97" s="57" t="n">
        <v>30</v>
      </c>
      <c r="C97" s="56" t="n">
        <v>247</v>
      </c>
      <c r="D97" s="25" t="n">
        <v>212</v>
      </c>
      <c r="E97" s="77" t="n">
        <v>233</v>
      </c>
      <c r="F97" s="0" t="n">
        <v>329</v>
      </c>
      <c r="G97" s="0" t="n">
        <f aca="false">IF(F97="", "", IF(C97="","", F97-C97))</f>
        <v>82</v>
      </c>
      <c r="H97" s="0" t="n">
        <f aca="false">IF(F97="", "", IF(D97="","", F97-D97))</f>
        <v>117</v>
      </c>
      <c r="I97" s="0" t="n">
        <f aca="false">IF(F97="", "", IF(E97="","", F97-E97))</f>
        <v>96</v>
      </c>
      <c r="J97" s="66" t="n">
        <f aca="false">IF(SUM(C97:E97)&gt;0,AVERAGE(G97:I97),"")</f>
        <v>98.3333333333333</v>
      </c>
      <c r="K97" s="66" t="n">
        <f aca="false">IF(NOT(G97=""),(G97-$J97)^2,"")</f>
        <v>266.777777777778</v>
      </c>
      <c r="L97" s="66" t="n">
        <f aca="false">IF(NOT(H97=""),(H97-$J97)^2,"")</f>
        <v>348.444444444445</v>
      </c>
      <c r="M97" s="66" t="n">
        <f aca="false">IF(NOT(I97=""),(I97-$J97)^2,"")</f>
        <v>5.44444444444442</v>
      </c>
      <c r="N97" s="66" t="n">
        <f aca="false">IF(COUNT(K97:M97)&gt;0,SUM(K97:M97)/COUNT(K97:M97),"")</f>
        <v>206.888888888889</v>
      </c>
      <c r="O97" s="66" t="n">
        <f aca="false">IF(NOT(N97=""),SQRT(N97),"")</f>
        <v>14.3836326735943</v>
      </c>
      <c r="P97" s="66" t="n">
        <f aca="false">IF(COUNT(K97:M97)&gt;0,VLOOKUP(COUNT(K97:M97),'t values'!$A$3:$C$5,3)*(O97/SQRT(COUNT(K97:M97))),"")</f>
        <v>35.7338082254928</v>
      </c>
      <c r="Q97" s="66" t="n">
        <f aca="false">IF(NOT(P97=""),J97-P97,"")</f>
        <v>62.5995251078405</v>
      </c>
      <c r="R97" s="66" t="n">
        <f aca="false">IF(NOT(P97=""),J97+P97,"")</f>
        <v>134.067141558826</v>
      </c>
      <c r="S97" s="0" t="n">
        <v>406</v>
      </c>
      <c r="T97" s="0" t="n">
        <f aca="false">IF(S97="", "", IF(C97="","", S97-C97))</f>
        <v>159</v>
      </c>
      <c r="U97" s="0" t="n">
        <f aca="false">IF($S97="", "", IF(D97="","", $S97-D97))</f>
        <v>194</v>
      </c>
      <c r="V97" s="0" t="n">
        <f aca="false">IF($S97="", "", IF(E97="","", $S97-E97))</f>
        <v>173</v>
      </c>
      <c r="W97" s="66" t="n">
        <f aca="false">IF(SUM($C97:$E97)&gt;0,IF(NOT(S97=""),AVERAGE(T97:V97),""),"")</f>
        <v>175.333333333333</v>
      </c>
      <c r="X97" s="66" t="n">
        <f aca="false">IF(NOT(T97=""),(T97-$W97)^2,"")</f>
        <v>266.777777777778</v>
      </c>
      <c r="Y97" s="66" t="n">
        <f aca="false">IF(NOT(U97=""),(U97-$W97)^2,"")</f>
        <v>348.444444444444</v>
      </c>
      <c r="Z97" s="66" t="n">
        <f aca="false">IF(NOT(V97=""),(V97-$W97)^2,"")</f>
        <v>5.44444444444449</v>
      </c>
      <c r="AA97" s="0" t="n">
        <f aca="false">IF(COUNT(X97:Z97)&gt;0,SUM(X97:Z97)/COUNT(X97:Z97),"")</f>
        <v>206.888888888889</v>
      </c>
      <c r="AB97" s="0" t="n">
        <f aca="false">IF(NOT(AA97=""),SQRT(AA97),"")</f>
        <v>14.3836326735943</v>
      </c>
      <c r="AD97" s="66" t="n">
        <f aca="false">IF(NOT(W97=""),W97-AG97,"")</f>
        <v>139.333333333333</v>
      </c>
      <c r="AE97" s="66" t="n">
        <f aca="false">IF(NOT(W97=""),W97+AG97,"")</f>
        <v>211.333333333333</v>
      </c>
      <c r="AF97" s="63" t="n">
        <v>14.3836326735943</v>
      </c>
      <c r="AG97" s="63" t="n">
        <v>36</v>
      </c>
      <c r="AH97" s="63"/>
    </row>
    <row r="98" customFormat="false" ht="12.8" hidden="false" customHeight="false" outlineLevel="0" collapsed="false">
      <c r="A98" s="56" t="s">
        <v>42</v>
      </c>
      <c r="B98" s="57" t="n">
        <v>40</v>
      </c>
      <c r="C98" s="56" t="n">
        <v>187</v>
      </c>
      <c r="D98" s="25" t="n">
        <v>190</v>
      </c>
      <c r="E98" s="77" t="n">
        <v>162</v>
      </c>
      <c r="F98" s="0" t="n">
        <v>319</v>
      </c>
      <c r="G98" s="0" t="n">
        <f aca="false">IF(F98="", "", IF(C98="","", F98-C98))</f>
        <v>132</v>
      </c>
      <c r="H98" s="0" t="n">
        <f aca="false">IF(F98="", "", IF(D98="","", F98-D98))</f>
        <v>129</v>
      </c>
      <c r="I98" s="0" t="n">
        <f aca="false">IF(F98="", "", IF(E98="","", F98-E98))</f>
        <v>157</v>
      </c>
      <c r="J98" s="66" t="n">
        <f aca="false">IF(SUM(C98:E98)&gt;0,AVERAGE(G98:I98),"")</f>
        <v>139.333333333333</v>
      </c>
      <c r="K98" s="66" t="n">
        <f aca="false">IF(NOT(G98=""),(G98-$J98)^2,"")</f>
        <v>53.7777777777779</v>
      </c>
      <c r="L98" s="66" t="n">
        <f aca="false">IF(NOT(H98=""),(H98-$J98)^2,"")</f>
        <v>106.777777777778</v>
      </c>
      <c r="M98" s="66" t="n">
        <f aca="false">IF(NOT(I98=""),(I98-$J98)^2,"")</f>
        <v>312.111111111111</v>
      </c>
      <c r="N98" s="66" t="n">
        <f aca="false">IF(COUNT(K98:M98)&gt;0,SUM(K98:M98)/COUNT(K98:M98),"")</f>
        <v>157.555555555556</v>
      </c>
      <c r="O98" s="66" t="n">
        <f aca="false">IF(NOT(N98=""),SQRT(N98),"")</f>
        <v>12.5521135891752</v>
      </c>
      <c r="P98" s="66" t="n">
        <f aca="false">IF(COUNT(K98:M98)&gt;0,VLOOKUP(COUNT(K98:M98),'t values'!$A$3:$C$5,3)*(O98/SQRT(COUNT(K98:M98))),"")</f>
        <v>31.1836953847977</v>
      </c>
      <c r="Q98" s="66" t="n">
        <f aca="false">IF(NOT(P98=""),J98-P98,"")</f>
        <v>108.149637948536</v>
      </c>
      <c r="R98" s="66" t="n">
        <f aca="false">IF(NOT(P98=""),J98+P98,"")</f>
        <v>170.517028718131</v>
      </c>
      <c r="S98" s="0" t="n">
        <v>362</v>
      </c>
      <c r="T98" s="0" t="n">
        <f aca="false">IF(S98="", "", IF(C98="","", S98-C98))</f>
        <v>175</v>
      </c>
      <c r="U98" s="0" t="n">
        <f aca="false">IF($S98="", "", IF(D98="","", $S98-D98))</f>
        <v>172</v>
      </c>
      <c r="V98" s="0" t="n">
        <f aca="false">IF($S98="", "", IF(E98="","", $S98-E98))</f>
        <v>200</v>
      </c>
      <c r="W98" s="66" t="n">
        <f aca="false">IF(SUM($C98:$E98)&gt;0,IF(NOT(S98=""),AVERAGE(T98:V98),""),"")</f>
        <v>182.333333333333</v>
      </c>
      <c r="X98" s="66" t="n">
        <f aca="false">IF(NOT(T98=""),(T98-$W98)^2,"")</f>
        <v>53.7777777777779</v>
      </c>
      <c r="Y98" s="66" t="n">
        <f aca="false">IF(NOT(U98=""),(U98-$W98)^2,"")</f>
        <v>106.777777777778</v>
      </c>
      <c r="Z98" s="66" t="n">
        <f aca="false">IF(NOT(V98=""),(V98-$W98)^2,"")</f>
        <v>312.111111111111</v>
      </c>
      <c r="AA98" s="0" t="n">
        <f aca="false">IF(COUNT(X98:Z98)&gt;0,SUM(X98:Z98)/COUNT(X98:Z98),"")</f>
        <v>157.555555555556</v>
      </c>
      <c r="AB98" s="0" t="n">
        <f aca="false">IF(NOT(AA98=""),SQRT(AA98),"")</f>
        <v>12.5521135891752</v>
      </c>
      <c r="AD98" s="66" t="n">
        <f aca="false">IF(NOT(W98=""),W98-AG98,"")</f>
        <v>151.333333333333</v>
      </c>
      <c r="AE98" s="66" t="n">
        <f aca="false">IF(NOT(W98=""),W98+AG98,"")</f>
        <v>213.333333333333</v>
      </c>
      <c r="AF98" s="63" t="n">
        <v>12.5521135891752</v>
      </c>
      <c r="AG98" s="63" t="n">
        <v>31</v>
      </c>
      <c r="AH98" s="63"/>
    </row>
    <row r="99" customFormat="false" ht="12.8" hidden="false" customHeight="false" outlineLevel="0" collapsed="false">
      <c r="A99" s="56" t="s">
        <v>42</v>
      </c>
      <c r="B99" s="57" t="n">
        <v>50</v>
      </c>
      <c r="C99" s="56" t="n">
        <v>179</v>
      </c>
      <c r="D99" s="25" t="n">
        <v>156</v>
      </c>
      <c r="E99" s="77" t="n">
        <v>168</v>
      </c>
      <c r="F99" s="0" t="n">
        <v>239</v>
      </c>
      <c r="G99" s="0" t="n">
        <f aca="false">IF(F99="", "", IF(C99="","", F99-C99))</f>
        <v>60</v>
      </c>
      <c r="H99" s="0" t="n">
        <f aca="false">IF(F99="", "", IF(D99="","", F99-D99))</f>
        <v>83</v>
      </c>
      <c r="I99" s="0" t="n">
        <f aca="false">IF(F99="", "", IF(E99="","", F99-E99))</f>
        <v>71</v>
      </c>
      <c r="J99" s="66" t="n">
        <f aca="false">IF(SUM(C99:E99)&gt;0,AVERAGE(G99:I99),"")</f>
        <v>71.3333333333333</v>
      </c>
      <c r="K99" s="66" t="n">
        <f aca="false">IF(NOT(G99=""),(G99-$J99)^2,"")</f>
        <v>128.444444444444</v>
      </c>
      <c r="L99" s="66" t="n">
        <f aca="false">IF(NOT(H99=""),(H99-$J99)^2,"")</f>
        <v>136.111111111111</v>
      </c>
      <c r="M99" s="66" t="n">
        <f aca="false">IF(NOT(I99=""),(I99-$J99)^2,"")</f>
        <v>0.111111111111108</v>
      </c>
      <c r="N99" s="66" t="n">
        <f aca="false">IF(COUNT(K99:M99)&gt;0,SUM(K99:M99)/COUNT(K99:M99),"")</f>
        <v>88.2222222222222</v>
      </c>
      <c r="O99" s="66" t="n">
        <f aca="false">IF(NOT(N99=""),SQRT(N99),"")</f>
        <v>9.39266853573691</v>
      </c>
      <c r="P99" s="66" t="n">
        <f aca="false">IF(COUNT(K99:M99)&gt;0,VLOOKUP(COUNT(K99:M99),'t values'!$A$3:$C$5,3)*(O99/SQRT(COUNT(K99:M99))),"")</f>
        <v>23.3345653214441</v>
      </c>
      <c r="Q99" s="66" t="n">
        <f aca="false">IF(NOT(P99=""),J99-P99,"")</f>
        <v>47.9987680118893</v>
      </c>
      <c r="R99" s="66" t="n">
        <f aca="false">IF(NOT(P99=""),J99+P99,"")</f>
        <v>94.6678986547774</v>
      </c>
      <c r="S99" s="0" t="n">
        <v>396</v>
      </c>
      <c r="T99" s="0" t="n">
        <f aca="false">IF(S99="", "", IF(C99="","", S99-C99))</f>
        <v>217</v>
      </c>
      <c r="U99" s="0" t="n">
        <f aca="false">IF($S99="", "", IF(D99="","", $S99-D99))</f>
        <v>240</v>
      </c>
      <c r="V99" s="0" t="n">
        <f aca="false">IF($S99="", "", IF(E99="","", $S99-E99))</f>
        <v>228</v>
      </c>
      <c r="W99" s="66" t="n">
        <f aca="false">IF(SUM($C99:$E99)&gt;0,IF(NOT(S99=""),AVERAGE(T99:V99),""),"")</f>
        <v>228.333333333333</v>
      </c>
      <c r="X99" s="66" t="n">
        <f aca="false">IF(NOT(T99=""),(T99-$W99)^2,"")</f>
        <v>128.444444444445</v>
      </c>
      <c r="Y99" s="66" t="n">
        <f aca="false">IF(NOT(U99=""),(U99-$W99)^2,"")</f>
        <v>136.111111111111</v>
      </c>
      <c r="Z99" s="66" t="n">
        <f aca="false">IF(NOT(V99=""),(V99-$W99)^2,"")</f>
        <v>0.111111111111117</v>
      </c>
      <c r="AA99" s="0" t="n">
        <f aca="false">IF(COUNT(X99:Z99)&gt;0,SUM(X99:Z99)/COUNT(X99:Z99),"")</f>
        <v>88.2222222222224</v>
      </c>
      <c r="AB99" s="0" t="n">
        <f aca="false">IF(NOT(AA99=""),SQRT(AA99),"")</f>
        <v>9.39266853573692</v>
      </c>
      <c r="AD99" s="66" t="n">
        <f aca="false">IF(NOT(W99=""),W99-AG99,"")</f>
        <v>205.333333333333</v>
      </c>
      <c r="AE99" s="66" t="n">
        <f aca="false">IF(NOT(W99=""),W99+AG99,"")</f>
        <v>251.333333333333</v>
      </c>
      <c r="AF99" s="63" t="n">
        <v>9.39266853573692</v>
      </c>
      <c r="AG99" s="63" t="n">
        <v>23</v>
      </c>
      <c r="AH99" s="63"/>
    </row>
    <row r="100" customFormat="false" ht="12.8" hidden="false" customHeight="false" outlineLevel="0" collapsed="false">
      <c r="A100" s="56" t="s">
        <v>42</v>
      </c>
      <c r="B100" s="57" t="n">
        <v>64</v>
      </c>
      <c r="C100" s="56" t="n">
        <v>140</v>
      </c>
      <c r="D100" s="25" t="n">
        <v>147</v>
      </c>
      <c r="E100" s="77" t="n">
        <v>139</v>
      </c>
      <c r="F100" s="0" t="n">
        <v>239</v>
      </c>
      <c r="G100" s="0" t="n">
        <f aca="false">IF(F100="", "", IF(C100="","", F100-C100))</f>
        <v>99</v>
      </c>
      <c r="H100" s="0" t="n">
        <f aca="false">IF(F100="", "", IF(D100="","", F100-D100))</f>
        <v>92</v>
      </c>
      <c r="I100" s="0" t="n">
        <f aca="false">IF(F100="", "", IF(E100="","", F100-E100))</f>
        <v>100</v>
      </c>
      <c r="J100" s="66" t="n">
        <f aca="false">IF(SUM(C100:E100)&gt;0,AVERAGE(G100:I100),"")</f>
        <v>97</v>
      </c>
      <c r="K100" s="66" t="n">
        <f aca="false">IF(NOT(G100=""),(G100-$J100)^2,"")</f>
        <v>4</v>
      </c>
      <c r="L100" s="66" t="n">
        <f aca="false">IF(NOT(H100=""),(H100-$J100)^2,"")</f>
        <v>25</v>
      </c>
      <c r="M100" s="66" t="n">
        <f aca="false">IF(NOT(I100=""),(I100-$J100)^2,"")</f>
        <v>9</v>
      </c>
      <c r="N100" s="66" t="n">
        <f aca="false">IF(COUNT(K100:M100)&gt;0,SUM(K100:M100)/COUNT(K100:M100),"")</f>
        <v>12.6666666666667</v>
      </c>
      <c r="O100" s="66" t="n">
        <f aca="false">IF(NOT(N100=""),SQRT(N100),"")</f>
        <v>3.55902608401044</v>
      </c>
      <c r="P100" s="66" t="n">
        <f aca="false">IF(COUNT(K100:M100)&gt;0,VLOOKUP(COUNT(K100:M100),'t values'!$A$3:$C$5,3)*(O100/SQRT(COUNT(K100:M100))),"")</f>
        <v>8.84182448492517</v>
      </c>
      <c r="Q100" s="66" t="n">
        <f aca="false">IF(NOT(P100=""),J100-P100,"")</f>
        <v>88.1581755150748</v>
      </c>
      <c r="R100" s="66" t="n">
        <f aca="false">IF(NOT(P100=""),J100+P100,"")</f>
        <v>105.841824484925</v>
      </c>
      <c r="S100" s="0" t="n">
        <v>234</v>
      </c>
      <c r="T100" s="0" t="n">
        <f aca="false">IF(S100="", "", IF(C100="","", S100-C100))</f>
        <v>94</v>
      </c>
      <c r="U100" s="0" t="n">
        <f aca="false">IF($S100="", "", IF(D100="","", $S100-D100))</f>
        <v>87</v>
      </c>
      <c r="V100" s="0" t="n">
        <f aca="false">IF($S100="", "", IF(E100="","", $S100-E100))</f>
        <v>95</v>
      </c>
      <c r="W100" s="66" t="n">
        <f aca="false">IF(SUM($C100:$E100)&gt;0,IF(NOT(S100=""),AVERAGE(T100:V100),""),"")</f>
        <v>92</v>
      </c>
      <c r="X100" s="66" t="n">
        <f aca="false">IF(NOT(T100=""),(T100-$W100)^2,"")</f>
        <v>4</v>
      </c>
      <c r="Y100" s="66" t="n">
        <f aca="false">IF(NOT(U100=""),(U100-$W100)^2,"")</f>
        <v>25</v>
      </c>
      <c r="Z100" s="66" t="n">
        <f aca="false">IF(NOT(V100=""),(V100-$W100)^2,"")</f>
        <v>9</v>
      </c>
      <c r="AA100" s="0" t="n">
        <f aca="false">IF(COUNT(X100:Z100)&gt;0,SUM(X100:Z100)/COUNT(X100:Z100),"")</f>
        <v>12.6666666666667</v>
      </c>
      <c r="AB100" s="0" t="n">
        <f aca="false">IF(NOT(AA100=""),SQRT(AA100),"")</f>
        <v>3.55902608401044</v>
      </c>
      <c r="AD100" s="66" t="n">
        <f aca="false">IF(NOT(W100=""),W100-AG100,"")</f>
        <v>83</v>
      </c>
      <c r="AE100" s="66" t="n">
        <f aca="false">IF(NOT(W100=""),W100+AG100,"")</f>
        <v>101</v>
      </c>
      <c r="AF100" s="63" t="n">
        <v>3.55902608401044</v>
      </c>
      <c r="AG100" s="63" t="n">
        <v>9</v>
      </c>
      <c r="AH100" s="63"/>
    </row>
    <row r="101" customFormat="false" ht="12.8" hidden="false" customHeight="false" outlineLevel="0" collapsed="false">
      <c r="A101" s="56" t="s">
        <v>42</v>
      </c>
      <c r="B101" s="57" t="n">
        <v>82</v>
      </c>
      <c r="C101" s="56" t="n">
        <v>131</v>
      </c>
      <c r="D101" s="25" t="n">
        <v>131</v>
      </c>
      <c r="E101" s="77" t="n">
        <v>153</v>
      </c>
      <c r="F101" s="0" t="n">
        <v>222</v>
      </c>
      <c r="G101" s="0" t="n">
        <f aca="false">IF(F101="", "", IF(C101="","", F101-C101))</f>
        <v>91</v>
      </c>
      <c r="H101" s="0" t="n">
        <f aca="false">IF(F101="", "", IF(D101="","", F101-D101))</f>
        <v>91</v>
      </c>
      <c r="I101" s="0" t="n">
        <f aca="false">IF(F101="", "", IF(E101="","", F101-E101))</f>
        <v>69</v>
      </c>
      <c r="J101" s="66" t="n">
        <f aca="false">IF(SUM(C101:E101)&gt;0,AVERAGE(G101:I101),"")</f>
        <v>83.6666666666667</v>
      </c>
      <c r="K101" s="66" t="n">
        <f aca="false">IF(NOT(G101=""),(G101-$J101)^2,"")</f>
        <v>53.7777777777777</v>
      </c>
      <c r="L101" s="66" t="n">
        <f aca="false">IF(NOT(H101=""),(H101-$J101)^2,"")</f>
        <v>53.7777777777777</v>
      </c>
      <c r="M101" s="66" t="n">
        <f aca="false">IF(NOT(I101=""),(I101-$J101)^2,"")</f>
        <v>215.111111111111</v>
      </c>
      <c r="N101" s="66" t="n">
        <f aca="false">IF(COUNT(K101:M101)&gt;0,SUM(K101:M101)/COUNT(K101:M101),"")</f>
        <v>107.555555555556</v>
      </c>
      <c r="O101" s="66" t="n">
        <f aca="false">IF(NOT(N101=""),SQRT(N101),"")</f>
        <v>10.3708994574027</v>
      </c>
      <c r="P101" s="66" t="n">
        <f aca="false">IF(COUNT(K101:M101)&gt;0,VLOOKUP(COUNT(K101:M101),'t values'!$A$3:$C$5,3)*(O101/SQRT(COUNT(K101:M101))),"")</f>
        <v>25.7648217767014</v>
      </c>
      <c r="Q101" s="66" t="n">
        <f aca="false">IF(NOT(P101=""),J101-P101,"")</f>
        <v>57.9018448899653</v>
      </c>
      <c r="R101" s="66" t="n">
        <f aca="false">IF(NOT(P101=""),J101+P101,"")</f>
        <v>109.431488443368</v>
      </c>
      <c r="S101" s="0" t="n">
        <v>229</v>
      </c>
      <c r="T101" s="0" t="n">
        <f aca="false">IF(S101="", "", IF(C101="","", S101-C101))</f>
        <v>98</v>
      </c>
      <c r="U101" s="0" t="n">
        <f aca="false">IF($S101="", "", IF(D101="","", $S101-D101))</f>
        <v>98</v>
      </c>
      <c r="V101" s="0" t="n">
        <f aca="false">IF($S101="", "", IF(E101="","", $S101-E101))</f>
        <v>76</v>
      </c>
      <c r="W101" s="66" t="n">
        <f aca="false">IF(SUM($C101:$E101)&gt;0,IF(NOT(S101=""),AVERAGE(T101:V101),""),"")</f>
        <v>90.6666666666667</v>
      </c>
      <c r="X101" s="66" t="n">
        <f aca="false">IF(NOT(T101=""),(T101-$W101)^2,"")</f>
        <v>53.7777777777777</v>
      </c>
      <c r="Y101" s="66" t="n">
        <f aca="false">IF(NOT(U101=""),(U101-$W101)^2,"")</f>
        <v>53.7777777777777</v>
      </c>
      <c r="Z101" s="66" t="n">
        <f aca="false">IF(NOT(V101=""),(V101-$W101)^2,"")</f>
        <v>215.111111111111</v>
      </c>
      <c r="AA101" s="0" t="n">
        <f aca="false">IF(COUNT(X101:Z101)&gt;0,SUM(X101:Z101)/COUNT(X101:Z101),"")</f>
        <v>107.555555555555</v>
      </c>
      <c r="AB101" s="0" t="n">
        <f aca="false">IF(NOT(AA101=""),SQRT(AA101),"")</f>
        <v>10.3708994574027</v>
      </c>
      <c r="AD101" s="66" t="n">
        <f aca="false">IF(NOT(W101=""),W101-AG101,"")</f>
        <v>64.6666666666667</v>
      </c>
      <c r="AE101" s="66" t="n">
        <f aca="false">IF(NOT(W101=""),W101+AG101,"")</f>
        <v>116.666666666667</v>
      </c>
      <c r="AF101" s="63" t="n">
        <v>10.3708994574027</v>
      </c>
      <c r="AG101" s="63" t="n">
        <v>26</v>
      </c>
      <c r="AH101" s="63"/>
    </row>
    <row r="102" customFormat="false" ht="12.8" hidden="false" customHeight="false" outlineLevel="0" collapsed="false">
      <c r="A102" s="56" t="s">
        <v>42</v>
      </c>
      <c r="B102" s="57" t="n">
        <v>100</v>
      </c>
      <c r="C102" s="56" t="n">
        <v>100</v>
      </c>
      <c r="D102" s="25" t="n">
        <v>85</v>
      </c>
      <c r="E102" s="77" t="n">
        <v>108</v>
      </c>
      <c r="F102" s="0" t="n">
        <v>440</v>
      </c>
      <c r="G102" s="0" t="n">
        <f aca="false">IF(F102="", "", IF(C102="","", F102-C102))</f>
        <v>340</v>
      </c>
      <c r="H102" s="0" t="n">
        <f aca="false">IF(F102="", "", IF(D102="","", F102-D102))</f>
        <v>355</v>
      </c>
      <c r="I102" s="0" t="n">
        <f aca="false">IF(F102="", "", IF(E102="","", F102-E102))</f>
        <v>332</v>
      </c>
      <c r="J102" s="66" t="n">
        <f aca="false">IF(SUM(C102:E102)&gt;0,AVERAGE(G102:I102),"")</f>
        <v>342.333333333333</v>
      </c>
      <c r="K102" s="66" t="n">
        <f aca="false">IF(NOT(G102=""),(G102-$J102)^2,"")</f>
        <v>5.44444444444436</v>
      </c>
      <c r="L102" s="66" t="n">
        <f aca="false">IF(NOT(H102=""),(H102-$J102)^2,"")</f>
        <v>160.444444444445</v>
      </c>
      <c r="M102" s="66" t="n">
        <f aca="false">IF(NOT(I102=""),(I102-$J102)^2,"")</f>
        <v>106.777777777777</v>
      </c>
      <c r="N102" s="66" t="n">
        <f aca="false">IF(COUNT(K102:M102)&gt;0,SUM(K102:M102)/COUNT(K102:M102),"")</f>
        <v>90.8888888888889</v>
      </c>
      <c r="O102" s="66" t="n">
        <f aca="false">IF(NOT(N102=""),SQRT(N102),"")</f>
        <v>9.53356643071673</v>
      </c>
      <c r="P102" s="66" t="n">
        <f aca="false">IF(COUNT(K102:M102)&gt;0,VLOOKUP(COUNT(K102:M102),'t values'!$A$3:$C$5,3)*(O102/SQRT(COUNT(K102:M102))),"")</f>
        <v>23.6846033454147</v>
      </c>
      <c r="Q102" s="66" t="n">
        <f aca="false">IF(NOT(P102=""),J102-P102,"")</f>
        <v>318.648729987919</v>
      </c>
      <c r="R102" s="66" t="n">
        <f aca="false">IF(NOT(P102=""),J102+P102,"")</f>
        <v>366.017936678748</v>
      </c>
      <c r="S102" s="0" t="n">
        <v>192</v>
      </c>
      <c r="T102" s="0" t="n">
        <f aca="false">IF(S102="", "", IF(C102="","", S102-C102))</f>
        <v>92</v>
      </c>
      <c r="U102" s="0" t="n">
        <f aca="false">IF($S102="", "", IF(D102="","", $S102-D102))</f>
        <v>107</v>
      </c>
      <c r="V102" s="0" t="n">
        <f aca="false">IF($S102="", "", IF(E102="","", $S102-E102))</f>
        <v>84</v>
      </c>
      <c r="W102" s="66" t="n">
        <f aca="false">IF(SUM($C102:$E102)&gt;0,IF(NOT(S102=""),AVERAGE(T102:V102),""),"")</f>
        <v>94.3333333333333</v>
      </c>
      <c r="X102" s="66" t="n">
        <f aca="false">IF(NOT(T102=""),(T102-$W102)^2,"")</f>
        <v>5.44444444444442</v>
      </c>
      <c r="Y102" s="66" t="n">
        <f aca="false">IF(NOT(U102=""),(U102-$W102)^2,"")</f>
        <v>160.444444444445</v>
      </c>
      <c r="Z102" s="66" t="n">
        <f aca="false">IF(NOT(V102=""),(V102-$W102)^2,"")</f>
        <v>106.777777777778</v>
      </c>
      <c r="AA102" s="0" t="n">
        <f aca="false">IF(COUNT(X102:Z102)&gt;0,SUM(X102:Z102)/COUNT(X102:Z102),"")</f>
        <v>90.8888888888891</v>
      </c>
      <c r="AB102" s="0" t="n">
        <f aca="false">IF(NOT(AA102=""),SQRT(AA102),"")</f>
        <v>9.53356643071674</v>
      </c>
      <c r="AD102" s="66" t="n">
        <f aca="false">IF(NOT(W102=""),W102-AG102,"")</f>
        <v>70.3333333333333</v>
      </c>
      <c r="AE102" s="66" t="n">
        <f aca="false">IF(NOT(W102=""),W102+AG102,"")</f>
        <v>118.333333333333</v>
      </c>
      <c r="AF102" s="63" t="n">
        <v>9.53356643071673</v>
      </c>
      <c r="AG102" s="63" t="n">
        <v>24</v>
      </c>
      <c r="AH102" s="63"/>
    </row>
    <row r="103" customFormat="false" ht="12.8" hidden="false" customHeight="false" outlineLevel="0" collapsed="false">
      <c r="A103" s="56" t="s">
        <v>43</v>
      </c>
      <c r="B103" s="57" t="n">
        <v>5</v>
      </c>
      <c r="C103" s="56"/>
      <c r="D103" s="25"/>
      <c r="E103" s="77"/>
      <c r="F103" s="0" t="n">
        <v>2823</v>
      </c>
      <c r="G103" s="0" t="str">
        <f aca="false">IF(F103="", "", IF(C103="","", F103-C103))</f>
        <v/>
      </c>
      <c r="H103" s="0" t="str">
        <f aca="false">IF(F103="", "", IF(D103="","", F103-D103))</f>
        <v/>
      </c>
      <c r="I103" s="0" t="str">
        <f aca="false">IF(F103="", "", IF(E103="","", F103-E103))</f>
        <v/>
      </c>
      <c r="J103" s="66" t="str">
        <f aca="false">IF(SUM(C103:E103)&gt;0,AVERAGE(G103:I103),"")</f>
        <v/>
      </c>
      <c r="K103" s="66" t="str">
        <f aca="false">IF(NOT(G103=""),(G103-$J103)^2,"")</f>
        <v/>
      </c>
      <c r="L103" s="66" t="str">
        <f aca="false">IF(NOT(H103=""),(H103-$J103)^2,"")</f>
        <v/>
      </c>
      <c r="M103" s="66" t="str">
        <f aca="false">IF(NOT(I103=""),(I103-$J103)^2,"")</f>
        <v/>
      </c>
      <c r="N103" s="66" t="str">
        <f aca="false">IF(COUNT(K103:M103)&gt;0,SUM(K103:M103)/COUNT(K103:M103),"")</f>
        <v/>
      </c>
      <c r="O103" s="66" t="str">
        <f aca="false">IF(NOT(N103=""),SQRT(N103),"")</f>
        <v/>
      </c>
      <c r="P103" s="66" t="str">
        <f aca="false">IF(COUNT(K103:M103)&gt;0,VLOOKUP(COUNT(K103:M103),'t values'!$A$3:$C$5,3)*(O103/SQRT(COUNT(K103:M103))),"")</f>
        <v/>
      </c>
      <c r="Q103" s="66" t="str">
        <f aca="false">IF(NOT(P103=""),J103-P103,"")</f>
        <v/>
      </c>
      <c r="R103" s="66" t="str">
        <f aca="false">IF(NOT(P103=""),J103+P103,"")</f>
        <v/>
      </c>
      <c r="S103" s="0" t="n">
        <v>3664</v>
      </c>
      <c r="T103" s="0" t="str">
        <f aca="false">IF(S103="", "", IF(C103="","", S103-C103))</f>
        <v/>
      </c>
      <c r="U103" s="0" t="str">
        <f aca="false">IF($S103="", "", IF(D103="","", $S103-D103))</f>
        <v/>
      </c>
      <c r="V103" s="0" t="str">
        <f aca="false">IF($S103="", "", IF(E103="","", $S103-E103))</f>
        <v/>
      </c>
      <c r="W103" s="66" t="str">
        <f aca="false">IF(SUM($C103:$E103)&gt;0,IF(NOT(S103=""),AVERAGE(T103:V103),""),"")</f>
        <v/>
      </c>
      <c r="X103" s="66" t="str">
        <f aca="false">IF(NOT(T103=""),(T103-$W103)^2,"")</f>
        <v/>
      </c>
      <c r="Y103" s="66" t="str">
        <f aca="false">IF(NOT(U103=""),(U103-$W103)^2,"")</f>
        <v/>
      </c>
      <c r="Z103" s="66" t="str">
        <f aca="false">IF(NOT(V103=""),(V103-$W103)^2,"")</f>
        <v/>
      </c>
      <c r="AA103" s="0" t="str">
        <f aca="false">IF(COUNT(X103:Z103)&gt;0,SUM(X103:Z103)/COUNT(X103:Z103),"")</f>
        <v/>
      </c>
      <c r="AB103" s="0" t="str">
        <f aca="false">IF(NOT(AA103=""),SQRT(AA103),"")</f>
        <v/>
      </c>
      <c r="AD103" s="66" t="str">
        <f aca="false">IF(NOT(W103=""),W103-AG103,"")</f>
        <v/>
      </c>
      <c r="AE103" s="66" t="str">
        <f aca="false">IF(NOT(W103=""),W103+AG103,"")</f>
        <v/>
      </c>
      <c r="AF103" s="63"/>
      <c r="AG103" s="63"/>
      <c r="AH103" s="63"/>
    </row>
    <row r="104" customFormat="false" ht="12.8" hidden="false" customHeight="false" outlineLevel="0" collapsed="false">
      <c r="A104" s="56" t="s">
        <v>43</v>
      </c>
      <c r="B104" s="57" t="n">
        <v>10</v>
      </c>
      <c r="C104" s="56"/>
      <c r="D104" s="25"/>
      <c r="E104" s="77" t="n">
        <v>2035</v>
      </c>
      <c r="F104" s="0" t="n">
        <v>2664</v>
      </c>
      <c r="G104" s="0" t="str">
        <f aca="false">IF(F104="", "", IF(C104="","", F104-C104))</f>
        <v/>
      </c>
      <c r="H104" s="0" t="str">
        <f aca="false">IF(F104="", "", IF(D104="","", F104-D104))</f>
        <v/>
      </c>
      <c r="I104" s="0" t="n">
        <f aca="false">IF(F104="", "", IF(E104="","", F104-E104))</f>
        <v>629</v>
      </c>
      <c r="J104" s="66" t="n">
        <f aca="false">IF(SUM(C104:E104)&gt;0,AVERAGE(G104:I104),"")</f>
        <v>629</v>
      </c>
      <c r="K104" s="66" t="str">
        <f aca="false">IF(NOT(G104=""),(G104-$J104)^2,"")</f>
        <v/>
      </c>
      <c r="L104" s="66" t="str">
        <f aca="false">IF(NOT(H104=""),(H104-$J104)^2,"")</f>
        <v/>
      </c>
      <c r="M104" s="66" t="n">
        <f aca="false">IF(NOT(I104=""),(I104-$J104)^2,"")</f>
        <v>0</v>
      </c>
      <c r="N104" s="66" t="n">
        <f aca="false">IF(COUNT(K104:M104)&gt;0,SUM(K104:M104)/COUNT(K104:M104),"")</f>
        <v>0</v>
      </c>
      <c r="O104" s="66" t="n">
        <f aca="false">IF(NOT(N104=""),SQRT(N104),"")</f>
        <v>0</v>
      </c>
      <c r="P104" s="66" t="e">
        <f aca="false">IF(COUNT(K104:M104)&gt;0,VLOOKUP(COUNT(K104:M104),'t values'!$A$3:$C$5,3)*(O104/SQRT(COUNT(K104:M104))),"")</f>
        <v>#N/A</v>
      </c>
      <c r="Q104" s="66" t="e">
        <f aca="false">IF(NOT(P104=""),J104-P104,"")</f>
        <v>#N/A</v>
      </c>
      <c r="R104" s="66" t="e">
        <f aca="false">IF(NOT(P104=""),J104+P104,"")</f>
        <v>#N/A</v>
      </c>
      <c r="S104" s="0" t="n">
        <v>3465</v>
      </c>
      <c r="T104" s="0" t="str">
        <f aca="false">IF(S104="", "", IF(C104="","", S104-C104))</f>
        <v/>
      </c>
      <c r="U104" s="0" t="str">
        <f aca="false">IF($S104="", "", IF(D104="","", $S104-D104))</f>
        <v/>
      </c>
      <c r="V104" s="0" t="n">
        <f aca="false">IF($S104="", "", IF(E104="","", $S104-E104))</f>
        <v>1430</v>
      </c>
      <c r="W104" s="66" t="n">
        <f aca="false">IF(SUM($C104:$E104)&gt;0,IF(NOT(S104=""),AVERAGE(T104:V104),""),"")</f>
        <v>1430</v>
      </c>
      <c r="X104" s="66" t="str">
        <f aca="false">IF(NOT(T104=""),(T104-$W104)^2,"")</f>
        <v/>
      </c>
      <c r="Y104" s="66" t="str">
        <f aca="false">IF(NOT(U104=""),(U104-$W104)^2,"")</f>
        <v/>
      </c>
      <c r="Z104" s="66" t="n">
        <f aca="false">IF(NOT(V104=""),(V104-$W104)^2,"")</f>
        <v>0</v>
      </c>
      <c r="AA104" s="0" t="n">
        <f aca="false">IF(COUNT(X104:Z104)&gt;0,SUM(X104:Z104)/COUNT(X104:Z104),"")</f>
        <v>0</v>
      </c>
      <c r="AB104" s="0" t="n">
        <f aca="false">IF(NOT(AA104=""),SQRT(AA104),"")</f>
        <v>0</v>
      </c>
      <c r="AD104" s="66" t="n">
        <f aca="false">IF(NOT(W104=""),W104-AG104,"")</f>
        <v>1430</v>
      </c>
      <c r="AE104" s="66" t="n">
        <f aca="false">IF(NOT(W104=""),W104+AG104,"")</f>
        <v>1430</v>
      </c>
      <c r="AF104" s="63" t="n">
        <v>0</v>
      </c>
      <c r="AG104" s="63"/>
      <c r="AH104" s="63"/>
    </row>
    <row r="105" customFormat="false" ht="12.8" hidden="false" customHeight="false" outlineLevel="0" collapsed="false">
      <c r="A105" s="56" t="s">
        <v>43</v>
      </c>
      <c r="B105" s="57" t="n">
        <v>15</v>
      </c>
      <c r="C105" s="56" t="n">
        <v>1552</v>
      </c>
      <c r="D105" s="25"/>
      <c r="E105" s="77"/>
      <c r="F105" s="0" t="n">
        <v>1570</v>
      </c>
      <c r="G105" s="0" t="n">
        <f aca="false">IF(F105="", "", IF(C105="","", F105-C105))</f>
        <v>18</v>
      </c>
      <c r="H105" s="0" t="str">
        <f aca="false">IF(F105="", "", IF(D105="","", F105-D105))</f>
        <v/>
      </c>
      <c r="I105" s="0" t="str">
        <f aca="false">IF(F105="", "", IF(E105="","", F105-E105))</f>
        <v/>
      </c>
      <c r="J105" s="66" t="n">
        <f aca="false">IF(SUM(C105:E105)&gt;0,AVERAGE(G105:I105),"")</f>
        <v>18</v>
      </c>
      <c r="K105" s="66" t="n">
        <f aca="false">IF(NOT(G105=""),(G105-$J105)^2,"")</f>
        <v>0</v>
      </c>
      <c r="L105" s="66" t="str">
        <f aca="false">IF(NOT(H105=""),(H105-$J105)^2,"")</f>
        <v/>
      </c>
      <c r="M105" s="66" t="str">
        <f aca="false">IF(NOT(I105=""),(I105-$J105)^2,"")</f>
        <v/>
      </c>
      <c r="N105" s="66" t="n">
        <f aca="false">IF(COUNT(K105:M105)&gt;0,SUM(K105:M105)/COUNT(K105:M105),"")</f>
        <v>0</v>
      </c>
      <c r="O105" s="66" t="n">
        <f aca="false">IF(NOT(N105=""),SQRT(N105),"")</f>
        <v>0</v>
      </c>
      <c r="P105" s="66" t="e">
        <f aca="false">IF(COUNT(K105:M105)&gt;0,VLOOKUP(COUNT(K105:M105),'t values'!$A$3:$C$5,3)*(O105/SQRT(COUNT(K105:M105))),"")</f>
        <v>#N/A</v>
      </c>
      <c r="Q105" s="66" t="e">
        <f aca="false">IF(NOT(P105=""),J105-P105,"")</f>
        <v>#N/A</v>
      </c>
      <c r="R105" s="66" t="e">
        <f aca="false">IF(NOT(P105=""),J105+P105,"")</f>
        <v>#N/A</v>
      </c>
      <c r="S105" s="0" t="n">
        <v>1917</v>
      </c>
      <c r="T105" s="0" t="n">
        <f aca="false">IF(S105="", "", IF(C105="","", S105-C105))</f>
        <v>365</v>
      </c>
      <c r="U105" s="0" t="str">
        <f aca="false">IF($S105="", "", IF(D105="","", $S105-D105))</f>
        <v/>
      </c>
      <c r="V105" s="0" t="str">
        <f aca="false">IF($S105="", "", IF(E105="","", $S105-E105))</f>
        <v/>
      </c>
      <c r="W105" s="66" t="n">
        <f aca="false">IF(SUM($C105:$E105)&gt;0,IF(NOT(S105=""),AVERAGE(T105:V105),""),"")</f>
        <v>365</v>
      </c>
      <c r="X105" s="66" t="n">
        <f aca="false">IF(NOT(T105=""),(T105-$W105)^2,"")</f>
        <v>0</v>
      </c>
      <c r="Y105" s="66" t="str">
        <f aca="false">IF(NOT(U105=""),(U105-$W105)^2,"")</f>
        <v/>
      </c>
      <c r="Z105" s="66" t="str">
        <f aca="false">IF(NOT(V105=""),(V105-$W105)^2,"")</f>
        <v/>
      </c>
      <c r="AA105" s="0" t="n">
        <f aca="false">IF(COUNT(X105:Z105)&gt;0,SUM(X105:Z105)/COUNT(X105:Z105),"")</f>
        <v>0</v>
      </c>
      <c r="AB105" s="0" t="n">
        <f aca="false">IF(NOT(AA105=""),SQRT(AA105),"")</f>
        <v>0</v>
      </c>
      <c r="AD105" s="66" t="n">
        <f aca="false">IF(NOT(W105=""),W105-AG105,"")</f>
        <v>365</v>
      </c>
      <c r="AE105" s="66" t="n">
        <f aca="false">IF(NOT(W105=""),W105+AG105,"")</f>
        <v>365</v>
      </c>
      <c r="AF105" s="63" t="n">
        <v>0</v>
      </c>
      <c r="AG105" s="63"/>
      <c r="AH105" s="63"/>
    </row>
    <row r="106" customFormat="false" ht="12.8" hidden="false" customHeight="false" outlineLevel="0" collapsed="false">
      <c r="A106" s="56" t="s">
        <v>43</v>
      </c>
      <c r="B106" s="57" t="n">
        <v>20</v>
      </c>
      <c r="C106" s="56" t="n">
        <v>1081</v>
      </c>
      <c r="D106" s="25"/>
      <c r="E106" s="77" t="n">
        <v>1136</v>
      </c>
      <c r="F106" s="0" t="n">
        <v>1792</v>
      </c>
      <c r="G106" s="0" t="n">
        <f aca="false">IF(F106="", "", IF(C106="","", F106-C106))</f>
        <v>711</v>
      </c>
      <c r="H106" s="0" t="str">
        <f aca="false">IF(F106="", "", IF(D106="","", F106-D106))</f>
        <v/>
      </c>
      <c r="I106" s="0" t="n">
        <f aca="false">IF(F106="", "", IF(E106="","", F106-E106))</f>
        <v>656</v>
      </c>
      <c r="J106" s="66" t="n">
        <f aca="false">IF(SUM(C106:E106)&gt;0,AVERAGE(G106:I106),"")</f>
        <v>683.5</v>
      </c>
      <c r="K106" s="66" t="n">
        <f aca="false">IF(NOT(G106=""),(G106-$J106)^2,"")</f>
        <v>756.25</v>
      </c>
      <c r="L106" s="66" t="str">
        <f aca="false">IF(NOT(H106=""),(H106-$J106)^2,"")</f>
        <v/>
      </c>
      <c r="M106" s="66" t="n">
        <f aca="false">IF(NOT(I106=""),(I106-$J106)^2,"")</f>
        <v>756.25</v>
      </c>
      <c r="N106" s="66" t="n">
        <f aca="false">IF(COUNT(K106:M106)&gt;0,SUM(K106:M106)/COUNT(K106:M106),"")</f>
        <v>756.25</v>
      </c>
      <c r="O106" s="66" t="n">
        <f aca="false">IF(NOT(N106=""),SQRT(N106),"")</f>
        <v>27.5</v>
      </c>
      <c r="P106" s="66" t="n">
        <f aca="false">IF(COUNT(K106:M106)&gt;0,VLOOKUP(COUNT(K106:M106),'t values'!$A$3:$C$5,3)*(O106/SQRT(COUNT(K106:M106))),"")</f>
        <v>247.073715948297</v>
      </c>
      <c r="Q106" s="66" t="n">
        <f aca="false">IF(NOT(P106=""),J106-P106,"")</f>
        <v>436.426284051703</v>
      </c>
      <c r="R106" s="66" t="n">
        <f aca="false">IF(NOT(P106=""),J106+P106,"")</f>
        <v>930.573715948298</v>
      </c>
      <c r="S106" s="0" t="n">
        <v>1350</v>
      </c>
      <c r="T106" s="0" t="n">
        <f aca="false">IF(S106="", "", IF(C106="","", S106-C106))</f>
        <v>269</v>
      </c>
      <c r="U106" s="0" t="str">
        <f aca="false">IF($S106="", "", IF(D106="","", $S106-D106))</f>
        <v/>
      </c>
      <c r="V106" s="0" t="n">
        <f aca="false">IF($S106="", "", IF(E106="","", $S106-E106))</f>
        <v>214</v>
      </c>
      <c r="W106" s="66" t="n">
        <f aca="false">IF(SUM($C106:$E106)&gt;0,IF(NOT(S106=""),AVERAGE(T106:V106),""),"")</f>
        <v>241.5</v>
      </c>
      <c r="X106" s="66" t="n">
        <f aca="false">IF(NOT(T106=""),(T106-$W106)^2,"")</f>
        <v>756.25</v>
      </c>
      <c r="Y106" s="66" t="str">
        <f aca="false">IF(NOT(U106=""),(U106-$W106)^2,"")</f>
        <v/>
      </c>
      <c r="Z106" s="66" t="n">
        <f aca="false">IF(NOT(V106=""),(V106-$W106)^2,"")</f>
        <v>756.25</v>
      </c>
      <c r="AA106" s="0" t="n">
        <f aca="false">IF(COUNT(X106:Z106)&gt;0,SUM(X106:Z106)/COUNT(X106:Z106),"")</f>
        <v>756.25</v>
      </c>
      <c r="AB106" s="0" t="n">
        <f aca="false">IF(NOT(AA106=""),SQRT(AA106),"")</f>
        <v>27.5</v>
      </c>
      <c r="AD106" s="66" t="n">
        <f aca="false">IF(NOT(W106=""),W106-AG106,"")</f>
        <v>-5.5</v>
      </c>
      <c r="AE106" s="66" t="n">
        <f aca="false">IF(NOT(W106=""),W106+AG106,"")</f>
        <v>488.5</v>
      </c>
      <c r="AF106" s="63" t="n">
        <v>27.5</v>
      </c>
      <c r="AG106" s="63" t="n">
        <v>247</v>
      </c>
      <c r="AH106" s="63"/>
    </row>
    <row r="107" customFormat="false" ht="12.8" hidden="false" customHeight="false" outlineLevel="0" collapsed="false">
      <c r="A107" s="56" t="s">
        <v>43</v>
      </c>
      <c r="B107" s="57" t="n">
        <v>30</v>
      </c>
      <c r="C107" s="56" t="n">
        <v>774</v>
      </c>
      <c r="D107" s="25"/>
      <c r="E107" s="77" t="n">
        <v>787</v>
      </c>
      <c r="F107" s="0" t="n">
        <v>1378</v>
      </c>
      <c r="G107" s="0" t="n">
        <f aca="false">IF(F107="", "", IF(C107="","", F107-C107))</f>
        <v>604</v>
      </c>
      <c r="H107" s="0" t="str">
        <f aca="false">IF(F107="", "", IF(D107="","", F107-D107))</f>
        <v/>
      </c>
      <c r="I107" s="0" t="n">
        <f aca="false">IF(F107="", "", IF(E107="","", F107-E107))</f>
        <v>591</v>
      </c>
      <c r="J107" s="66" t="n">
        <f aca="false">IF(SUM(C107:E107)&gt;0,AVERAGE(G107:I107),"")</f>
        <v>597.5</v>
      </c>
      <c r="K107" s="66" t="n">
        <f aca="false">IF(NOT(G107=""),(G107-$J107)^2,"")</f>
        <v>42.25</v>
      </c>
      <c r="L107" s="66" t="str">
        <f aca="false">IF(NOT(H107=""),(H107-$J107)^2,"")</f>
        <v/>
      </c>
      <c r="M107" s="66" t="n">
        <f aca="false">IF(NOT(I107=""),(I107-$J107)^2,"")</f>
        <v>42.25</v>
      </c>
      <c r="N107" s="66" t="n">
        <f aca="false">IF(COUNT(K107:M107)&gt;0,SUM(K107:M107)/COUNT(K107:M107),"")</f>
        <v>42.25</v>
      </c>
      <c r="O107" s="66" t="n">
        <f aca="false">IF(NOT(N107=""),SQRT(N107),"")</f>
        <v>6.5</v>
      </c>
      <c r="P107" s="66" t="n">
        <f aca="false">IF(COUNT(K107:M107)&gt;0,VLOOKUP(COUNT(K107:M107),'t values'!$A$3:$C$5,3)*(O107/SQRT(COUNT(K107:M107))),"")</f>
        <v>58.3992419514158</v>
      </c>
      <c r="Q107" s="66" t="n">
        <f aca="false">IF(NOT(P107=""),J107-P107,"")</f>
        <v>539.100758048584</v>
      </c>
      <c r="R107" s="66" t="n">
        <f aca="false">IF(NOT(P107=""),J107+P107,"")</f>
        <v>655.899241951416</v>
      </c>
      <c r="S107" s="0" t="n">
        <v>1155</v>
      </c>
      <c r="T107" s="0" t="n">
        <f aca="false">IF(S107="", "", IF(C107="","", S107-C107))</f>
        <v>381</v>
      </c>
      <c r="U107" s="0" t="str">
        <f aca="false">IF($S107="", "", IF(D107="","", $S107-D107))</f>
        <v/>
      </c>
      <c r="V107" s="0" t="n">
        <f aca="false">IF($S107="", "", IF(E107="","", $S107-E107))</f>
        <v>368</v>
      </c>
      <c r="W107" s="66" t="n">
        <f aca="false">IF(SUM($C107:$E107)&gt;0,IF(NOT(S107=""),AVERAGE(T107:V107),""),"")</f>
        <v>374.5</v>
      </c>
      <c r="X107" s="66" t="n">
        <f aca="false">IF(NOT(T107=""),(T107-$W107)^2,"")</f>
        <v>42.25</v>
      </c>
      <c r="Y107" s="66" t="str">
        <f aca="false">IF(NOT(U107=""),(U107-$W107)^2,"")</f>
        <v/>
      </c>
      <c r="Z107" s="66" t="n">
        <f aca="false">IF(NOT(V107=""),(V107-$W107)^2,"")</f>
        <v>42.25</v>
      </c>
      <c r="AA107" s="0" t="n">
        <f aca="false">IF(COUNT(X107:Z107)&gt;0,SUM(X107:Z107)/COUNT(X107:Z107),"")</f>
        <v>42.25</v>
      </c>
      <c r="AB107" s="0" t="n">
        <f aca="false">IF(NOT(AA107=""),SQRT(AA107),"")</f>
        <v>6.5</v>
      </c>
      <c r="AD107" s="66" t="n">
        <f aca="false">IF(NOT(W107=""),W107-AG107,"")</f>
        <v>316.5</v>
      </c>
      <c r="AE107" s="66" t="n">
        <f aca="false">IF(NOT(W107=""),W107+AG107,"")</f>
        <v>432.5</v>
      </c>
      <c r="AF107" s="63" t="n">
        <v>6.5</v>
      </c>
      <c r="AG107" s="63" t="n">
        <v>58</v>
      </c>
      <c r="AH107" s="63"/>
    </row>
    <row r="108" customFormat="false" ht="12.8" hidden="false" customHeight="false" outlineLevel="0" collapsed="false">
      <c r="A108" s="56" t="s">
        <v>43</v>
      </c>
      <c r="B108" s="57" t="n">
        <v>40</v>
      </c>
      <c r="C108" s="56" t="n">
        <v>680</v>
      </c>
      <c r="D108" s="25"/>
      <c r="E108" s="77" t="n">
        <v>572</v>
      </c>
      <c r="F108" s="0" t="n">
        <v>756</v>
      </c>
      <c r="G108" s="0" t="n">
        <f aca="false">IF(F108="", "", IF(C108="","", F108-C108))</f>
        <v>76</v>
      </c>
      <c r="H108" s="0" t="str">
        <f aca="false">IF(F108="", "", IF(D108="","", F108-D108))</f>
        <v/>
      </c>
      <c r="I108" s="0" t="n">
        <f aca="false">IF(F108="", "", IF(E108="","", F108-E108))</f>
        <v>184</v>
      </c>
      <c r="J108" s="66" t="n">
        <f aca="false">IF(SUM(C108:E108)&gt;0,AVERAGE(G108:I108),"")</f>
        <v>130</v>
      </c>
      <c r="K108" s="66" t="n">
        <f aca="false">IF(NOT(G108=""),(G108-$J108)^2,"")</f>
        <v>2916</v>
      </c>
      <c r="L108" s="66" t="str">
        <f aca="false">IF(NOT(H108=""),(H108-$J108)^2,"")</f>
        <v/>
      </c>
      <c r="M108" s="66" t="n">
        <f aca="false">IF(NOT(I108=""),(I108-$J108)^2,"")</f>
        <v>2916</v>
      </c>
      <c r="N108" s="66" t="n">
        <f aca="false">IF(COUNT(K108:M108)&gt;0,SUM(K108:M108)/COUNT(K108:M108),"")</f>
        <v>2916</v>
      </c>
      <c r="O108" s="66" t="n">
        <f aca="false">IF(NOT(N108=""),SQRT(N108),"")</f>
        <v>54</v>
      </c>
      <c r="P108" s="66" t="n">
        <f aca="false">IF(COUNT(K108:M108)&gt;0,VLOOKUP(COUNT(K108:M108),'t values'!$A$3:$C$5,3)*(O108/SQRT(COUNT(K108:M108))),"")</f>
        <v>485.162933134839</v>
      </c>
      <c r="Q108" s="66" t="n">
        <f aca="false">IF(NOT(P108=""),J108-P108,"")</f>
        <v>-355.162933134839</v>
      </c>
      <c r="R108" s="66" t="n">
        <f aca="false">IF(NOT(P108=""),J108+P108,"")</f>
        <v>615.162933134839</v>
      </c>
      <c r="S108" s="0" t="n">
        <v>1153</v>
      </c>
      <c r="T108" s="0" t="n">
        <f aca="false">IF(S108="", "", IF(C108="","", S108-C108))</f>
        <v>473</v>
      </c>
      <c r="U108" s="0" t="str">
        <f aca="false">IF($S108="", "", IF(D108="","", $S108-D108))</f>
        <v/>
      </c>
      <c r="V108" s="0" t="n">
        <f aca="false">IF($S108="", "", IF(E108="","", $S108-E108))</f>
        <v>581</v>
      </c>
      <c r="W108" s="66" t="n">
        <f aca="false">IF(SUM($C108:$E108)&gt;0,IF(NOT(S108=""),AVERAGE(T108:V108),""),"")</f>
        <v>527</v>
      </c>
      <c r="X108" s="66" t="n">
        <f aca="false">IF(NOT(T108=""),(T108-$W108)^2,"")</f>
        <v>2916</v>
      </c>
      <c r="Y108" s="66" t="str">
        <f aca="false">IF(NOT(U108=""),(U108-$W108)^2,"")</f>
        <v/>
      </c>
      <c r="Z108" s="66" t="n">
        <f aca="false">IF(NOT(V108=""),(V108-$W108)^2,"")</f>
        <v>2916</v>
      </c>
      <c r="AA108" s="0" t="n">
        <f aca="false">IF(COUNT(X108:Z108)&gt;0,SUM(X108:Z108)/COUNT(X108:Z108),"")</f>
        <v>2916</v>
      </c>
      <c r="AB108" s="0" t="n">
        <f aca="false">IF(NOT(AA108=""),SQRT(AA108),"")</f>
        <v>54</v>
      </c>
      <c r="AD108" s="66" t="n">
        <f aca="false">IF(NOT(W108=""),W108-AG108,"")</f>
        <v>42</v>
      </c>
      <c r="AE108" s="66" t="n">
        <f aca="false">IF(NOT(W108=""),W108+AG108,"")</f>
        <v>1012</v>
      </c>
      <c r="AF108" s="63" t="n">
        <v>54</v>
      </c>
      <c r="AG108" s="63" t="n">
        <v>485</v>
      </c>
      <c r="AH108" s="63"/>
    </row>
    <row r="109" customFormat="false" ht="12.8" hidden="false" customHeight="false" outlineLevel="0" collapsed="false">
      <c r="A109" s="56" t="s">
        <v>43</v>
      </c>
      <c r="B109" s="57" t="n">
        <v>50</v>
      </c>
      <c r="C109" s="56" t="n">
        <v>537</v>
      </c>
      <c r="D109" s="25"/>
      <c r="E109" s="77" t="n">
        <v>505</v>
      </c>
      <c r="F109" s="0" t="n">
        <v>1011</v>
      </c>
      <c r="G109" s="0" t="n">
        <f aca="false">IF(F109="", "", IF(C109="","", F109-C109))</f>
        <v>474</v>
      </c>
      <c r="H109" s="0" t="str">
        <f aca="false">IF(F109="", "", IF(D109="","", F109-D109))</f>
        <v/>
      </c>
      <c r="I109" s="0" t="n">
        <f aca="false">IF(F109="", "", IF(E109="","", F109-E109))</f>
        <v>506</v>
      </c>
      <c r="J109" s="66" t="n">
        <f aca="false">IF(SUM(C109:E109)&gt;0,AVERAGE(G109:I109),"")</f>
        <v>490</v>
      </c>
      <c r="K109" s="66" t="n">
        <f aca="false">IF(NOT(G109=""),(G109-$J109)^2,"")</f>
        <v>256</v>
      </c>
      <c r="L109" s="66" t="str">
        <f aca="false">IF(NOT(H109=""),(H109-$J109)^2,"")</f>
        <v/>
      </c>
      <c r="M109" s="66" t="n">
        <f aca="false">IF(NOT(I109=""),(I109-$J109)^2,"")</f>
        <v>256</v>
      </c>
      <c r="N109" s="66" t="n">
        <f aca="false">IF(COUNT(K109:M109)&gt;0,SUM(K109:M109)/COUNT(K109:M109),"")</f>
        <v>256</v>
      </c>
      <c r="O109" s="66" t="n">
        <f aca="false">IF(NOT(N109=""),SQRT(N109),"")</f>
        <v>16</v>
      </c>
      <c r="P109" s="66" t="n">
        <f aca="false">IF(COUNT(K109:M109)&gt;0,VLOOKUP(COUNT(K109:M109),'t values'!$A$3:$C$5,3)*(O109/SQRT(COUNT(K109:M109))),"")</f>
        <v>143.7519801881</v>
      </c>
      <c r="Q109" s="66" t="n">
        <f aca="false">IF(NOT(P109=""),J109-P109,"")</f>
        <v>346.2480198119</v>
      </c>
      <c r="R109" s="66" t="n">
        <f aca="false">IF(NOT(P109=""),J109+P109,"")</f>
        <v>633.7519801881</v>
      </c>
      <c r="S109" s="0" t="n">
        <v>1014</v>
      </c>
      <c r="T109" s="0" t="n">
        <f aca="false">IF(S109="", "", IF(C109="","", S109-C109))</f>
        <v>477</v>
      </c>
      <c r="U109" s="0" t="str">
        <f aca="false">IF($S109="", "", IF(D109="","", $S109-D109))</f>
        <v/>
      </c>
      <c r="V109" s="0" t="n">
        <f aca="false">IF($S109="", "", IF(E109="","", $S109-E109))</f>
        <v>509</v>
      </c>
      <c r="W109" s="66" t="n">
        <f aca="false">IF(SUM($C109:$E109)&gt;0,IF(NOT(S109=""),AVERAGE(T109:V109),""),"")</f>
        <v>493</v>
      </c>
      <c r="X109" s="66" t="n">
        <f aca="false">IF(NOT(T109=""),(T109-$W109)^2,"")</f>
        <v>256</v>
      </c>
      <c r="Y109" s="66" t="str">
        <f aca="false">IF(NOT(U109=""),(U109-$W109)^2,"")</f>
        <v/>
      </c>
      <c r="Z109" s="66" t="n">
        <f aca="false">IF(NOT(V109=""),(V109-$W109)^2,"")</f>
        <v>256</v>
      </c>
      <c r="AA109" s="0" t="n">
        <f aca="false">IF(COUNT(X109:Z109)&gt;0,SUM(X109:Z109)/COUNT(X109:Z109),"")</f>
        <v>256</v>
      </c>
      <c r="AB109" s="0" t="n">
        <f aca="false">IF(NOT(AA109=""),SQRT(AA109),"")</f>
        <v>16</v>
      </c>
      <c r="AD109" s="66" t="n">
        <f aca="false">IF(NOT(W109=""),W109-AG109,"")</f>
        <v>349</v>
      </c>
      <c r="AE109" s="66" t="n">
        <f aca="false">IF(NOT(W109=""),W109+AG109,"")</f>
        <v>637</v>
      </c>
      <c r="AF109" s="63" t="n">
        <v>16</v>
      </c>
      <c r="AG109" s="63" t="n">
        <v>144</v>
      </c>
      <c r="AH109" s="63"/>
    </row>
    <row r="110" customFormat="false" ht="12.8" hidden="false" customHeight="false" outlineLevel="0" collapsed="false">
      <c r="A110" s="56" t="s">
        <v>43</v>
      </c>
      <c r="B110" s="57" t="n">
        <v>64</v>
      </c>
      <c r="C110" s="56" t="n">
        <v>463</v>
      </c>
      <c r="D110" s="25"/>
      <c r="E110" s="77" t="n">
        <v>420</v>
      </c>
      <c r="F110" s="0" t="n">
        <v>1295</v>
      </c>
      <c r="G110" s="0" t="n">
        <f aca="false">IF(F110="", "", IF(C110="","", F110-C110))</f>
        <v>832</v>
      </c>
      <c r="H110" s="0" t="str">
        <f aca="false">IF(F110="", "", IF(D110="","", F110-D110))</f>
        <v/>
      </c>
      <c r="I110" s="0" t="n">
        <f aca="false">IF(F110="", "", IF(E110="","", F110-E110))</f>
        <v>875</v>
      </c>
      <c r="J110" s="66" t="n">
        <f aca="false">IF(SUM(C110:E110)&gt;0,AVERAGE(G110:I110),"")</f>
        <v>853.5</v>
      </c>
      <c r="K110" s="66" t="n">
        <f aca="false">IF(NOT(G110=""),(G110-$J110)^2,"")</f>
        <v>462.25</v>
      </c>
      <c r="L110" s="66" t="str">
        <f aca="false">IF(NOT(H110=""),(H110-$J110)^2,"")</f>
        <v/>
      </c>
      <c r="M110" s="66" t="n">
        <f aca="false">IF(NOT(I110=""),(I110-$J110)^2,"")</f>
        <v>462.25</v>
      </c>
      <c r="N110" s="66" t="n">
        <f aca="false">IF(COUNT(K110:M110)&gt;0,SUM(K110:M110)/COUNT(K110:M110),"")</f>
        <v>462.25</v>
      </c>
      <c r="O110" s="66" t="n">
        <f aca="false">IF(NOT(N110=""),SQRT(N110),"")</f>
        <v>21.5</v>
      </c>
      <c r="P110" s="66" t="n">
        <f aca="false">IF(COUNT(K110:M110)&gt;0,VLOOKUP(COUNT(K110:M110),'t values'!$A$3:$C$5,3)*(O110/SQRT(COUNT(K110:M110))),"")</f>
        <v>193.16672337776</v>
      </c>
      <c r="Q110" s="66" t="n">
        <f aca="false">IF(NOT(P110=""),J110-P110,"")</f>
        <v>660.33327662224</v>
      </c>
      <c r="R110" s="66" t="n">
        <f aca="false">IF(NOT(P110=""),J110+P110,"")</f>
        <v>1046.66672337776</v>
      </c>
      <c r="S110" s="0" t="n">
        <v>925</v>
      </c>
      <c r="T110" s="0" t="n">
        <f aca="false">IF(S110="", "", IF(C110="","", S110-C110))</f>
        <v>462</v>
      </c>
      <c r="U110" s="0" t="str">
        <f aca="false">IF($S110="", "", IF(D110="","", $S110-D110))</f>
        <v/>
      </c>
      <c r="V110" s="0" t="n">
        <f aca="false">IF($S110="", "", IF(E110="","", $S110-E110))</f>
        <v>505</v>
      </c>
      <c r="W110" s="66" t="n">
        <f aca="false">IF(SUM($C110:$E110)&gt;0,IF(NOT(S110=""),AVERAGE(T110:V110),""),"")</f>
        <v>483.5</v>
      </c>
      <c r="X110" s="66" t="n">
        <f aca="false">IF(NOT(T110=""),(T110-$W110)^2,"")</f>
        <v>462.25</v>
      </c>
      <c r="Y110" s="66" t="str">
        <f aca="false">IF(NOT(U110=""),(U110-$W110)^2,"")</f>
        <v/>
      </c>
      <c r="Z110" s="66" t="n">
        <f aca="false">IF(NOT(V110=""),(V110-$W110)^2,"")</f>
        <v>462.25</v>
      </c>
      <c r="AA110" s="0" t="n">
        <f aca="false">IF(COUNT(X110:Z110)&gt;0,SUM(X110:Z110)/COUNT(X110:Z110),"")</f>
        <v>462.25</v>
      </c>
      <c r="AB110" s="0" t="n">
        <f aca="false">IF(NOT(AA110=""),SQRT(AA110),"")</f>
        <v>21.5</v>
      </c>
      <c r="AD110" s="66" t="n">
        <f aca="false">IF(NOT(W110=""),W110-AG110,"")</f>
        <v>290.5</v>
      </c>
      <c r="AE110" s="66" t="n">
        <f aca="false">IF(NOT(W110=""),W110+AG110,"")</f>
        <v>676.5</v>
      </c>
      <c r="AF110" s="63" t="n">
        <v>21.5</v>
      </c>
      <c r="AG110" s="63" t="n">
        <v>193</v>
      </c>
      <c r="AH110" s="63"/>
    </row>
    <row r="111" customFormat="false" ht="12.8" hidden="false" customHeight="false" outlineLevel="0" collapsed="false">
      <c r="A111" s="56" t="s">
        <v>43</v>
      </c>
      <c r="B111" s="57" t="n">
        <v>82</v>
      </c>
      <c r="C111" s="56" t="n">
        <v>327</v>
      </c>
      <c r="D111" s="25"/>
      <c r="E111" s="77" t="n">
        <v>342</v>
      </c>
      <c r="F111" s="0" t="n">
        <v>587</v>
      </c>
      <c r="G111" s="0" t="n">
        <f aca="false">IF(F111="", "", IF(C111="","", F111-C111))</f>
        <v>260</v>
      </c>
      <c r="H111" s="0" t="str">
        <f aca="false">IF(F111="", "", IF(D111="","", F111-D111))</f>
        <v/>
      </c>
      <c r="I111" s="0" t="n">
        <f aca="false">IF(F111="", "", IF(E111="","", F111-E111))</f>
        <v>245</v>
      </c>
      <c r="J111" s="66" t="n">
        <f aca="false">IF(SUM(C111:E111)&gt;0,AVERAGE(G111:I111),"")</f>
        <v>252.5</v>
      </c>
      <c r="K111" s="66" t="n">
        <f aca="false">IF(NOT(G111=""),(G111-$J111)^2,"")</f>
        <v>56.25</v>
      </c>
      <c r="L111" s="66" t="str">
        <f aca="false">IF(NOT(H111=""),(H111-$J111)^2,"")</f>
        <v/>
      </c>
      <c r="M111" s="66" t="n">
        <f aca="false">IF(NOT(I111=""),(I111-$J111)^2,"")</f>
        <v>56.25</v>
      </c>
      <c r="N111" s="66" t="n">
        <f aca="false">IF(COUNT(K111:M111)&gt;0,SUM(K111:M111)/COUNT(K111:M111),"")</f>
        <v>56.25</v>
      </c>
      <c r="O111" s="66" t="n">
        <f aca="false">IF(NOT(N111=""),SQRT(N111),"")</f>
        <v>7.5</v>
      </c>
      <c r="P111" s="66" t="n">
        <f aca="false">IF(COUNT(K111:M111)&gt;0,VLOOKUP(COUNT(K111:M111),'t values'!$A$3:$C$5,3)*(O111/SQRT(COUNT(K111:M111))),"")</f>
        <v>67.383740713172</v>
      </c>
      <c r="Q111" s="66" t="n">
        <f aca="false">IF(NOT(P111=""),J111-P111,"")</f>
        <v>185.116259286828</v>
      </c>
      <c r="R111" s="66" t="n">
        <f aca="false">IF(NOT(P111=""),J111+P111,"")</f>
        <v>319.883740713172</v>
      </c>
      <c r="S111" s="0" t="n">
        <v>558</v>
      </c>
      <c r="T111" s="0" t="n">
        <f aca="false">IF(S111="", "", IF(C111="","", S111-C111))</f>
        <v>231</v>
      </c>
      <c r="U111" s="0" t="str">
        <f aca="false">IF($S111="", "", IF(D111="","", $S111-D111))</f>
        <v/>
      </c>
      <c r="V111" s="0" t="n">
        <f aca="false">IF($S111="", "", IF(E111="","", $S111-E111))</f>
        <v>216</v>
      </c>
      <c r="W111" s="66" t="n">
        <f aca="false">IF(SUM($C111:$E111)&gt;0,IF(NOT(S111=""),AVERAGE(T111:V111),""),"")</f>
        <v>223.5</v>
      </c>
      <c r="X111" s="66" t="n">
        <f aca="false">IF(NOT(T111=""),(T111-$W111)^2,"")</f>
        <v>56.25</v>
      </c>
      <c r="Y111" s="66" t="str">
        <f aca="false">IF(NOT(U111=""),(U111-$W111)^2,"")</f>
        <v/>
      </c>
      <c r="Z111" s="66" t="n">
        <f aca="false">IF(NOT(V111=""),(V111-$W111)^2,"")</f>
        <v>56.25</v>
      </c>
      <c r="AA111" s="0" t="n">
        <f aca="false">IF(COUNT(X111:Z111)&gt;0,SUM(X111:Z111)/COUNT(X111:Z111),"")</f>
        <v>56.25</v>
      </c>
      <c r="AB111" s="0" t="n">
        <f aca="false">IF(NOT(AA111=""),SQRT(AA111),"")</f>
        <v>7.5</v>
      </c>
      <c r="AD111" s="66" t="n">
        <f aca="false">IF(NOT(W111=""),W111-AG111,"")</f>
        <v>156.5</v>
      </c>
      <c r="AE111" s="66" t="n">
        <f aca="false">IF(NOT(W111=""),W111+AG111,"")</f>
        <v>290.5</v>
      </c>
      <c r="AF111" s="63" t="n">
        <v>7.5</v>
      </c>
      <c r="AG111" s="63" t="n">
        <v>67</v>
      </c>
      <c r="AH111" s="63"/>
    </row>
    <row r="112" customFormat="false" ht="12.8" hidden="false" customHeight="false" outlineLevel="0" collapsed="false">
      <c r="A112" s="56" t="s">
        <v>43</v>
      </c>
      <c r="B112" s="57" t="n">
        <v>100</v>
      </c>
      <c r="C112" s="56"/>
      <c r="D112" s="25"/>
      <c r="E112" s="77" t="n">
        <v>348</v>
      </c>
      <c r="F112" s="0" t="n">
        <v>1202</v>
      </c>
      <c r="G112" s="0" t="str">
        <f aca="false">IF(F112="", "", IF(C112="","", F112-C112))</f>
        <v/>
      </c>
      <c r="H112" s="0" t="str">
        <f aca="false">IF(F112="", "", IF(D112="","", F112-D112))</f>
        <v/>
      </c>
      <c r="I112" s="0" t="n">
        <f aca="false">IF(F112="", "", IF(E112="","", F112-E112))</f>
        <v>854</v>
      </c>
      <c r="J112" s="66" t="n">
        <f aca="false">IF(SUM(C112:E112)&gt;0,AVERAGE(G112:I112),"")</f>
        <v>854</v>
      </c>
      <c r="K112" s="66" t="str">
        <f aca="false">IF(NOT(G112=""),(G112-$J112)^2,"")</f>
        <v/>
      </c>
      <c r="L112" s="66" t="str">
        <f aca="false">IF(NOT(H112=""),(H112-$J112)^2,"")</f>
        <v/>
      </c>
      <c r="M112" s="66" t="n">
        <f aca="false">IF(NOT(I112=""),(I112-$J112)^2,"")</f>
        <v>0</v>
      </c>
      <c r="N112" s="66" t="n">
        <f aca="false">IF(COUNT(K112:M112)&gt;0,SUM(K112:M112)/COUNT(K112:M112),"")</f>
        <v>0</v>
      </c>
      <c r="O112" s="66" t="n">
        <f aca="false">IF(NOT(N112=""),SQRT(N112),"")</f>
        <v>0</v>
      </c>
      <c r="P112" s="66" t="e">
        <f aca="false">IF(COUNT(K112:M112)&gt;0,VLOOKUP(COUNT(K112:M112),'t values'!$A$3:$C$5,3)*(O112/SQRT(COUNT(K112:M112))),"")</f>
        <v>#N/A</v>
      </c>
      <c r="Q112" s="66" t="e">
        <f aca="false">IF(NOT(P112=""),J112-P112,"")</f>
        <v>#N/A</v>
      </c>
      <c r="R112" s="66" t="e">
        <f aca="false">IF(NOT(P112=""),J112+P112,"")</f>
        <v>#N/A</v>
      </c>
      <c r="T112" s="0" t="str">
        <f aca="false">IF(S112="", "", IF(C112="","", S112-C112))</f>
        <v/>
      </c>
      <c r="U112" s="0" t="str">
        <f aca="false">IF($S112="", "", IF(D112="","", $S112-D112))</f>
        <v/>
      </c>
      <c r="V112" s="0" t="str">
        <f aca="false">IF($S112="", "", IF(E112="","", $S112-E112))</f>
        <v/>
      </c>
      <c r="W112" s="66" t="str">
        <f aca="false">IF(SUM($C112:$E112)&gt;0,IF(NOT(S112=""),AVERAGE(T112:V112),""),"")</f>
        <v/>
      </c>
      <c r="X112" s="66" t="str">
        <f aca="false">IF(NOT(T112=""),(T112-$W112)^2,"")</f>
        <v/>
      </c>
      <c r="Y112" s="66" t="str">
        <f aca="false">IF(NOT(U112=""),(U112-$W112)^2,"")</f>
        <v/>
      </c>
      <c r="Z112" s="66" t="str">
        <f aca="false">IF(NOT(V112=""),(V112-$W112)^2,"")</f>
        <v/>
      </c>
      <c r="AA112" s="0" t="str">
        <f aca="false">IF(COUNT(X112:Z112)&gt;0,SUM(X112:Z112)/COUNT(X112:Z112),"")</f>
        <v/>
      </c>
      <c r="AB112" s="0" t="str">
        <f aca="false">IF(NOT(AA112=""),SQRT(AA112),"")</f>
        <v/>
      </c>
      <c r="AD112" s="66" t="str">
        <f aca="false">IF(NOT(W112=""),W112-AG112,"")</f>
        <v/>
      </c>
      <c r="AE112" s="66" t="str">
        <f aca="false">IF(NOT(W112=""),W112+AG112,"")</f>
        <v/>
      </c>
      <c r="AF112" s="63" t="n">
        <v>0</v>
      </c>
      <c r="AG112" s="63"/>
      <c r="AH112" s="63"/>
    </row>
    <row r="113" customFormat="false" ht="12.8" hidden="false" customHeight="false" outlineLevel="0" collapsed="false">
      <c r="A113" s="56" t="s">
        <v>44</v>
      </c>
      <c r="B113" s="57" t="n">
        <v>5</v>
      </c>
      <c r="C113" s="56"/>
      <c r="D113" s="25"/>
      <c r="E113" s="77"/>
      <c r="F113" s="0" t="n">
        <v>8668</v>
      </c>
      <c r="G113" s="0" t="str">
        <f aca="false">IF(F113="", "", IF(C113="","", F113-C113))</f>
        <v/>
      </c>
      <c r="H113" s="0" t="str">
        <f aca="false">IF(F113="", "", IF(D113="","", F113-D113))</f>
        <v/>
      </c>
      <c r="I113" s="0" t="str">
        <f aca="false">IF(F113="", "", IF(E113="","", F113-E113))</f>
        <v/>
      </c>
      <c r="J113" s="66" t="str">
        <f aca="false">IF(SUM(C113:E113)&gt;0,AVERAGE(G113:I113),"")</f>
        <v/>
      </c>
      <c r="K113" s="66" t="str">
        <f aca="false">IF(NOT(G113=""),(G113-$J113)^2,"")</f>
        <v/>
      </c>
      <c r="L113" s="66" t="str">
        <f aca="false">IF(NOT(H113=""),(H113-$J113)^2,"")</f>
        <v/>
      </c>
      <c r="M113" s="66" t="str">
        <f aca="false">IF(NOT(I113=""),(I113-$J113)^2,"")</f>
        <v/>
      </c>
      <c r="N113" s="66" t="str">
        <f aca="false">IF(COUNT(K113:M113)&gt;0,SUM(K113:M113)/COUNT(K113:M113),"")</f>
        <v/>
      </c>
      <c r="O113" s="66" t="str">
        <f aca="false">IF(NOT(N113=""),SQRT(N113),"")</f>
        <v/>
      </c>
      <c r="P113" s="66" t="str">
        <f aca="false">IF(COUNT(K113:M113)&gt;0,VLOOKUP(COUNT(K113:M113),'t values'!$A$3:$C$5,3)*(O113/SQRT(COUNT(K113:M113))),"")</f>
        <v/>
      </c>
      <c r="Q113" s="66" t="str">
        <f aca="false">IF(NOT(P113=""),J113-P113,"")</f>
        <v/>
      </c>
      <c r="R113" s="66" t="str">
        <f aca="false">IF(NOT(P113=""),J113+P113,"")</f>
        <v/>
      </c>
      <c r="T113" s="0" t="str">
        <f aca="false">IF(S113="", "", IF(C113="","", S113-C113))</f>
        <v/>
      </c>
      <c r="U113" s="0" t="str">
        <f aca="false">IF($S113="", "", IF(D113="","", $S113-D113))</f>
        <v/>
      </c>
      <c r="V113" s="0" t="str">
        <f aca="false">IF($S113="", "", IF(E113="","", $S113-E113))</f>
        <v/>
      </c>
      <c r="W113" s="66" t="str">
        <f aca="false">IF(SUM($C113:$E113)&gt;0,IF(NOT(S113=""),AVERAGE(T113:V113),""),"")</f>
        <v/>
      </c>
      <c r="X113" s="66" t="str">
        <f aca="false">IF(NOT(T113=""),(T113-$W113)^2,"")</f>
        <v/>
      </c>
      <c r="Y113" s="66" t="str">
        <f aca="false">IF(NOT(U113=""),(U113-$W113)^2,"")</f>
        <v/>
      </c>
      <c r="Z113" s="66" t="str">
        <f aca="false">IF(NOT(V113=""),(V113-$W113)^2,"")</f>
        <v/>
      </c>
      <c r="AA113" s="0" t="str">
        <f aca="false">IF(COUNT(X113:Z113)&gt;0,SUM(X113:Z113)/COUNT(X113:Z113),"")</f>
        <v/>
      </c>
      <c r="AB113" s="0" t="str">
        <f aca="false">IF(NOT(AA113=""),SQRT(AA113),"")</f>
        <v/>
      </c>
      <c r="AD113" s="66" t="str">
        <f aca="false">IF(NOT(W113=""),W113-AG113,"")</f>
        <v/>
      </c>
      <c r="AE113" s="66" t="str">
        <f aca="false">IF(NOT(W113=""),W113+AG113,"")</f>
        <v/>
      </c>
      <c r="AF113" s="63"/>
      <c r="AG113" s="63"/>
      <c r="AH113" s="63"/>
    </row>
    <row r="114" customFormat="false" ht="12.8" hidden="false" customHeight="false" outlineLevel="0" collapsed="false">
      <c r="A114" s="56" t="s">
        <v>44</v>
      </c>
      <c r="B114" s="57" t="n">
        <v>10</v>
      </c>
      <c r="C114" s="56"/>
      <c r="D114" s="25"/>
      <c r="E114" s="77"/>
      <c r="F114" s="0" t="n">
        <v>6003</v>
      </c>
      <c r="G114" s="0" t="str">
        <f aca="false">IF(F114="", "", IF(C114="","", F114-C114))</f>
        <v/>
      </c>
      <c r="H114" s="0" t="str">
        <f aca="false">IF(F114="", "", IF(D114="","", F114-D114))</f>
        <v/>
      </c>
      <c r="I114" s="0" t="str">
        <f aca="false">IF(F114="", "", IF(E114="","", F114-E114))</f>
        <v/>
      </c>
      <c r="J114" s="66" t="str">
        <f aca="false">IF(SUM(C114:E114)&gt;0,AVERAGE(G114:I114),"")</f>
        <v/>
      </c>
      <c r="K114" s="66" t="str">
        <f aca="false">IF(NOT(G114=""),(G114-$J114)^2,"")</f>
        <v/>
      </c>
      <c r="L114" s="66" t="str">
        <f aca="false">IF(NOT(H114=""),(H114-$J114)^2,"")</f>
        <v/>
      </c>
      <c r="M114" s="66" t="str">
        <f aca="false">IF(NOT(I114=""),(I114-$J114)^2,"")</f>
        <v/>
      </c>
      <c r="N114" s="66" t="str">
        <f aca="false">IF(COUNT(K114:M114)&gt;0,SUM(K114:M114)/COUNT(K114:M114),"")</f>
        <v/>
      </c>
      <c r="O114" s="66" t="str">
        <f aca="false">IF(NOT(N114=""),SQRT(N114),"")</f>
        <v/>
      </c>
      <c r="P114" s="66" t="str">
        <f aca="false">IF(COUNT(K114:M114)&gt;0,VLOOKUP(COUNT(K114:M114),'t values'!$A$3:$C$5,3)*(O114/SQRT(COUNT(K114:M114))),"")</f>
        <v/>
      </c>
      <c r="Q114" s="66" t="str">
        <f aca="false">IF(NOT(P114=""),J114-P114,"")</f>
        <v/>
      </c>
      <c r="R114" s="66" t="str">
        <f aca="false">IF(NOT(P114=""),J114+P114,"")</f>
        <v/>
      </c>
      <c r="T114" s="0" t="str">
        <f aca="false">IF(S114="", "", IF(C114="","", S114-C114))</f>
        <v/>
      </c>
      <c r="U114" s="0" t="str">
        <f aca="false">IF($S114="", "", IF(D114="","", $S114-D114))</f>
        <v/>
      </c>
      <c r="V114" s="0" t="str">
        <f aca="false">IF($S114="", "", IF(E114="","", $S114-E114))</f>
        <v/>
      </c>
      <c r="W114" s="66" t="str">
        <f aca="false">IF(SUM($C114:$E114)&gt;0,IF(NOT(S114=""),AVERAGE(T114:V114),""),"")</f>
        <v/>
      </c>
      <c r="X114" s="66" t="str">
        <f aca="false">IF(NOT(T114=""),(T114-$W114)^2,"")</f>
        <v/>
      </c>
      <c r="Y114" s="66" t="str">
        <f aca="false">IF(NOT(U114=""),(U114-$W114)^2,"")</f>
        <v/>
      </c>
      <c r="Z114" s="66" t="str">
        <f aca="false">IF(NOT(V114=""),(V114-$W114)^2,"")</f>
        <v/>
      </c>
      <c r="AA114" s="0" t="str">
        <f aca="false">IF(COUNT(X114:Z114)&gt;0,SUM(X114:Z114)/COUNT(X114:Z114),"")</f>
        <v/>
      </c>
      <c r="AB114" s="0" t="str">
        <f aca="false">IF(NOT(AA114=""),SQRT(AA114),"")</f>
        <v/>
      </c>
      <c r="AD114" s="66" t="str">
        <f aca="false">IF(NOT(W114=""),W114-AG114,"")</f>
        <v/>
      </c>
      <c r="AE114" s="66" t="str">
        <f aca="false">IF(NOT(W114=""),W114+AG114,"")</f>
        <v/>
      </c>
      <c r="AF114" s="63"/>
      <c r="AG114" s="63"/>
      <c r="AH114" s="63"/>
    </row>
    <row r="115" customFormat="false" ht="12.8" hidden="false" customHeight="false" outlineLevel="0" collapsed="false">
      <c r="A115" s="56" t="s">
        <v>44</v>
      </c>
      <c r="B115" s="57" t="n">
        <v>15</v>
      </c>
      <c r="C115" s="56"/>
      <c r="D115" s="25"/>
      <c r="E115" s="77"/>
      <c r="F115" s="0" t="n">
        <v>4564</v>
      </c>
      <c r="G115" s="0" t="str">
        <f aca="false">IF(F115="", "", IF(C115="","", F115-C115))</f>
        <v/>
      </c>
      <c r="H115" s="0" t="str">
        <f aca="false">IF(F115="", "", IF(D115="","", F115-D115))</f>
        <v/>
      </c>
      <c r="I115" s="0" t="str">
        <f aca="false">IF(F115="", "", IF(E115="","", F115-E115))</f>
        <v/>
      </c>
      <c r="J115" s="66" t="str">
        <f aca="false">IF(SUM(C115:E115)&gt;0,AVERAGE(G115:I115),"")</f>
        <v/>
      </c>
      <c r="K115" s="66" t="str">
        <f aca="false">IF(NOT(G115=""),(G115-$J115)^2,"")</f>
        <v/>
      </c>
      <c r="L115" s="66" t="str">
        <f aca="false">IF(NOT(H115=""),(H115-$J115)^2,"")</f>
        <v/>
      </c>
      <c r="M115" s="66" t="str">
        <f aca="false">IF(NOT(I115=""),(I115-$J115)^2,"")</f>
        <v/>
      </c>
      <c r="N115" s="66" t="str">
        <f aca="false">IF(COUNT(K115:M115)&gt;0,SUM(K115:M115)/COUNT(K115:M115),"")</f>
        <v/>
      </c>
      <c r="O115" s="66" t="str">
        <f aca="false">IF(NOT(N115=""),SQRT(N115),"")</f>
        <v/>
      </c>
      <c r="P115" s="66" t="str">
        <f aca="false">IF(COUNT(K115:M115)&gt;0,VLOOKUP(COUNT(K115:M115),'t values'!$A$3:$C$5,3)*(O115/SQRT(COUNT(K115:M115))),"")</f>
        <v/>
      </c>
      <c r="Q115" s="66" t="str">
        <f aca="false">IF(NOT(P115=""),J115-P115,"")</f>
        <v/>
      </c>
      <c r="R115" s="66" t="str">
        <f aca="false">IF(NOT(P115=""),J115+P115,"")</f>
        <v/>
      </c>
      <c r="T115" s="0" t="str">
        <f aca="false">IF(S115="", "", IF(C115="","", S115-C115))</f>
        <v/>
      </c>
      <c r="U115" s="0" t="str">
        <f aca="false">IF($S115="", "", IF(D115="","", $S115-D115))</f>
        <v/>
      </c>
      <c r="V115" s="0" t="str">
        <f aca="false">IF($S115="", "", IF(E115="","", $S115-E115))</f>
        <v/>
      </c>
      <c r="W115" s="66" t="str">
        <f aca="false">IF(SUM($C115:$E115)&gt;0,IF(NOT(S115=""),AVERAGE(T115:V115),""),"")</f>
        <v/>
      </c>
      <c r="X115" s="66" t="str">
        <f aca="false">IF(NOT(T115=""),(T115-$W115)^2,"")</f>
        <v/>
      </c>
      <c r="Y115" s="66" t="str">
        <f aca="false">IF(NOT(U115=""),(U115-$W115)^2,"")</f>
        <v/>
      </c>
      <c r="Z115" s="66" t="str">
        <f aca="false">IF(NOT(V115=""),(V115-$W115)^2,"")</f>
        <v/>
      </c>
      <c r="AA115" s="0" t="str">
        <f aca="false">IF(COUNT(X115:Z115)&gt;0,SUM(X115:Z115)/COUNT(X115:Z115),"")</f>
        <v/>
      </c>
      <c r="AB115" s="0" t="str">
        <f aca="false">IF(NOT(AA115=""),SQRT(AA115),"")</f>
        <v/>
      </c>
      <c r="AD115" s="66" t="str">
        <f aca="false">IF(NOT(W115=""),W115-AG115,"")</f>
        <v/>
      </c>
      <c r="AE115" s="66" t="str">
        <f aca="false">IF(NOT(W115=""),W115+AG115,"")</f>
        <v/>
      </c>
      <c r="AF115" s="63"/>
      <c r="AG115" s="63"/>
      <c r="AH115" s="63"/>
    </row>
    <row r="116" customFormat="false" ht="12.8" hidden="false" customHeight="false" outlineLevel="0" collapsed="false">
      <c r="A116" s="56" t="s">
        <v>44</v>
      </c>
      <c r="B116" s="57" t="n">
        <v>20</v>
      </c>
      <c r="C116" s="56"/>
      <c r="D116" s="25"/>
      <c r="E116" s="77"/>
      <c r="F116" s="0" t="n">
        <v>3452</v>
      </c>
      <c r="G116" s="0" t="str">
        <f aca="false">IF(F116="", "", IF(C116="","", F116-C116))</f>
        <v/>
      </c>
      <c r="H116" s="0" t="str">
        <f aca="false">IF(F116="", "", IF(D116="","", F116-D116))</f>
        <v/>
      </c>
      <c r="I116" s="0" t="str">
        <f aca="false">IF(F116="", "", IF(E116="","", F116-E116))</f>
        <v/>
      </c>
      <c r="J116" s="66" t="str">
        <f aca="false">IF(SUM(C116:E116)&gt;0,AVERAGE(G116:I116),"")</f>
        <v/>
      </c>
      <c r="K116" s="66" t="str">
        <f aca="false">IF(NOT(G116=""),(G116-$J116)^2,"")</f>
        <v/>
      </c>
      <c r="L116" s="66" t="str">
        <f aca="false">IF(NOT(H116=""),(H116-$J116)^2,"")</f>
        <v/>
      </c>
      <c r="M116" s="66" t="str">
        <f aca="false">IF(NOT(I116=""),(I116-$J116)^2,"")</f>
        <v/>
      </c>
      <c r="N116" s="66" t="str">
        <f aca="false">IF(COUNT(K116:M116)&gt;0,SUM(K116:M116)/COUNT(K116:M116),"")</f>
        <v/>
      </c>
      <c r="O116" s="66" t="str">
        <f aca="false">IF(NOT(N116=""),SQRT(N116),"")</f>
        <v/>
      </c>
      <c r="P116" s="66" t="str">
        <f aca="false">IF(COUNT(K116:M116)&gt;0,VLOOKUP(COUNT(K116:M116),'t values'!$A$3:$C$5,3)*(O116/SQRT(COUNT(K116:M116))),"")</f>
        <v/>
      </c>
      <c r="Q116" s="66" t="str">
        <f aca="false">IF(NOT(P116=""),J116-P116,"")</f>
        <v/>
      </c>
      <c r="R116" s="66" t="str">
        <f aca="false">IF(NOT(P116=""),J116+P116,"")</f>
        <v/>
      </c>
      <c r="T116" s="0" t="str">
        <f aca="false">IF(S116="", "", IF(C116="","", S116-C116))</f>
        <v/>
      </c>
      <c r="U116" s="0" t="str">
        <f aca="false">IF($S116="", "", IF(D116="","", $S116-D116))</f>
        <v/>
      </c>
      <c r="V116" s="0" t="str">
        <f aca="false">IF($S116="", "", IF(E116="","", $S116-E116))</f>
        <v/>
      </c>
      <c r="W116" s="66" t="str">
        <f aca="false">IF(SUM($C116:$E116)&gt;0,IF(NOT(S116=""),AVERAGE(T116:V116),""),"")</f>
        <v/>
      </c>
      <c r="X116" s="66" t="str">
        <f aca="false">IF(NOT(T116=""),(T116-$W116)^2,"")</f>
        <v/>
      </c>
      <c r="Y116" s="66" t="str">
        <f aca="false">IF(NOT(U116=""),(U116-$W116)^2,"")</f>
        <v/>
      </c>
      <c r="Z116" s="66" t="str">
        <f aca="false">IF(NOT(V116=""),(V116-$W116)^2,"")</f>
        <v/>
      </c>
      <c r="AA116" s="0" t="str">
        <f aca="false">IF(COUNT(X116:Z116)&gt;0,SUM(X116:Z116)/COUNT(X116:Z116),"")</f>
        <v/>
      </c>
      <c r="AB116" s="0" t="str">
        <f aca="false">IF(NOT(AA116=""),SQRT(AA116),"")</f>
        <v/>
      </c>
      <c r="AD116" s="66" t="str">
        <f aca="false">IF(NOT(W116=""),W116-AG116,"")</f>
        <v/>
      </c>
      <c r="AE116" s="66" t="str">
        <f aca="false">IF(NOT(W116=""),W116+AG116,"")</f>
        <v/>
      </c>
      <c r="AF116" s="63"/>
      <c r="AG116" s="63"/>
      <c r="AH116" s="63"/>
    </row>
    <row r="117" customFormat="false" ht="12.8" hidden="false" customHeight="false" outlineLevel="0" collapsed="false">
      <c r="A117" s="56" t="s">
        <v>44</v>
      </c>
      <c r="B117" s="57" t="n">
        <v>30</v>
      </c>
      <c r="C117" s="56"/>
      <c r="D117" s="25"/>
      <c r="E117" s="77"/>
      <c r="F117" s="0" t="n">
        <v>5159</v>
      </c>
      <c r="G117" s="0" t="str">
        <f aca="false">IF(F117="", "", IF(C117="","", F117-C117))</f>
        <v/>
      </c>
      <c r="H117" s="0" t="str">
        <f aca="false">IF(F117="", "", IF(D117="","", F117-D117))</f>
        <v/>
      </c>
      <c r="I117" s="0" t="str">
        <f aca="false">IF(F117="", "", IF(E117="","", F117-E117))</f>
        <v/>
      </c>
      <c r="J117" s="66" t="str">
        <f aca="false">IF(SUM(C117:E117)&gt;0,AVERAGE(G117:I117),"")</f>
        <v/>
      </c>
      <c r="K117" s="66" t="str">
        <f aca="false">IF(NOT(G117=""),(G117-$J117)^2,"")</f>
        <v/>
      </c>
      <c r="L117" s="66" t="str">
        <f aca="false">IF(NOT(H117=""),(H117-$J117)^2,"")</f>
        <v/>
      </c>
      <c r="M117" s="66" t="str">
        <f aca="false">IF(NOT(I117=""),(I117-$J117)^2,"")</f>
        <v/>
      </c>
      <c r="N117" s="66" t="str">
        <f aca="false">IF(COUNT(K117:M117)&gt;0,SUM(K117:M117)/COUNT(K117:M117),"")</f>
        <v/>
      </c>
      <c r="O117" s="66" t="str">
        <f aca="false">IF(NOT(N117=""),SQRT(N117),"")</f>
        <v/>
      </c>
      <c r="P117" s="66" t="str">
        <f aca="false">IF(COUNT(K117:M117)&gt;0,VLOOKUP(COUNT(K117:M117),'t values'!$A$3:$C$5,3)*(O117/SQRT(COUNT(K117:M117))),"")</f>
        <v/>
      </c>
      <c r="Q117" s="66" t="str">
        <f aca="false">IF(NOT(P117=""),J117-P117,"")</f>
        <v/>
      </c>
      <c r="R117" s="66" t="str">
        <f aca="false">IF(NOT(P117=""),J117+P117,"")</f>
        <v/>
      </c>
      <c r="T117" s="0" t="str">
        <f aca="false">IF(S117="", "", IF(C117="","", S117-C117))</f>
        <v/>
      </c>
      <c r="U117" s="0" t="str">
        <f aca="false">IF($S117="", "", IF(D117="","", $S117-D117))</f>
        <v/>
      </c>
      <c r="V117" s="0" t="str">
        <f aca="false">IF($S117="", "", IF(E117="","", $S117-E117))</f>
        <v/>
      </c>
      <c r="W117" s="66" t="str">
        <f aca="false">IF(SUM($C117:$E117)&gt;0,IF(NOT(S117=""),AVERAGE(T117:V117),""),"")</f>
        <v/>
      </c>
      <c r="X117" s="66" t="str">
        <f aca="false">IF(NOT(T117=""),(T117-$W117)^2,"")</f>
        <v/>
      </c>
      <c r="Y117" s="66" t="str">
        <f aca="false">IF(NOT(U117=""),(U117-$W117)^2,"")</f>
        <v/>
      </c>
      <c r="Z117" s="66" t="str">
        <f aca="false">IF(NOT(V117=""),(V117-$W117)^2,"")</f>
        <v/>
      </c>
      <c r="AA117" s="0" t="str">
        <f aca="false">IF(COUNT(X117:Z117)&gt;0,SUM(X117:Z117)/COUNT(X117:Z117),"")</f>
        <v/>
      </c>
      <c r="AB117" s="0" t="str">
        <f aca="false">IF(NOT(AA117=""),SQRT(AA117),"")</f>
        <v/>
      </c>
      <c r="AD117" s="66" t="str">
        <f aca="false">IF(NOT(W117=""),W117-AG117,"")</f>
        <v/>
      </c>
      <c r="AE117" s="66" t="str">
        <f aca="false">IF(NOT(W117=""),W117+AG117,"")</f>
        <v/>
      </c>
      <c r="AF117" s="63"/>
      <c r="AG117" s="63"/>
      <c r="AH117" s="63"/>
    </row>
    <row r="118" customFormat="false" ht="12.8" hidden="false" customHeight="false" outlineLevel="0" collapsed="false">
      <c r="A118" s="56" t="s">
        <v>44</v>
      </c>
      <c r="B118" s="57" t="n">
        <v>40</v>
      </c>
      <c r="C118" s="56"/>
      <c r="D118" s="25"/>
      <c r="E118" s="77" t="n">
        <v>2649</v>
      </c>
      <c r="F118" s="0" t="n">
        <v>2586</v>
      </c>
      <c r="G118" s="0" t="str">
        <f aca="false">IF(F118="", "", IF(C118="","", F118-C118))</f>
        <v/>
      </c>
      <c r="H118" s="0" t="str">
        <f aca="false">IF(F118="", "", IF(D118="","", F118-D118))</f>
        <v/>
      </c>
      <c r="I118" s="0" t="n">
        <f aca="false">IF(F118="", "", IF(E118="","", F118-E118))</f>
        <v>-63</v>
      </c>
      <c r="J118" s="66" t="n">
        <f aca="false">IF(SUM(C118:E118)&gt;0,AVERAGE(G118:I118),"")</f>
        <v>-63</v>
      </c>
      <c r="K118" s="66" t="str">
        <f aca="false">IF(NOT(G118=""),(G118-$J118)^2,"")</f>
        <v/>
      </c>
      <c r="L118" s="66" t="str">
        <f aca="false">IF(NOT(H118=""),(H118-$J118)^2,"")</f>
        <v/>
      </c>
      <c r="M118" s="66" t="n">
        <f aca="false">IF(NOT(I118=""),(I118-$J118)^2,"")</f>
        <v>0</v>
      </c>
      <c r="N118" s="66" t="n">
        <f aca="false">IF(COUNT(K118:M118)&gt;0,SUM(K118:M118)/COUNT(K118:M118),"")</f>
        <v>0</v>
      </c>
      <c r="O118" s="66" t="n">
        <f aca="false">IF(NOT(N118=""),SQRT(N118),"")</f>
        <v>0</v>
      </c>
      <c r="P118" s="66" t="e">
        <f aca="false">IF(COUNT(K118:M118)&gt;0,VLOOKUP(COUNT(K118:M118),'t values'!$A$3:$C$5,3)*(O118/SQRT(COUNT(K118:M118))),"")</f>
        <v>#N/A</v>
      </c>
      <c r="Q118" s="66" t="e">
        <f aca="false">IF(NOT(P118=""),J118-P118,"")</f>
        <v>#N/A</v>
      </c>
      <c r="R118" s="66" t="e">
        <f aca="false">IF(NOT(P118=""),J118+P118,"")</f>
        <v>#N/A</v>
      </c>
      <c r="T118" s="0" t="str">
        <f aca="false">IF(S118="", "", IF(C118="","", S118-C118))</f>
        <v/>
      </c>
      <c r="U118" s="0" t="str">
        <f aca="false">IF($S118="", "", IF(D118="","", $S118-D118))</f>
        <v/>
      </c>
      <c r="V118" s="0" t="str">
        <f aca="false">IF($S118="", "", IF(E118="","", $S118-E118))</f>
        <v/>
      </c>
      <c r="W118" s="66" t="str">
        <f aca="false">IF(SUM($C118:$E118)&gt;0,IF(NOT(S118=""),AVERAGE(T118:V118),""),"")</f>
        <v/>
      </c>
      <c r="X118" s="66" t="str">
        <f aca="false">IF(NOT(T118=""),(T118-$W118)^2,"")</f>
        <v/>
      </c>
      <c r="Y118" s="66" t="str">
        <f aca="false">IF(NOT(U118=""),(U118-$W118)^2,"")</f>
        <v/>
      </c>
      <c r="Z118" s="66" t="str">
        <f aca="false">IF(NOT(V118=""),(V118-$W118)^2,"")</f>
        <v/>
      </c>
      <c r="AA118" s="0" t="str">
        <f aca="false">IF(COUNT(X118:Z118)&gt;0,SUM(X118:Z118)/COUNT(X118:Z118),"")</f>
        <v/>
      </c>
      <c r="AB118" s="0" t="str">
        <f aca="false">IF(NOT(AA118=""),SQRT(AA118),"")</f>
        <v/>
      </c>
      <c r="AD118" s="66" t="str">
        <f aca="false">IF(NOT(W118=""),W118-AG118,"")</f>
        <v/>
      </c>
      <c r="AE118" s="66" t="str">
        <f aca="false">IF(NOT(W118=""),W118+AG118,"")</f>
        <v/>
      </c>
      <c r="AF118" s="63" t="n">
        <v>0</v>
      </c>
      <c r="AG118" s="63"/>
      <c r="AH118" s="63"/>
    </row>
    <row r="119" customFormat="false" ht="12.8" hidden="false" customHeight="false" outlineLevel="0" collapsed="false">
      <c r="A119" s="56" t="s">
        <v>44</v>
      </c>
      <c r="B119" s="57" t="n">
        <v>50</v>
      </c>
      <c r="C119" s="56"/>
      <c r="D119" s="25"/>
      <c r="E119" s="77" t="n">
        <v>1861</v>
      </c>
      <c r="F119" s="0" t="n">
        <v>3200</v>
      </c>
      <c r="G119" s="0" t="str">
        <f aca="false">IF(F119="", "", IF(C119="","", F119-C119))</f>
        <v/>
      </c>
      <c r="H119" s="0" t="str">
        <f aca="false">IF(F119="", "", IF(D119="","", F119-D119))</f>
        <v/>
      </c>
      <c r="I119" s="0" t="n">
        <f aca="false">IF(F119="", "", IF(E119="","", F119-E119))</f>
        <v>1339</v>
      </c>
      <c r="J119" s="66" t="n">
        <f aca="false">IF(SUM(C119:E119)&gt;0,AVERAGE(G119:I119),"")</f>
        <v>1339</v>
      </c>
      <c r="K119" s="66" t="str">
        <f aca="false">IF(NOT(G119=""),(G119-$J119)^2,"")</f>
        <v/>
      </c>
      <c r="L119" s="66" t="str">
        <f aca="false">IF(NOT(H119=""),(H119-$J119)^2,"")</f>
        <v/>
      </c>
      <c r="M119" s="66" t="n">
        <f aca="false">IF(NOT(I119=""),(I119-$J119)^2,"")</f>
        <v>0</v>
      </c>
      <c r="N119" s="66" t="n">
        <f aca="false">IF(COUNT(K119:M119)&gt;0,SUM(K119:M119)/COUNT(K119:M119),"")</f>
        <v>0</v>
      </c>
      <c r="O119" s="66" t="n">
        <f aca="false">IF(NOT(N119=""),SQRT(N119),"")</f>
        <v>0</v>
      </c>
      <c r="P119" s="66" t="e">
        <f aca="false">IF(COUNT(K119:M119)&gt;0,VLOOKUP(COUNT(K119:M119),'t values'!$A$3:$C$5,3)*(O119/SQRT(COUNT(K119:M119))),"")</f>
        <v>#N/A</v>
      </c>
      <c r="Q119" s="66" t="e">
        <f aca="false">IF(NOT(P119=""),J119-P119,"")</f>
        <v>#N/A</v>
      </c>
      <c r="R119" s="66" t="e">
        <f aca="false">IF(NOT(P119=""),J119+P119,"")</f>
        <v>#N/A</v>
      </c>
      <c r="T119" s="0" t="str">
        <f aca="false">IF(S119="", "", IF(C119="","", S119-C119))</f>
        <v/>
      </c>
      <c r="U119" s="0" t="str">
        <f aca="false">IF($S119="", "", IF(D119="","", $S119-D119))</f>
        <v/>
      </c>
      <c r="V119" s="0" t="str">
        <f aca="false">IF($S119="", "", IF(E119="","", $S119-E119))</f>
        <v/>
      </c>
      <c r="W119" s="66" t="str">
        <f aca="false">IF(SUM($C119:$E119)&gt;0,IF(NOT(S119=""),AVERAGE(T119:V119),""),"")</f>
        <v/>
      </c>
      <c r="X119" s="66" t="str">
        <f aca="false">IF(NOT(T119=""),(T119-$W119)^2,"")</f>
        <v/>
      </c>
      <c r="Y119" s="66" t="str">
        <f aca="false">IF(NOT(U119=""),(U119-$W119)^2,"")</f>
        <v/>
      </c>
      <c r="Z119" s="66" t="str">
        <f aca="false">IF(NOT(V119=""),(V119-$W119)^2,"")</f>
        <v/>
      </c>
      <c r="AA119" s="0" t="str">
        <f aca="false">IF(COUNT(X119:Z119)&gt;0,SUM(X119:Z119)/COUNT(X119:Z119),"")</f>
        <v/>
      </c>
      <c r="AB119" s="0" t="str">
        <f aca="false">IF(NOT(AA119=""),SQRT(AA119),"")</f>
        <v/>
      </c>
      <c r="AD119" s="66" t="str">
        <f aca="false">IF(NOT(W119=""),W119-AG119,"")</f>
        <v/>
      </c>
      <c r="AE119" s="66" t="str">
        <f aca="false">IF(NOT(W119=""),W119+AG119,"")</f>
        <v/>
      </c>
      <c r="AF119" s="63" t="n">
        <v>0</v>
      </c>
      <c r="AG119" s="63"/>
      <c r="AH119" s="63"/>
    </row>
    <row r="120" customFormat="false" ht="12.8" hidden="false" customHeight="false" outlineLevel="0" collapsed="false">
      <c r="A120" s="56" t="s">
        <v>44</v>
      </c>
      <c r="B120" s="57" t="n">
        <v>64</v>
      </c>
      <c r="C120" s="56" t="n">
        <v>1786</v>
      </c>
      <c r="D120" s="25"/>
      <c r="E120" s="77"/>
      <c r="F120" s="0" t="n">
        <v>3168</v>
      </c>
      <c r="G120" s="0" t="n">
        <f aca="false">IF(F120="", "", IF(C120="","", F120-C120))</f>
        <v>1382</v>
      </c>
      <c r="H120" s="0" t="str">
        <f aca="false">IF(F120="", "", IF(D120="","", F120-D120))</f>
        <v/>
      </c>
      <c r="I120" s="0" t="str">
        <f aca="false">IF(F120="", "", IF(E120="","", F120-E120))</f>
        <v/>
      </c>
      <c r="J120" s="66" t="n">
        <f aca="false">IF(SUM(C120:E120)&gt;0,AVERAGE(G120:I120),"")</f>
        <v>1382</v>
      </c>
      <c r="K120" s="66" t="n">
        <f aca="false">IF(NOT(G120=""),(G120-$J120)^2,"")</f>
        <v>0</v>
      </c>
      <c r="L120" s="66" t="str">
        <f aca="false">IF(NOT(H120=""),(H120-$J120)^2,"")</f>
        <v/>
      </c>
      <c r="M120" s="66" t="str">
        <f aca="false">IF(NOT(I120=""),(I120-$J120)^2,"")</f>
        <v/>
      </c>
      <c r="N120" s="66" t="n">
        <f aca="false">IF(COUNT(K120:M120)&gt;0,SUM(K120:M120)/COUNT(K120:M120),"")</f>
        <v>0</v>
      </c>
      <c r="O120" s="66" t="n">
        <f aca="false">IF(NOT(N120=""),SQRT(N120),"")</f>
        <v>0</v>
      </c>
      <c r="P120" s="66" t="e">
        <f aca="false">IF(COUNT(K120:M120)&gt;0,VLOOKUP(COUNT(K120:M120),'t values'!$A$3:$C$5,3)*(O120/SQRT(COUNT(K120:M120))),"")</f>
        <v>#N/A</v>
      </c>
      <c r="Q120" s="66" t="e">
        <f aca="false">IF(NOT(P120=""),J120-P120,"")</f>
        <v>#N/A</v>
      </c>
      <c r="R120" s="66" t="e">
        <f aca="false">IF(NOT(P120=""),J120+P120,"")</f>
        <v>#N/A</v>
      </c>
      <c r="T120" s="0" t="str">
        <f aca="false">IF(S120="", "", IF(C120="","", S120-C120))</f>
        <v/>
      </c>
      <c r="U120" s="0" t="str">
        <f aca="false">IF($S120="", "", IF(D120="","", $S120-D120))</f>
        <v/>
      </c>
      <c r="V120" s="0" t="str">
        <f aca="false">IF($S120="", "", IF(E120="","", $S120-E120))</f>
        <v/>
      </c>
      <c r="W120" s="66" t="str">
        <f aca="false">IF(SUM($C120:$E120)&gt;0,IF(NOT(S120=""),AVERAGE(T120:V120),""),"")</f>
        <v/>
      </c>
      <c r="X120" s="66" t="str">
        <f aca="false">IF(NOT(T120=""),(T120-$W120)^2,"")</f>
        <v/>
      </c>
      <c r="Y120" s="66" t="str">
        <f aca="false">IF(NOT(U120=""),(U120-$W120)^2,"")</f>
        <v/>
      </c>
      <c r="Z120" s="66" t="str">
        <f aca="false">IF(NOT(V120=""),(V120-$W120)^2,"")</f>
        <v/>
      </c>
      <c r="AA120" s="0" t="str">
        <f aca="false">IF(COUNT(X120:Z120)&gt;0,SUM(X120:Z120)/COUNT(X120:Z120),"")</f>
        <v/>
      </c>
      <c r="AB120" s="0" t="str">
        <f aca="false">IF(NOT(AA120=""),SQRT(AA120),"")</f>
        <v/>
      </c>
      <c r="AD120" s="66" t="str">
        <f aca="false">IF(NOT(W120=""),W120-AG120,"")</f>
        <v/>
      </c>
      <c r="AE120" s="66" t="str">
        <f aca="false">IF(NOT(W120=""),W120+AG120,"")</f>
        <v/>
      </c>
      <c r="AF120" s="63" t="n">
        <v>0</v>
      </c>
      <c r="AG120" s="63"/>
      <c r="AH120" s="63"/>
    </row>
    <row r="121" customFormat="false" ht="12.8" hidden="false" customHeight="false" outlineLevel="0" collapsed="false">
      <c r="A121" s="56" t="s">
        <v>44</v>
      </c>
      <c r="B121" s="57" t="n">
        <v>82</v>
      </c>
      <c r="C121" s="56" t="n">
        <v>1057</v>
      </c>
      <c r="D121" s="25"/>
      <c r="E121" s="77" t="n">
        <v>1150</v>
      </c>
      <c r="F121" s="0" t="n">
        <v>2839</v>
      </c>
      <c r="G121" s="0" t="n">
        <f aca="false">IF(F121="", "", IF(C121="","", F121-C121))</f>
        <v>1782</v>
      </c>
      <c r="H121" s="0" t="str">
        <f aca="false">IF(F121="", "", IF(D121="","", F121-D121))</f>
        <v/>
      </c>
      <c r="I121" s="0" t="n">
        <f aca="false">IF(F121="", "", IF(E121="","", F121-E121))</f>
        <v>1689</v>
      </c>
      <c r="J121" s="66" t="n">
        <f aca="false">IF(SUM(C121:E121)&gt;0,AVERAGE(G121:I121),"")</f>
        <v>1735.5</v>
      </c>
      <c r="K121" s="66" t="n">
        <f aca="false">IF(NOT(G121=""),(G121-$J121)^2,"")</f>
        <v>2162.25</v>
      </c>
      <c r="L121" s="66" t="str">
        <f aca="false">IF(NOT(H121=""),(H121-$J121)^2,"")</f>
        <v/>
      </c>
      <c r="M121" s="66" t="n">
        <f aca="false">IF(NOT(I121=""),(I121-$J121)^2,"")</f>
        <v>2162.25</v>
      </c>
      <c r="N121" s="66" t="n">
        <f aca="false">IF(COUNT(K121:M121)&gt;0,SUM(K121:M121)/COUNT(K121:M121),"")</f>
        <v>2162.25</v>
      </c>
      <c r="O121" s="66" t="n">
        <f aca="false">IF(NOT(N121=""),SQRT(N121),"")</f>
        <v>46.5</v>
      </c>
      <c r="P121" s="66" t="n">
        <f aca="false">IF(COUNT(K121:M121)&gt;0,VLOOKUP(COUNT(K121:M121),'t values'!$A$3:$C$5,3)*(O121/SQRT(COUNT(K121:M121))),"")</f>
        <v>417.779192421667</v>
      </c>
      <c r="Q121" s="66" t="n">
        <f aca="false">IF(NOT(P121=""),J121-P121,"")</f>
        <v>1317.72080757833</v>
      </c>
      <c r="R121" s="66" t="n">
        <f aca="false">IF(NOT(P121=""),J121+P121,"")</f>
        <v>2153.27919242167</v>
      </c>
      <c r="T121" s="0" t="str">
        <f aca="false">IF(S121="", "", IF(C121="","", S121-C121))</f>
        <v/>
      </c>
      <c r="U121" s="0" t="str">
        <f aca="false">IF($S121="", "", IF(D121="","", $S121-D121))</f>
        <v/>
      </c>
      <c r="V121" s="0" t="str">
        <f aca="false">IF($S121="", "", IF(E121="","", $S121-E121))</f>
        <v/>
      </c>
      <c r="W121" s="66" t="str">
        <f aca="false">IF(SUM($C121:$E121)&gt;0,IF(NOT(S121=""),AVERAGE(T121:V121),""),"")</f>
        <v/>
      </c>
      <c r="X121" s="66" t="str">
        <f aca="false">IF(NOT(T121=""),(T121-$W121)^2,"")</f>
        <v/>
      </c>
      <c r="Y121" s="66" t="str">
        <f aca="false">IF(NOT(U121=""),(U121-$W121)^2,"")</f>
        <v/>
      </c>
      <c r="Z121" s="66" t="str">
        <f aca="false">IF(NOT(V121=""),(V121-$W121)^2,"")</f>
        <v/>
      </c>
      <c r="AA121" s="0" t="str">
        <f aca="false">IF(COUNT(X121:Z121)&gt;0,SUM(X121:Z121)/COUNT(X121:Z121),"")</f>
        <v/>
      </c>
      <c r="AB121" s="0" t="str">
        <f aca="false">IF(NOT(AA121=""),SQRT(AA121),"")</f>
        <v/>
      </c>
      <c r="AD121" s="66" t="str">
        <f aca="false">IF(NOT(W121=""),W121-AG121,"")</f>
        <v/>
      </c>
      <c r="AE121" s="66" t="str">
        <f aca="false">IF(NOT(W121=""),W121+AG121,"")</f>
        <v/>
      </c>
      <c r="AF121" s="63" t="n">
        <v>46.5</v>
      </c>
      <c r="AG121" s="63" t="n">
        <v>418</v>
      </c>
      <c r="AH121" s="63"/>
    </row>
    <row r="122" customFormat="false" ht="12.8" hidden="false" customHeight="false" outlineLevel="0" collapsed="false">
      <c r="A122" s="56" t="s">
        <v>44</v>
      </c>
      <c r="B122" s="57" t="n">
        <v>100</v>
      </c>
      <c r="C122" s="56" t="n">
        <v>929</v>
      </c>
      <c r="D122" s="25"/>
      <c r="E122" s="77" t="n">
        <v>900</v>
      </c>
      <c r="F122" s="0" t="n">
        <v>1179</v>
      </c>
      <c r="G122" s="0" t="n">
        <f aca="false">IF(F122="", "", IF(C122="","", F122-C122))</f>
        <v>250</v>
      </c>
      <c r="H122" s="0" t="str">
        <f aca="false">IF(F122="", "", IF(D122="","", F122-D122))</f>
        <v/>
      </c>
      <c r="I122" s="0" t="n">
        <f aca="false">IF(F122="", "", IF(E122="","", F122-E122))</f>
        <v>279</v>
      </c>
      <c r="J122" s="66" t="n">
        <f aca="false">IF(SUM(C122:E122)&gt;0,AVERAGE(G122:I122),"")</f>
        <v>264.5</v>
      </c>
      <c r="K122" s="66" t="n">
        <f aca="false">IF(NOT(G122=""),(G122-$J122)^2,"")</f>
        <v>210.25</v>
      </c>
      <c r="L122" s="66" t="str">
        <f aca="false">IF(NOT(H122=""),(H122-$J122)^2,"")</f>
        <v/>
      </c>
      <c r="M122" s="66" t="n">
        <f aca="false">IF(NOT(I122=""),(I122-$J122)^2,"")</f>
        <v>210.25</v>
      </c>
      <c r="N122" s="66" t="n">
        <f aca="false">IF(COUNT(K122:M122)&gt;0,SUM(K122:M122)/COUNT(K122:M122),"")</f>
        <v>210.25</v>
      </c>
      <c r="O122" s="66" t="n">
        <f aca="false">IF(NOT(N122=""),SQRT(N122),"")</f>
        <v>14.5</v>
      </c>
      <c r="P122" s="66" t="n">
        <f aca="false">IF(COUNT(K122:M122)&gt;0,VLOOKUP(COUNT(K122:M122),'t values'!$A$3:$C$5,3)*(O122/SQRT(COUNT(K122:M122))),"")</f>
        <v>130.275232045466</v>
      </c>
      <c r="Q122" s="66" t="n">
        <f aca="false">IF(NOT(P122=""),J122-P122,"")</f>
        <v>134.224767954534</v>
      </c>
      <c r="R122" s="66" t="n">
        <f aca="false">IF(NOT(P122=""),J122+P122,"")</f>
        <v>394.775232045466</v>
      </c>
      <c r="T122" s="0" t="str">
        <f aca="false">IF(S122="", "", IF(C122="","", S122-C122))</f>
        <v/>
      </c>
      <c r="U122" s="0" t="str">
        <f aca="false">IF($S122="", "", IF(D122="","", $S122-D122))</f>
        <v/>
      </c>
      <c r="V122" s="0" t="str">
        <f aca="false">IF($S122="", "", IF(E122="","", $S122-E122))</f>
        <v/>
      </c>
      <c r="W122" s="66" t="str">
        <f aca="false">IF(SUM($C122:$E122)&gt;0,IF(NOT(S122=""),AVERAGE(T122:V122),""),"")</f>
        <v/>
      </c>
      <c r="X122" s="66" t="str">
        <f aca="false">IF(NOT(T122=""),(T122-$W122)^2,"")</f>
        <v/>
      </c>
      <c r="Y122" s="66" t="str">
        <f aca="false">IF(NOT(U122=""),(U122-$W122)^2,"")</f>
        <v/>
      </c>
      <c r="Z122" s="66" t="str">
        <f aca="false">IF(NOT(V122=""),(V122-$W122)^2,"")</f>
        <v/>
      </c>
      <c r="AA122" s="0" t="str">
        <f aca="false">IF(COUNT(X122:Z122)&gt;0,SUM(X122:Z122)/COUNT(X122:Z122),"")</f>
        <v/>
      </c>
      <c r="AB122" s="0" t="str">
        <f aca="false">IF(NOT(AA122=""),SQRT(AA122),"")</f>
        <v/>
      </c>
      <c r="AD122" s="66" t="str">
        <f aca="false">IF(NOT(W122=""),W122-AG122,"")</f>
        <v/>
      </c>
      <c r="AE122" s="66" t="str">
        <f aca="false">IF(NOT(W122=""),W122+AG122,"")</f>
        <v/>
      </c>
      <c r="AF122" s="63" t="n">
        <v>14.5</v>
      </c>
      <c r="AG122" s="63" t="n">
        <v>130</v>
      </c>
      <c r="AH122" s="63"/>
    </row>
    <row r="123" customFormat="false" ht="12.8" hidden="false" customHeight="false" outlineLevel="0" collapsed="false">
      <c r="A123" s="56" t="s">
        <v>46</v>
      </c>
      <c r="B123" s="57" t="n">
        <v>5</v>
      </c>
      <c r="C123" s="56" t="n">
        <v>724</v>
      </c>
      <c r="D123" s="25" t="n">
        <v>866</v>
      </c>
      <c r="E123" s="77" t="n">
        <v>733</v>
      </c>
      <c r="F123" s="0" t="n">
        <v>737</v>
      </c>
      <c r="G123" s="0" t="n">
        <f aca="false">IF(F123="", "", IF(C123="","", F123-C123))</f>
        <v>13</v>
      </c>
      <c r="H123" s="0" t="n">
        <f aca="false">IF(F123="", "", IF(D123="","", F123-D123))</f>
        <v>-129</v>
      </c>
      <c r="I123" s="0" t="n">
        <f aca="false">IF(F123="", "", IF(E123="","", F123-E123))</f>
        <v>4</v>
      </c>
      <c r="J123" s="66" t="n">
        <f aca="false">IF(SUM(C123:E123)&gt;0,AVERAGE(G123:I123),"")</f>
        <v>-37.3333333333333</v>
      </c>
      <c r="K123" s="66" t="n">
        <f aca="false">IF(NOT(G123=""),(G123-$J123)^2,"")</f>
        <v>2533.44444444445</v>
      </c>
      <c r="L123" s="66" t="n">
        <f aca="false">IF(NOT(H123=""),(H123-$J123)^2,"")</f>
        <v>8402.77777777778</v>
      </c>
      <c r="M123" s="66" t="n">
        <f aca="false">IF(NOT(I123=""),(I123-$J123)^2,"")</f>
        <v>1708.44444444444</v>
      </c>
      <c r="N123" s="66" t="n">
        <f aca="false">IF(COUNT(K123:M123)&gt;0,SUM(K123:M123)/COUNT(K123:M123),"")</f>
        <v>4214.88888888889</v>
      </c>
      <c r="O123" s="66" t="n">
        <f aca="false">IF(NOT(N123=""),SQRT(N123),"")</f>
        <v>64.9221756327442</v>
      </c>
      <c r="P123" s="66" t="n">
        <f aca="false">IF(COUNT(K123:M123)&gt;0,VLOOKUP(COUNT(K123:M123),'t values'!$A$3:$C$5,3)*(O123/SQRT(COUNT(K123:M123))),"")</f>
        <v>161.28864149188</v>
      </c>
      <c r="Q123" s="66" t="n">
        <f aca="false">IF(NOT(P123=""),J123-P123,"")</f>
        <v>-198.621974825214</v>
      </c>
      <c r="R123" s="66" t="n">
        <f aca="false">IF(NOT(P123=""),J123+P123,"")</f>
        <v>123.955308158547</v>
      </c>
      <c r="S123" s="0" t="n">
        <v>874</v>
      </c>
      <c r="T123" s="0" t="n">
        <f aca="false">IF(S123="", "", IF(C123="","", S123-C123))</f>
        <v>150</v>
      </c>
      <c r="U123" s="0" t="n">
        <f aca="false">IF($S123="", "", IF(D123="","", $S123-D123))</f>
        <v>8</v>
      </c>
      <c r="V123" s="0" t="n">
        <f aca="false">IF($S123="", "", IF(E123="","", $S123-E123))</f>
        <v>141</v>
      </c>
      <c r="W123" s="66" t="n">
        <f aca="false">IF(SUM($C123:$E123)&gt;0,IF(NOT(S123=""),AVERAGE(T123:V123),""),"")</f>
        <v>99.6666666666667</v>
      </c>
      <c r="X123" s="66" t="n">
        <f aca="false">IF(NOT(T123=""),(T123-$W123)^2,"")</f>
        <v>2533.44444444444</v>
      </c>
      <c r="Y123" s="66" t="n">
        <f aca="false">IF(NOT(U123=""),(U123-$W123)^2,"")</f>
        <v>8402.77777777778</v>
      </c>
      <c r="Z123" s="66" t="n">
        <f aca="false">IF(NOT(V123=""),(V123-$W123)^2,"")</f>
        <v>1708.44444444444</v>
      </c>
      <c r="AA123" s="0" t="n">
        <f aca="false">IF(COUNT(X123:Z123)&gt;0,SUM(X123:Z123)/COUNT(X123:Z123),"")</f>
        <v>4214.88888888889</v>
      </c>
      <c r="AB123" s="0" t="n">
        <f aca="false">IF(NOT(AA123=""),SQRT(AA123),"")</f>
        <v>64.9221756327442</v>
      </c>
      <c r="AD123" s="66" t="n">
        <f aca="false">IF(NOT(W123=""),W123-AG123,"")</f>
        <v>-61.3333333333333</v>
      </c>
      <c r="AE123" s="66" t="n">
        <f aca="false">IF(NOT(W123=""),W123+AG123,"")</f>
        <v>260.666666666667</v>
      </c>
      <c r="AF123" s="63" t="n">
        <v>64.9221756327442</v>
      </c>
      <c r="AG123" s="63" t="n">
        <v>161</v>
      </c>
      <c r="AH123" s="63"/>
    </row>
    <row r="124" customFormat="false" ht="12.8" hidden="false" customHeight="false" outlineLevel="0" collapsed="false">
      <c r="A124" s="56" t="s">
        <v>46</v>
      </c>
      <c r="B124" s="57" t="n">
        <v>10</v>
      </c>
      <c r="C124" s="56" t="n">
        <v>372</v>
      </c>
      <c r="D124" s="25" t="n">
        <v>371</v>
      </c>
      <c r="E124" s="77" t="n">
        <v>415</v>
      </c>
      <c r="F124" s="0" t="n">
        <v>475</v>
      </c>
      <c r="G124" s="0" t="n">
        <f aca="false">IF(F124="", "", IF(C124="","", F124-C124))</f>
        <v>103</v>
      </c>
      <c r="H124" s="0" t="n">
        <f aca="false">IF(F124="", "", IF(D124="","", F124-D124))</f>
        <v>104</v>
      </c>
      <c r="I124" s="0" t="n">
        <f aca="false">IF(F124="", "", IF(E124="","", F124-E124))</f>
        <v>60</v>
      </c>
      <c r="J124" s="66" t="n">
        <f aca="false">IF(SUM(C124:E124)&gt;0,AVERAGE(G124:I124),"")</f>
        <v>89</v>
      </c>
      <c r="K124" s="66" t="n">
        <f aca="false">IF(NOT(G124=""),(G124-$J124)^2,"")</f>
        <v>196</v>
      </c>
      <c r="L124" s="66" t="n">
        <f aca="false">IF(NOT(H124=""),(H124-$J124)^2,"")</f>
        <v>225</v>
      </c>
      <c r="M124" s="66" t="n">
        <f aca="false">IF(NOT(I124=""),(I124-$J124)^2,"")</f>
        <v>841</v>
      </c>
      <c r="N124" s="66" t="n">
        <f aca="false">IF(COUNT(K124:M124)&gt;0,SUM(K124:M124)/COUNT(K124:M124),"")</f>
        <v>420.666666666667</v>
      </c>
      <c r="O124" s="66" t="n">
        <f aca="false">IF(NOT(N124=""),SQRT(N124),"")</f>
        <v>20.5101600838869</v>
      </c>
      <c r="P124" s="66" t="n">
        <f aca="false">IF(COUNT(K124:M124)&gt;0,VLOOKUP(COUNT(K124:M124),'t values'!$A$3:$C$5,3)*(O124/SQRT(COUNT(K124:M124))),"")</f>
        <v>50.9541743552206</v>
      </c>
      <c r="Q124" s="66" t="n">
        <f aca="false">IF(NOT(P124=""),J124-P124,"")</f>
        <v>38.0458256447794</v>
      </c>
      <c r="R124" s="66" t="n">
        <f aca="false">IF(NOT(P124=""),J124+P124,"")</f>
        <v>139.954174355221</v>
      </c>
      <c r="S124" s="0" t="n">
        <v>641</v>
      </c>
      <c r="T124" s="0" t="n">
        <f aca="false">IF(S124="", "", IF(C124="","", S124-C124))</f>
        <v>269</v>
      </c>
      <c r="U124" s="0" t="n">
        <f aca="false">IF($S124="", "", IF(D124="","", $S124-D124))</f>
        <v>270</v>
      </c>
      <c r="V124" s="0" t="n">
        <f aca="false">IF($S124="", "", IF(E124="","", $S124-E124))</f>
        <v>226</v>
      </c>
      <c r="W124" s="66" t="n">
        <f aca="false">IF(SUM($C124:$E124)&gt;0,IF(NOT(S124=""),AVERAGE(T124:V124),""),"")</f>
        <v>255</v>
      </c>
      <c r="X124" s="66" t="n">
        <f aca="false">IF(NOT(T124=""),(T124-$W124)^2,"")</f>
        <v>196</v>
      </c>
      <c r="Y124" s="66" t="n">
        <f aca="false">IF(NOT(U124=""),(U124-$W124)^2,"")</f>
        <v>225</v>
      </c>
      <c r="Z124" s="66" t="n">
        <f aca="false">IF(NOT(V124=""),(V124-$W124)^2,"")</f>
        <v>841</v>
      </c>
      <c r="AA124" s="0" t="n">
        <f aca="false">IF(COUNT(X124:Z124)&gt;0,SUM(X124:Z124)/COUNT(X124:Z124),"")</f>
        <v>420.666666666667</v>
      </c>
      <c r="AB124" s="0" t="n">
        <f aca="false">IF(NOT(AA124=""),SQRT(AA124),"")</f>
        <v>20.5101600838869</v>
      </c>
      <c r="AD124" s="66" t="n">
        <f aca="false">IF(NOT(W124=""),W124-AG124,"")</f>
        <v>204</v>
      </c>
      <c r="AE124" s="66" t="n">
        <f aca="false">IF(NOT(W124=""),W124+AG124,"")</f>
        <v>306</v>
      </c>
      <c r="AF124" s="63" t="n">
        <v>20.5101600838869</v>
      </c>
      <c r="AG124" s="63" t="n">
        <v>51</v>
      </c>
      <c r="AH124" s="63"/>
    </row>
    <row r="125" customFormat="false" ht="12.8" hidden="false" customHeight="false" outlineLevel="0" collapsed="false">
      <c r="A125" s="56" t="s">
        <v>46</v>
      </c>
      <c r="B125" s="57" t="n">
        <v>15</v>
      </c>
      <c r="C125" s="56" t="n">
        <v>259</v>
      </c>
      <c r="D125" s="25" t="n">
        <v>326</v>
      </c>
      <c r="E125" s="77" t="n">
        <v>288</v>
      </c>
      <c r="F125" s="0" t="n">
        <v>270</v>
      </c>
      <c r="G125" s="0" t="n">
        <f aca="false">IF(F125="", "", IF(C125="","", F125-C125))</f>
        <v>11</v>
      </c>
      <c r="H125" s="0" t="n">
        <f aca="false">IF(F125="", "", IF(D125="","", F125-D125))</f>
        <v>-56</v>
      </c>
      <c r="I125" s="0" t="n">
        <f aca="false">IF(F125="", "", IF(E125="","", F125-E125))</f>
        <v>-18</v>
      </c>
      <c r="J125" s="66" t="n">
        <f aca="false">IF(SUM(C125:E125)&gt;0,AVERAGE(G125:I125),"")</f>
        <v>-21</v>
      </c>
      <c r="K125" s="66" t="n">
        <f aca="false">IF(NOT(G125=""),(G125-$J125)^2,"")</f>
        <v>1024</v>
      </c>
      <c r="L125" s="66" t="n">
        <f aca="false">IF(NOT(H125=""),(H125-$J125)^2,"")</f>
        <v>1225</v>
      </c>
      <c r="M125" s="66" t="n">
        <f aca="false">IF(NOT(I125=""),(I125-$J125)^2,"")</f>
        <v>9</v>
      </c>
      <c r="N125" s="66" t="n">
        <f aca="false">IF(COUNT(K125:M125)&gt;0,SUM(K125:M125)/COUNT(K125:M125),"")</f>
        <v>752.666666666667</v>
      </c>
      <c r="O125" s="66" t="n">
        <f aca="false">IF(NOT(N125=""),SQRT(N125),"")</f>
        <v>27.4347711247363</v>
      </c>
      <c r="P125" s="66" t="n">
        <f aca="false">IF(COUNT(K125:M125)&gt;0,VLOOKUP(COUNT(K125:M125),'t values'!$A$3:$C$5,3)*(O125/SQRT(COUNT(K125:M125))),"")</f>
        <v>68.157250141778</v>
      </c>
      <c r="Q125" s="66" t="n">
        <f aca="false">IF(NOT(P125=""),J125-P125,"")</f>
        <v>-89.157250141778</v>
      </c>
      <c r="R125" s="66" t="n">
        <f aca="false">IF(NOT(P125=""),J125+P125,"")</f>
        <v>47.157250141778</v>
      </c>
      <c r="S125" s="0" t="n">
        <v>434</v>
      </c>
      <c r="T125" s="0" t="n">
        <f aca="false">IF(S125="", "", IF(C125="","", S125-C125))</f>
        <v>175</v>
      </c>
      <c r="U125" s="0" t="n">
        <f aca="false">IF($S125="", "", IF(D125="","", $S125-D125))</f>
        <v>108</v>
      </c>
      <c r="V125" s="0" t="n">
        <f aca="false">IF($S125="", "", IF(E125="","", $S125-E125))</f>
        <v>146</v>
      </c>
      <c r="W125" s="66" t="n">
        <f aca="false">IF(SUM($C125:$E125)&gt;0,IF(NOT(S125=""),AVERAGE(T125:V125),""),"")</f>
        <v>143</v>
      </c>
      <c r="X125" s="66" t="n">
        <f aca="false">IF(NOT(T125=""),(T125-$W125)^2,"")</f>
        <v>1024</v>
      </c>
      <c r="Y125" s="66" t="n">
        <f aca="false">IF(NOT(U125=""),(U125-$W125)^2,"")</f>
        <v>1225</v>
      </c>
      <c r="Z125" s="66" t="n">
        <f aca="false">IF(NOT(V125=""),(V125-$W125)^2,"")</f>
        <v>9</v>
      </c>
      <c r="AA125" s="0" t="n">
        <f aca="false">IF(COUNT(X125:Z125)&gt;0,SUM(X125:Z125)/COUNT(X125:Z125),"")</f>
        <v>752.666666666667</v>
      </c>
      <c r="AB125" s="0" t="n">
        <f aca="false">IF(NOT(AA125=""),SQRT(AA125),"")</f>
        <v>27.4347711247363</v>
      </c>
      <c r="AD125" s="66" t="n">
        <f aca="false">IF(NOT(W125=""),W125-AG125,"")</f>
        <v>75</v>
      </c>
      <c r="AE125" s="66" t="n">
        <f aca="false">IF(NOT(W125=""),W125+AG125,"")</f>
        <v>211</v>
      </c>
      <c r="AF125" s="63" t="n">
        <v>27.4347711247363</v>
      </c>
      <c r="AG125" s="63" t="n">
        <v>68</v>
      </c>
      <c r="AH125" s="63"/>
    </row>
    <row r="126" customFormat="false" ht="12.8" hidden="false" customHeight="false" outlineLevel="0" collapsed="false">
      <c r="A126" s="56" t="s">
        <v>46</v>
      </c>
      <c r="B126" s="57" t="n">
        <v>20</v>
      </c>
      <c r="C126" s="56" t="n">
        <v>217</v>
      </c>
      <c r="D126" s="25" t="n">
        <v>224</v>
      </c>
      <c r="E126" s="77" t="n">
        <v>219</v>
      </c>
      <c r="F126" s="0" t="n">
        <v>303</v>
      </c>
      <c r="G126" s="0" t="n">
        <f aca="false">IF(F126="", "", IF(C126="","", F126-C126))</f>
        <v>86</v>
      </c>
      <c r="H126" s="0" t="n">
        <f aca="false">IF(F126="", "", IF(D126="","", F126-D126))</f>
        <v>79</v>
      </c>
      <c r="I126" s="0" t="n">
        <f aca="false">IF(F126="", "", IF(E126="","", F126-E126))</f>
        <v>84</v>
      </c>
      <c r="J126" s="66" t="n">
        <f aca="false">IF(SUM(C126:E126)&gt;0,AVERAGE(G126:I126),"")</f>
        <v>83</v>
      </c>
      <c r="K126" s="66" t="n">
        <f aca="false">IF(NOT(G126=""),(G126-$J126)^2,"")</f>
        <v>9</v>
      </c>
      <c r="L126" s="66" t="n">
        <f aca="false">IF(NOT(H126=""),(H126-$J126)^2,"")</f>
        <v>16</v>
      </c>
      <c r="M126" s="66" t="n">
        <f aca="false">IF(NOT(I126=""),(I126-$J126)^2,"")</f>
        <v>1</v>
      </c>
      <c r="N126" s="66" t="n">
        <f aca="false">IF(COUNT(K126:M126)&gt;0,SUM(K126:M126)/COUNT(K126:M126),"")</f>
        <v>8.66666666666667</v>
      </c>
      <c r="O126" s="66" t="n">
        <f aca="false">IF(NOT(N126=""),SQRT(N126),"")</f>
        <v>2.94392028877595</v>
      </c>
      <c r="P126" s="66" t="n">
        <f aca="false">IF(COUNT(K126:M126)&gt;0,VLOOKUP(COUNT(K126:M126),'t values'!$A$3:$C$5,3)*(O126/SQRT(COUNT(K126:M126))),"")</f>
        <v>7.31369365566325</v>
      </c>
      <c r="Q126" s="66" t="n">
        <f aca="false">IF(NOT(P126=""),J126-P126,"")</f>
        <v>75.6863063443367</v>
      </c>
      <c r="R126" s="66" t="n">
        <f aca="false">IF(NOT(P126=""),J126+P126,"")</f>
        <v>90.3136936556633</v>
      </c>
      <c r="S126" s="0" t="n">
        <v>427</v>
      </c>
      <c r="T126" s="0" t="n">
        <f aca="false">IF(S126="", "", IF(C126="","", S126-C126))</f>
        <v>210</v>
      </c>
      <c r="U126" s="0" t="n">
        <f aca="false">IF($S126="", "", IF(D126="","", $S126-D126))</f>
        <v>203</v>
      </c>
      <c r="V126" s="0" t="n">
        <f aca="false">IF($S126="", "", IF(E126="","", $S126-E126))</f>
        <v>208</v>
      </c>
      <c r="W126" s="66" t="n">
        <f aca="false">IF(SUM($C126:$E126)&gt;0,IF(NOT(S126=""),AVERAGE(T126:V126),""),"")</f>
        <v>207</v>
      </c>
      <c r="X126" s="66" t="n">
        <f aca="false">IF(NOT(T126=""),(T126-$W126)^2,"")</f>
        <v>9</v>
      </c>
      <c r="Y126" s="66" t="n">
        <f aca="false">IF(NOT(U126=""),(U126-$W126)^2,"")</f>
        <v>16</v>
      </c>
      <c r="Z126" s="66" t="n">
        <f aca="false">IF(NOT(V126=""),(V126-$W126)^2,"")</f>
        <v>1</v>
      </c>
      <c r="AA126" s="0" t="n">
        <f aca="false">IF(COUNT(X126:Z126)&gt;0,SUM(X126:Z126)/COUNT(X126:Z126),"")</f>
        <v>8.66666666666667</v>
      </c>
      <c r="AB126" s="0" t="n">
        <f aca="false">IF(NOT(AA126=""),SQRT(AA126),"")</f>
        <v>2.94392028877595</v>
      </c>
      <c r="AD126" s="66" t="n">
        <f aca="false">IF(NOT(W126=""),W126-AG126,"")</f>
        <v>200</v>
      </c>
      <c r="AE126" s="66" t="n">
        <f aca="false">IF(NOT(W126=""),W126+AG126,"")</f>
        <v>214</v>
      </c>
      <c r="AF126" s="63" t="n">
        <v>2.94392028877595</v>
      </c>
      <c r="AG126" s="63" t="n">
        <v>7</v>
      </c>
      <c r="AH126" s="63"/>
    </row>
    <row r="127" customFormat="false" ht="12.8" hidden="false" customHeight="false" outlineLevel="0" collapsed="false">
      <c r="A127" s="56" t="s">
        <v>46</v>
      </c>
      <c r="B127" s="57" t="n">
        <v>30</v>
      </c>
      <c r="C127" s="56" t="n">
        <v>151</v>
      </c>
      <c r="D127" s="25" t="n">
        <v>179</v>
      </c>
      <c r="E127" s="77" t="n">
        <v>177</v>
      </c>
      <c r="F127" s="0" t="n">
        <v>262</v>
      </c>
      <c r="G127" s="0" t="n">
        <f aca="false">IF(F127="", "", IF(C127="","", F127-C127))</f>
        <v>111</v>
      </c>
      <c r="H127" s="0" t="n">
        <f aca="false">IF(F127="", "", IF(D127="","", F127-D127))</f>
        <v>83</v>
      </c>
      <c r="I127" s="0" t="n">
        <f aca="false">IF(F127="", "", IF(E127="","", F127-E127))</f>
        <v>85</v>
      </c>
      <c r="J127" s="66" t="n">
        <f aca="false">IF(SUM(C127:E127)&gt;0,AVERAGE(G127:I127),"")</f>
        <v>93</v>
      </c>
      <c r="K127" s="66" t="n">
        <f aca="false">IF(NOT(G127=""),(G127-$J127)^2,"")</f>
        <v>324</v>
      </c>
      <c r="L127" s="66" t="n">
        <f aca="false">IF(NOT(H127=""),(H127-$J127)^2,"")</f>
        <v>100</v>
      </c>
      <c r="M127" s="66" t="n">
        <f aca="false">IF(NOT(I127=""),(I127-$J127)^2,"")</f>
        <v>64</v>
      </c>
      <c r="N127" s="66" t="n">
        <f aca="false">IF(COUNT(K127:M127)&gt;0,SUM(K127:M127)/COUNT(K127:M127),"")</f>
        <v>162.666666666667</v>
      </c>
      <c r="O127" s="66" t="n">
        <f aca="false">IF(NOT(N127=""),SQRT(N127),"")</f>
        <v>12.7540843131393</v>
      </c>
      <c r="P127" s="66" t="n">
        <f aca="false">IF(COUNT(K127:M127)&gt;0,VLOOKUP(COUNT(K127:M127),'t values'!$A$3:$C$5,3)*(O127/SQRT(COUNT(K127:M127))),"")</f>
        <v>31.6854589713045</v>
      </c>
      <c r="Q127" s="66" t="n">
        <f aca="false">IF(NOT(P127=""),J127-P127,"")</f>
        <v>61.3145410286955</v>
      </c>
      <c r="R127" s="66" t="n">
        <f aca="false">IF(NOT(P127=""),J127+P127,"")</f>
        <v>124.685458971305</v>
      </c>
      <c r="S127" s="0" t="n">
        <v>380</v>
      </c>
      <c r="T127" s="0" t="n">
        <f aca="false">IF(S127="", "", IF(C127="","", S127-C127))</f>
        <v>229</v>
      </c>
      <c r="U127" s="0" t="n">
        <f aca="false">IF($S127="", "", IF(D127="","", $S127-D127))</f>
        <v>201</v>
      </c>
      <c r="V127" s="0" t="n">
        <f aca="false">IF($S127="", "", IF(E127="","", $S127-E127))</f>
        <v>203</v>
      </c>
      <c r="W127" s="66" t="n">
        <f aca="false">IF(SUM($C127:$E127)&gt;0,IF(NOT(S127=""),AVERAGE(T127:V127),""),"")</f>
        <v>211</v>
      </c>
      <c r="X127" s="66" t="n">
        <f aca="false">IF(NOT(T127=""),(T127-$W127)^2,"")</f>
        <v>324</v>
      </c>
      <c r="Y127" s="66" t="n">
        <f aca="false">IF(NOT(U127=""),(U127-$W127)^2,"")</f>
        <v>100</v>
      </c>
      <c r="Z127" s="66" t="n">
        <f aca="false">IF(NOT(V127=""),(V127-$W127)^2,"")</f>
        <v>64</v>
      </c>
      <c r="AA127" s="0" t="n">
        <f aca="false">IF(COUNT(X127:Z127)&gt;0,SUM(X127:Z127)/COUNT(X127:Z127),"")</f>
        <v>162.666666666667</v>
      </c>
      <c r="AB127" s="0" t="n">
        <f aca="false">IF(NOT(AA127=""),SQRT(AA127),"")</f>
        <v>12.7540843131393</v>
      </c>
      <c r="AD127" s="66" t="n">
        <f aca="false">IF(NOT(W127=""),W127-AG127,"")</f>
        <v>179</v>
      </c>
      <c r="AE127" s="66" t="n">
        <f aca="false">IF(NOT(W127=""),W127+AG127,"")</f>
        <v>243</v>
      </c>
      <c r="AF127" s="63" t="n">
        <v>12.7540843131393</v>
      </c>
      <c r="AG127" s="63" t="n">
        <v>32</v>
      </c>
      <c r="AH127" s="63"/>
    </row>
    <row r="128" customFormat="false" ht="12.8" hidden="false" customHeight="false" outlineLevel="0" collapsed="false">
      <c r="A128" s="56" t="s">
        <v>46</v>
      </c>
      <c r="B128" s="57" t="n">
        <v>40</v>
      </c>
      <c r="C128" s="56" t="n">
        <v>153</v>
      </c>
      <c r="D128" s="25" t="n">
        <v>151</v>
      </c>
      <c r="E128" s="77" t="n">
        <v>154</v>
      </c>
      <c r="F128" s="0" t="n">
        <v>257</v>
      </c>
      <c r="G128" s="0" t="n">
        <f aca="false">IF(F128="", "", IF(C128="","", F128-C128))</f>
        <v>104</v>
      </c>
      <c r="H128" s="0" t="n">
        <f aca="false">IF(F128="", "", IF(D128="","", F128-D128))</f>
        <v>106</v>
      </c>
      <c r="I128" s="0" t="n">
        <f aca="false">IF(F128="", "", IF(E128="","", F128-E128))</f>
        <v>103</v>
      </c>
      <c r="J128" s="66" t="n">
        <f aca="false">IF(SUM(C128:E128)&gt;0,AVERAGE(G128:I128),"")</f>
        <v>104.333333333333</v>
      </c>
      <c r="K128" s="66" t="n">
        <f aca="false">IF(NOT(G128=""),(G128-$J128)^2,"")</f>
        <v>0.111111111111108</v>
      </c>
      <c r="L128" s="66" t="n">
        <f aca="false">IF(NOT(H128=""),(H128-$J128)^2,"")</f>
        <v>2.77777777777779</v>
      </c>
      <c r="M128" s="66" t="n">
        <f aca="false">IF(NOT(I128=""),(I128-$J128)^2,"")</f>
        <v>1.77777777777777</v>
      </c>
      <c r="N128" s="66" t="n">
        <f aca="false">IF(COUNT(K128:M128)&gt;0,SUM(K128:M128)/COUNT(K128:M128),"")</f>
        <v>1.55555555555556</v>
      </c>
      <c r="O128" s="66" t="n">
        <f aca="false">IF(NOT(N128=""),SQRT(N128),"")</f>
        <v>1.24721912892465</v>
      </c>
      <c r="P128" s="66" t="n">
        <f aca="false">IF(COUNT(K128:M128)&gt;0,VLOOKUP(COUNT(K128:M128),'t values'!$A$3:$C$5,3)*(O128/SQRT(COUNT(K128:M128))),"")</f>
        <v>3.09851413613878</v>
      </c>
      <c r="Q128" s="66" t="n">
        <f aca="false">IF(NOT(P128=""),J128-P128,"")</f>
        <v>101.234819197195</v>
      </c>
      <c r="R128" s="66" t="n">
        <f aca="false">IF(NOT(P128=""),J128+P128,"")</f>
        <v>107.431847469472</v>
      </c>
      <c r="S128" s="0" t="n">
        <v>279</v>
      </c>
      <c r="T128" s="0" t="n">
        <f aca="false">IF(S128="", "", IF(C128="","", S128-C128))</f>
        <v>126</v>
      </c>
      <c r="U128" s="0" t="n">
        <f aca="false">IF($S128="", "", IF(D128="","", $S128-D128))</f>
        <v>128</v>
      </c>
      <c r="V128" s="0" t="n">
        <f aca="false">IF($S128="", "", IF(E128="","", $S128-E128))</f>
        <v>125</v>
      </c>
      <c r="W128" s="66" t="n">
        <f aca="false">IF(SUM($C128:$E128)&gt;0,IF(NOT(S128=""),AVERAGE(T128:V128),""),"")</f>
        <v>126.333333333333</v>
      </c>
      <c r="X128" s="66" t="n">
        <f aca="false">IF(NOT(T128=""),(T128-$W128)^2,"")</f>
        <v>0.111111111111108</v>
      </c>
      <c r="Y128" s="66" t="n">
        <f aca="false">IF(NOT(U128=""),(U128-$W128)^2,"")</f>
        <v>2.77777777777779</v>
      </c>
      <c r="Z128" s="66" t="n">
        <f aca="false">IF(NOT(V128=""),(V128-$W128)^2,"")</f>
        <v>1.77777777777777</v>
      </c>
      <c r="AA128" s="0" t="n">
        <f aca="false">IF(COUNT(X128:Z128)&gt;0,SUM(X128:Z128)/COUNT(X128:Z128),"")</f>
        <v>1.55555555555556</v>
      </c>
      <c r="AB128" s="0" t="n">
        <f aca="false">IF(NOT(AA128=""),SQRT(AA128),"")</f>
        <v>1.24721912892465</v>
      </c>
      <c r="AD128" s="66" t="n">
        <f aca="false">IF(NOT(W128=""),W128-AG128,"")</f>
        <v>123.333333333333</v>
      </c>
      <c r="AE128" s="66" t="n">
        <f aca="false">IF(NOT(W128=""),W128+AG128,"")</f>
        <v>129.333333333333</v>
      </c>
      <c r="AF128" s="63" t="n">
        <v>1.24721912892465</v>
      </c>
      <c r="AG128" s="63" t="n">
        <v>3</v>
      </c>
      <c r="AH128" s="63"/>
    </row>
    <row r="129" customFormat="false" ht="12.8" hidden="false" customHeight="false" outlineLevel="0" collapsed="false">
      <c r="A129" s="56" t="s">
        <v>46</v>
      </c>
      <c r="B129" s="57" t="n">
        <v>50</v>
      </c>
      <c r="C129" s="56" t="n">
        <v>99</v>
      </c>
      <c r="D129" s="25" t="n">
        <v>120</v>
      </c>
      <c r="E129" s="77" t="n">
        <v>116</v>
      </c>
      <c r="F129" s="0" t="n">
        <v>254</v>
      </c>
      <c r="G129" s="0" t="n">
        <f aca="false">IF(F129="", "", IF(C129="","", F129-C129))</f>
        <v>155</v>
      </c>
      <c r="H129" s="0" t="n">
        <f aca="false">IF(F129="", "", IF(D129="","", F129-D129))</f>
        <v>134</v>
      </c>
      <c r="I129" s="0" t="n">
        <f aca="false">IF(F129="", "", IF(E129="","", F129-E129))</f>
        <v>138</v>
      </c>
      <c r="J129" s="66" t="n">
        <f aca="false">IF(SUM(C129:E129)&gt;0,AVERAGE(G129:I129),"")</f>
        <v>142.333333333333</v>
      </c>
      <c r="K129" s="66" t="n">
        <f aca="false">IF(NOT(G129=""),(G129-$J129)^2,"")</f>
        <v>160.444444444444</v>
      </c>
      <c r="L129" s="66" t="n">
        <f aca="false">IF(NOT(H129=""),(H129-$J129)^2,"")</f>
        <v>69.4444444444446</v>
      </c>
      <c r="M129" s="66" t="n">
        <f aca="false">IF(NOT(I129=""),(I129-$J129)^2,"")</f>
        <v>18.7777777777779</v>
      </c>
      <c r="N129" s="66" t="n">
        <f aca="false">IF(COUNT(K129:M129)&gt;0,SUM(K129:M129)/COUNT(K129:M129),"")</f>
        <v>82.8888888888889</v>
      </c>
      <c r="O129" s="66" t="n">
        <f aca="false">IF(NOT(N129=""),SQRT(N129),"")</f>
        <v>9.10433352249844</v>
      </c>
      <c r="P129" s="66" t="n">
        <f aca="false">IF(COUNT(K129:M129)&gt;0,VLOOKUP(COUNT(K129:M129),'t values'!$A$3:$C$5,3)*(O129/SQRT(COUNT(K129:M129))),"")</f>
        <v>22.6182436312584</v>
      </c>
      <c r="Q129" s="66" t="n">
        <f aca="false">IF(NOT(P129=""),J129-P129,"")</f>
        <v>119.715089702075</v>
      </c>
      <c r="R129" s="66" t="n">
        <f aca="false">IF(NOT(P129=""),J129+P129,"")</f>
        <v>164.951576964592</v>
      </c>
      <c r="S129" s="0" t="n">
        <v>277</v>
      </c>
      <c r="T129" s="0" t="n">
        <f aca="false">IF(S129="", "", IF(C129="","", S129-C129))</f>
        <v>178</v>
      </c>
      <c r="U129" s="0" t="n">
        <f aca="false">IF($S129="", "", IF(D129="","", $S129-D129))</f>
        <v>157</v>
      </c>
      <c r="V129" s="0" t="n">
        <f aca="false">IF($S129="", "", IF(E129="","", $S129-E129))</f>
        <v>161</v>
      </c>
      <c r="W129" s="66" t="n">
        <f aca="false">IF(SUM($C129:$E129)&gt;0,IF(NOT(S129=""),AVERAGE(T129:V129),""),"")</f>
        <v>165.333333333333</v>
      </c>
      <c r="X129" s="66" t="n">
        <f aca="false">IF(NOT(T129=""),(T129-$W129)^2,"")</f>
        <v>160.444444444444</v>
      </c>
      <c r="Y129" s="66" t="n">
        <f aca="false">IF(NOT(U129=""),(U129-$W129)^2,"")</f>
        <v>69.4444444444446</v>
      </c>
      <c r="Z129" s="66" t="n">
        <f aca="false">IF(NOT(V129=""),(V129-$W129)^2,"")</f>
        <v>18.7777777777779</v>
      </c>
      <c r="AA129" s="0" t="n">
        <f aca="false">IF(COUNT(X129:Z129)&gt;0,SUM(X129:Z129)/COUNT(X129:Z129),"")</f>
        <v>82.8888888888888</v>
      </c>
      <c r="AB129" s="0" t="n">
        <f aca="false">IF(NOT(AA129=""),SQRT(AA129),"")</f>
        <v>9.10433352249844</v>
      </c>
      <c r="AD129" s="66" t="n">
        <f aca="false">IF(NOT(W129=""),W129-AG129,"")</f>
        <v>142.333333333333</v>
      </c>
      <c r="AE129" s="66" t="n">
        <f aca="false">IF(NOT(W129=""),W129+AG129,"")</f>
        <v>188.333333333333</v>
      </c>
      <c r="AF129" s="63" t="n">
        <v>9.10433352249844</v>
      </c>
      <c r="AG129" s="63" t="n">
        <v>23</v>
      </c>
      <c r="AH129" s="63"/>
    </row>
    <row r="130" customFormat="false" ht="12.8" hidden="false" customHeight="false" outlineLevel="0" collapsed="false">
      <c r="A130" s="56" t="s">
        <v>46</v>
      </c>
      <c r="B130" s="57" t="n">
        <v>64</v>
      </c>
      <c r="C130" s="56" t="n">
        <v>85</v>
      </c>
      <c r="D130" s="25" t="n">
        <v>112</v>
      </c>
      <c r="E130" s="77" t="n">
        <v>90</v>
      </c>
      <c r="F130" s="0" t="n">
        <v>183</v>
      </c>
      <c r="G130" s="0" t="n">
        <f aca="false">IF(F130="", "", IF(C130="","", F130-C130))</f>
        <v>98</v>
      </c>
      <c r="H130" s="0" t="n">
        <f aca="false">IF(F130="", "", IF(D130="","", F130-D130))</f>
        <v>71</v>
      </c>
      <c r="I130" s="0" t="n">
        <f aca="false">IF(F130="", "", IF(E130="","", F130-E130))</f>
        <v>93</v>
      </c>
      <c r="J130" s="66" t="n">
        <f aca="false">IF(SUM(C130:E130)&gt;0,AVERAGE(G130:I130),"")</f>
        <v>87.3333333333333</v>
      </c>
      <c r="K130" s="66" t="n">
        <f aca="false">IF(NOT(G130=""),(G130-$J130)^2,"")</f>
        <v>113.777777777778</v>
      </c>
      <c r="L130" s="66" t="n">
        <f aca="false">IF(NOT(H130=""),(H130-$J130)^2,"")</f>
        <v>266.777777777778</v>
      </c>
      <c r="M130" s="66" t="n">
        <f aca="false">IF(NOT(I130=""),(I130-$J130)^2,"")</f>
        <v>32.1111111111112</v>
      </c>
      <c r="N130" s="66" t="n">
        <f aca="false">IF(COUNT(K130:M130)&gt;0,SUM(K130:M130)/COUNT(K130:M130),"")</f>
        <v>137.555555555556</v>
      </c>
      <c r="O130" s="66" t="n">
        <f aca="false">IF(NOT(N130=""),SQRT(N130),"")</f>
        <v>11.7284080571728</v>
      </c>
      <c r="P130" s="66" t="n">
        <f aca="false">IF(COUNT(K130:M130)&gt;0,VLOOKUP(COUNT(K130:M130),'t values'!$A$3:$C$5,3)*(O130/SQRT(COUNT(K130:M130))),"")</f>
        <v>29.1373322592372</v>
      </c>
      <c r="Q130" s="66" t="n">
        <f aca="false">IF(NOT(P130=""),J130-P130,"")</f>
        <v>58.1960010740961</v>
      </c>
      <c r="R130" s="66" t="n">
        <f aca="false">IF(NOT(P130=""),J130+P130,"")</f>
        <v>116.470665592571</v>
      </c>
      <c r="S130" s="0" t="n">
        <v>168</v>
      </c>
      <c r="T130" s="0" t="n">
        <f aca="false">IF(S130="", "", IF(C130="","", S130-C130))</f>
        <v>83</v>
      </c>
      <c r="U130" s="0" t="n">
        <f aca="false">IF($S130="", "", IF(D130="","", $S130-D130))</f>
        <v>56</v>
      </c>
      <c r="V130" s="0" t="n">
        <f aca="false">IF($S130="", "", IF(E130="","", $S130-E130))</f>
        <v>78</v>
      </c>
      <c r="W130" s="66" t="n">
        <f aca="false">IF(SUM($C130:$E130)&gt;0,IF(NOT(S130=""),AVERAGE(T130:V130),""),"")</f>
        <v>72.3333333333333</v>
      </c>
      <c r="X130" s="66" t="n">
        <f aca="false">IF(NOT(T130=""),(T130-$W130)^2,"")</f>
        <v>113.777777777778</v>
      </c>
      <c r="Y130" s="66" t="n">
        <f aca="false">IF(NOT(U130=""),(U130-$W130)^2,"")</f>
        <v>266.777777777778</v>
      </c>
      <c r="Z130" s="66" t="n">
        <f aca="false">IF(NOT(V130=""),(V130-$W130)^2,"")</f>
        <v>32.1111111111112</v>
      </c>
      <c r="AA130" s="0" t="n">
        <f aca="false">IF(COUNT(X130:Z130)&gt;0,SUM(X130:Z130)/COUNT(X130:Z130),"")</f>
        <v>137.555555555556</v>
      </c>
      <c r="AB130" s="0" t="n">
        <f aca="false">IF(NOT(AA130=""),SQRT(AA130),"")</f>
        <v>11.7284080571728</v>
      </c>
      <c r="AD130" s="66" t="n">
        <f aca="false">IF(NOT(W130=""),W130-AG130,"")</f>
        <v>43.3333333333333</v>
      </c>
      <c r="AE130" s="66" t="n">
        <f aca="false">IF(NOT(W130=""),W130+AG130,"")</f>
        <v>101.333333333333</v>
      </c>
      <c r="AF130" s="63" t="n">
        <v>11.7284080571728</v>
      </c>
      <c r="AG130" s="63" t="n">
        <v>29</v>
      </c>
      <c r="AH130" s="63"/>
    </row>
    <row r="131" customFormat="false" ht="12.8" hidden="false" customHeight="false" outlineLevel="0" collapsed="false">
      <c r="A131" s="56" t="s">
        <v>46</v>
      </c>
      <c r="B131" s="57" t="n">
        <v>82</v>
      </c>
      <c r="C131" s="56" t="n">
        <v>73</v>
      </c>
      <c r="D131" s="25" t="n">
        <v>89</v>
      </c>
      <c r="E131" s="77" t="n">
        <v>75</v>
      </c>
      <c r="F131" s="0" t="n">
        <v>152</v>
      </c>
      <c r="G131" s="0" t="n">
        <f aca="false">IF(F131="", "", IF(C131="","", F131-C131))</f>
        <v>79</v>
      </c>
      <c r="H131" s="0" t="n">
        <f aca="false">IF(F131="", "", IF(D131="","", F131-D131))</f>
        <v>63</v>
      </c>
      <c r="I131" s="0" t="n">
        <f aca="false">IF(F131="", "", IF(E131="","", F131-E131))</f>
        <v>77</v>
      </c>
      <c r="J131" s="66" t="n">
        <f aca="false">IF(SUM(C131:E131)&gt;0,AVERAGE(G131:I131),"")</f>
        <v>73</v>
      </c>
      <c r="K131" s="66" t="n">
        <f aca="false">IF(NOT(G131=""),(G131-$J131)^2,"")</f>
        <v>36</v>
      </c>
      <c r="L131" s="66" t="n">
        <f aca="false">IF(NOT(H131=""),(H131-$J131)^2,"")</f>
        <v>100</v>
      </c>
      <c r="M131" s="66" t="n">
        <f aca="false">IF(NOT(I131=""),(I131-$J131)^2,"")</f>
        <v>16</v>
      </c>
      <c r="N131" s="66" t="n">
        <f aca="false">IF(COUNT(K131:M131)&gt;0,SUM(K131:M131)/COUNT(K131:M131),"")</f>
        <v>50.6666666666667</v>
      </c>
      <c r="O131" s="66" t="n">
        <f aca="false">IF(NOT(N131=""),SQRT(N131),"")</f>
        <v>7.11805216802087</v>
      </c>
      <c r="P131" s="66" t="n">
        <f aca="false">IF(COUNT(K131:M131)&gt;0,VLOOKUP(COUNT(K131:M131),'t values'!$A$3:$C$5,3)*(O131/SQRT(COUNT(K131:M131))),"")</f>
        <v>17.6836489698503</v>
      </c>
      <c r="Q131" s="66" t="n">
        <f aca="false">IF(NOT(P131=""),J131-P131,"")</f>
        <v>55.3163510301497</v>
      </c>
      <c r="R131" s="66" t="n">
        <f aca="false">IF(NOT(P131=""),J131+P131,"")</f>
        <v>90.6836489698503</v>
      </c>
      <c r="S131" s="0" t="n">
        <v>162</v>
      </c>
      <c r="T131" s="0" t="n">
        <f aca="false">IF(S131="", "", IF(C131="","", S131-C131))</f>
        <v>89</v>
      </c>
      <c r="U131" s="0" t="n">
        <f aca="false">IF($S131="", "", IF(D131="","", $S131-D131))</f>
        <v>73</v>
      </c>
      <c r="V131" s="0" t="n">
        <f aca="false">IF($S131="", "", IF(E131="","", $S131-E131))</f>
        <v>87</v>
      </c>
      <c r="W131" s="66" t="n">
        <f aca="false">IF(SUM($C131:$E131)&gt;0,IF(NOT(S131=""),AVERAGE(T131:V131),""),"")</f>
        <v>83</v>
      </c>
      <c r="X131" s="66" t="n">
        <f aca="false">IF(NOT(T131=""),(T131-$W131)^2,"")</f>
        <v>36</v>
      </c>
      <c r="Y131" s="66" t="n">
        <f aca="false">IF(NOT(U131=""),(U131-$W131)^2,"")</f>
        <v>100</v>
      </c>
      <c r="Z131" s="66" t="n">
        <f aca="false">IF(NOT(V131=""),(V131-$W131)^2,"")</f>
        <v>16</v>
      </c>
      <c r="AA131" s="0" t="n">
        <f aca="false">IF(COUNT(X131:Z131)&gt;0,SUM(X131:Z131)/COUNT(X131:Z131),"")</f>
        <v>50.6666666666667</v>
      </c>
      <c r="AB131" s="0" t="n">
        <f aca="false">IF(NOT(AA131=""),SQRT(AA131),"")</f>
        <v>7.11805216802087</v>
      </c>
      <c r="AD131" s="66" t="n">
        <f aca="false">IF(NOT(W131=""),W131-AG131,"")</f>
        <v>65</v>
      </c>
      <c r="AE131" s="66" t="n">
        <f aca="false">IF(NOT(W131=""),W131+AG131,"")</f>
        <v>101</v>
      </c>
      <c r="AF131" s="63" t="n">
        <v>7.11805216802087</v>
      </c>
      <c r="AG131" s="63" t="n">
        <v>18</v>
      </c>
      <c r="AH131" s="63"/>
    </row>
    <row r="132" customFormat="false" ht="12.8" hidden="false" customHeight="false" outlineLevel="0" collapsed="false">
      <c r="A132" s="56" t="s">
        <v>46</v>
      </c>
      <c r="B132" s="57" t="n">
        <v>100</v>
      </c>
      <c r="C132" s="56" t="n">
        <v>54</v>
      </c>
      <c r="D132" s="25" t="n">
        <v>71</v>
      </c>
      <c r="E132" s="77" t="n">
        <v>78</v>
      </c>
      <c r="F132" s="0" t="n">
        <v>148</v>
      </c>
      <c r="G132" s="0" t="n">
        <f aca="false">IF(F132="", "", IF(C132="","", F132-C132))</f>
        <v>94</v>
      </c>
      <c r="H132" s="0" t="n">
        <f aca="false">IF(F132="", "", IF(D132="","", F132-D132))</f>
        <v>77</v>
      </c>
      <c r="I132" s="0" t="n">
        <f aca="false">IF(F132="", "", IF(E132="","", F132-E132))</f>
        <v>70</v>
      </c>
      <c r="J132" s="66" t="n">
        <f aca="false">IF(SUM(C132:E132)&gt;0,AVERAGE(G132:I132),"")</f>
        <v>80.3333333333333</v>
      </c>
      <c r="K132" s="66" t="n">
        <f aca="false">IF(NOT(G132=""),(G132-$J132)^2,"")</f>
        <v>186.777777777778</v>
      </c>
      <c r="L132" s="66" t="n">
        <f aca="false">IF(NOT(H132=""),(H132-$J132)^2,"")</f>
        <v>11.1111111111111</v>
      </c>
      <c r="M132" s="66" t="n">
        <f aca="false">IF(NOT(I132=""),(I132-$J132)^2,"")</f>
        <v>106.777777777778</v>
      </c>
      <c r="N132" s="66" t="n">
        <f aca="false">IF(COUNT(K132:M132)&gt;0,SUM(K132:M132)/COUNT(K132:M132),"")</f>
        <v>101.555555555556</v>
      </c>
      <c r="O132" s="66" t="n">
        <f aca="false">IF(NOT(N132=""),SQRT(N132),"")</f>
        <v>10.077477638554</v>
      </c>
      <c r="P132" s="66" t="n">
        <f aca="false">IF(COUNT(K132:M132)&gt;0,VLOOKUP(COUNT(K132:M132),'t values'!$A$3:$C$5,3)*(O132/SQRT(COUNT(K132:M132))),"")</f>
        <v>25.0358627409799</v>
      </c>
      <c r="Q132" s="66" t="n">
        <f aca="false">IF(NOT(P132=""),J132-P132,"")</f>
        <v>55.2974705923534</v>
      </c>
      <c r="R132" s="66" t="n">
        <f aca="false">IF(NOT(P132=""),J132+P132,"")</f>
        <v>105.369196074313</v>
      </c>
      <c r="S132" s="0" t="n">
        <v>175</v>
      </c>
      <c r="T132" s="0" t="n">
        <f aca="false">IF(S132="", "", IF(C132="","", S132-C132))</f>
        <v>121</v>
      </c>
      <c r="U132" s="0" t="n">
        <f aca="false">IF($S132="", "", IF(D132="","", $S132-D132))</f>
        <v>104</v>
      </c>
      <c r="V132" s="0" t="n">
        <f aca="false">IF($S132="", "", IF(E132="","", $S132-E132))</f>
        <v>97</v>
      </c>
      <c r="W132" s="66" t="n">
        <f aca="false">IF(SUM($C132:$E132)&gt;0,IF(NOT(S132=""),AVERAGE(T132:V132),""),"")</f>
        <v>107.333333333333</v>
      </c>
      <c r="X132" s="66" t="n">
        <f aca="false">IF(NOT(T132=""),(T132-$W132)^2,"")</f>
        <v>186.777777777778</v>
      </c>
      <c r="Y132" s="66" t="n">
        <f aca="false">IF(NOT(U132=""),(U132-$W132)^2,"")</f>
        <v>11.1111111111111</v>
      </c>
      <c r="Z132" s="66" t="n">
        <f aca="false">IF(NOT(V132=""),(V132-$W132)^2,"")</f>
        <v>106.777777777778</v>
      </c>
      <c r="AA132" s="0" t="n">
        <f aca="false">IF(COUNT(X132:Z132)&gt;0,SUM(X132:Z132)/COUNT(X132:Z132),"")</f>
        <v>101.555555555556</v>
      </c>
      <c r="AB132" s="0" t="n">
        <f aca="false">IF(NOT(AA132=""),SQRT(AA132),"")</f>
        <v>10.077477638554</v>
      </c>
      <c r="AD132" s="66" t="n">
        <f aca="false">IF(NOT(W132=""),W132-AG132,"")</f>
        <v>82.3333333333333</v>
      </c>
      <c r="AE132" s="66" t="n">
        <f aca="false">IF(NOT(W132=""),W132+AG132,"")</f>
        <v>132.333333333333</v>
      </c>
      <c r="AF132" s="63" t="n">
        <v>10.077477638554</v>
      </c>
      <c r="AG132" s="63" t="n">
        <v>25</v>
      </c>
      <c r="AH132" s="63"/>
    </row>
    <row r="133" customFormat="false" ht="12.8" hidden="false" customHeight="false" outlineLevel="0" collapsed="false">
      <c r="A133" s="56" t="s">
        <v>47</v>
      </c>
      <c r="B133" s="57" t="n">
        <v>5</v>
      </c>
      <c r="C133" s="56"/>
      <c r="D133" s="25"/>
      <c r="E133" s="77"/>
      <c r="F133" s="0" t="n">
        <v>4507</v>
      </c>
      <c r="G133" s="0" t="str">
        <f aca="false">IF(F133="", "", IF(C133="","", F133-C133))</f>
        <v/>
      </c>
      <c r="H133" s="0" t="str">
        <f aca="false">IF(F133="", "", IF(D133="","", F133-D133))</f>
        <v/>
      </c>
      <c r="I133" s="0" t="str">
        <f aca="false">IF(F133="", "", IF(E133="","", F133-E133))</f>
        <v/>
      </c>
      <c r="J133" s="66" t="str">
        <f aca="false">IF(SUM(C133:E133)&gt;0,AVERAGE(G133:I133),"")</f>
        <v/>
      </c>
      <c r="K133" s="66" t="str">
        <f aca="false">IF(NOT(G133=""),(G133-$J133)^2,"")</f>
        <v/>
      </c>
      <c r="L133" s="66" t="str">
        <f aca="false">IF(NOT(H133=""),(H133-$J133)^2,"")</f>
        <v/>
      </c>
      <c r="M133" s="66" t="str">
        <f aca="false">IF(NOT(I133=""),(I133-$J133)^2,"")</f>
        <v/>
      </c>
      <c r="N133" s="66" t="str">
        <f aca="false">IF(COUNT(K133:M133)&gt;0,SUM(K133:M133)/COUNT(K133:M133),"")</f>
        <v/>
      </c>
      <c r="O133" s="66" t="str">
        <f aca="false">IF(NOT(N133=""),SQRT(N133),"")</f>
        <v/>
      </c>
      <c r="P133" s="66" t="str">
        <f aca="false">IF(COUNT(K133:M133)&gt;0,VLOOKUP(COUNT(K133:M133),'t values'!$A$3:$C$5,3)*(O133/SQRT(COUNT(K133:M133))),"")</f>
        <v/>
      </c>
      <c r="Q133" s="66" t="str">
        <f aca="false">IF(NOT(P133=""),J133-P133,"")</f>
        <v/>
      </c>
      <c r="R133" s="66" t="str">
        <f aca="false">IF(NOT(P133=""),J133+P133,"")</f>
        <v/>
      </c>
      <c r="S133" s="0" t="n">
        <v>4317</v>
      </c>
      <c r="T133" s="0" t="str">
        <f aca="false">IF(S133="", "", IF(C133="","", S133-C133))</f>
        <v/>
      </c>
      <c r="U133" s="0" t="str">
        <f aca="false">IF($S133="", "", IF(D133="","", $S133-D133))</f>
        <v/>
      </c>
      <c r="V133" s="0" t="str">
        <f aca="false">IF($S133="", "", IF(E133="","", $S133-E133))</f>
        <v/>
      </c>
      <c r="W133" s="66" t="str">
        <f aca="false">IF(SUM($C133:$E133)&gt;0,IF(NOT(S133=""),AVERAGE(T133:V133),""),"")</f>
        <v/>
      </c>
      <c r="X133" s="66" t="str">
        <f aca="false">IF(NOT(T133=""),(T133-$W133)^2,"")</f>
        <v/>
      </c>
      <c r="Y133" s="66" t="str">
        <f aca="false">IF(NOT(U133=""),(U133-$W133)^2,"")</f>
        <v/>
      </c>
      <c r="Z133" s="66" t="str">
        <f aca="false">IF(NOT(V133=""),(V133-$W133)^2,"")</f>
        <v/>
      </c>
      <c r="AA133" s="0" t="str">
        <f aca="false">IF(COUNT(X133:Z133)&gt;0,SUM(X133:Z133)/COUNT(X133:Z133),"")</f>
        <v/>
      </c>
      <c r="AB133" s="0" t="str">
        <f aca="false">IF(NOT(AA133=""),SQRT(AA133),"")</f>
        <v/>
      </c>
      <c r="AD133" s="66" t="str">
        <f aca="false">IF(NOT(W133=""),W133-AG133,"")</f>
        <v/>
      </c>
      <c r="AE133" s="66" t="str">
        <f aca="false">IF(NOT(W133=""),W133+AG133,"")</f>
        <v/>
      </c>
      <c r="AF133" s="63"/>
      <c r="AG133" s="63"/>
      <c r="AH133" s="63"/>
    </row>
    <row r="134" customFormat="false" ht="12.8" hidden="false" customHeight="false" outlineLevel="0" collapsed="false">
      <c r="A134" s="56" t="s">
        <v>47</v>
      </c>
      <c r="B134" s="57" t="n">
        <v>10</v>
      </c>
      <c r="C134" s="56" t="n">
        <v>3024</v>
      </c>
      <c r="D134" s="25"/>
      <c r="E134" s="77"/>
      <c r="F134" s="0" t="n">
        <v>2238</v>
      </c>
      <c r="G134" s="0" t="n">
        <f aca="false">IF(F134="", "", IF(C134="","", F134-C134))</f>
        <v>-786</v>
      </c>
      <c r="H134" s="0" t="str">
        <f aca="false">IF(F134="", "", IF(D134="","", F134-D134))</f>
        <v/>
      </c>
      <c r="I134" s="0" t="str">
        <f aca="false">IF(F134="", "", IF(E134="","", F134-E134))</f>
        <v/>
      </c>
      <c r="J134" s="66" t="n">
        <f aca="false">IF(SUM(C134:E134)&gt;0,AVERAGE(G134:I134),"")</f>
        <v>-786</v>
      </c>
      <c r="K134" s="66" t="n">
        <f aca="false">IF(NOT(G134=""),(G134-$J134)^2,"")</f>
        <v>0</v>
      </c>
      <c r="L134" s="66" t="str">
        <f aca="false">IF(NOT(H134=""),(H134-$J134)^2,"")</f>
        <v/>
      </c>
      <c r="M134" s="66" t="str">
        <f aca="false">IF(NOT(I134=""),(I134-$J134)^2,"")</f>
        <v/>
      </c>
      <c r="N134" s="66" t="n">
        <f aca="false">IF(COUNT(K134:M134)&gt;0,SUM(K134:M134)/COUNT(K134:M134),"")</f>
        <v>0</v>
      </c>
      <c r="O134" s="66" t="n">
        <f aca="false">IF(NOT(N134=""),SQRT(N134),"")</f>
        <v>0</v>
      </c>
      <c r="P134" s="66" t="e">
        <f aca="false">IF(COUNT(K134:M134)&gt;0,VLOOKUP(COUNT(K134:M134),'t values'!$A$3:$C$5,3)*(O134/SQRT(COUNT(K134:M134))),"")</f>
        <v>#N/A</v>
      </c>
      <c r="Q134" s="66" t="e">
        <f aca="false">IF(NOT(P134=""),J134-P134,"")</f>
        <v>#N/A</v>
      </c>
      <c r="R134" s="66" t="e">
        <f aca="false">IF(NOT(P134=""),J134+P134,"")</f>
        <v>#N/A</v>
      </c>
      <c r="S134" s="0" t="n">
        <v>2518</v>
      </c>
      <c r="T134" s="0" t="n">
        <f aca="false">IF(S134="", "", IF(C134="","", S134-C134))</f>
        <v>-506</v>
      </c>
      <c r="U134" s="0" t="str">
        <f aca="false">IF($S134="", "", IF(D134="","", $S134-D134))</f>
        <v/>
      </c>
      <c r="V134" s="0" t="str">
        <f aca="false">IF($S134="", "", IF(E134="","", $S134-E134))</f>
        <v/>
      </c>
      <c r="W134" s="66" t="n">
        <f aca="false">IF(SUM($C134:$E134)&gt;0,IF(NOT(S134=""),AVERAGE(T134:V134),""),"")</f>
        <v>-506</v>
      </c>
      <c r="X134" s="66" t="n">
        <f aca="false">IF(NOT(T134=""),(T134-$W134)^2,"")</f>
        <v>0</v>
      </c>
      <c r="Y134" s="66" t="str">
        <f aca="false">IF(NOT(U134=""),(U134-$W134)^2,"")</f>
        <v/>
      </c>
      <c r="Z134" s="66" t="str">
        <f aca="false">IF(NOT(V134=""),(V134-$W134)^2,"")</f>
        <v/>
      </c>
      <c r="AA134" s="0" t="n">
        <f aca="false">IF(COUNT(X134:Z134)&gt;0,SUM(X134:Z134)/COUNT(X134:Z134),"")</f>
        <v>0</v>
      </c>
      <c r="AB134" s="0" t="n">
        <f aca="false">IF(NOT(AA134=""),SQRT(AA134),"")</f>
        <v>0</v>
      </c>
      <c r="AD134" s="66" t="n">
        <f aca="false">IF(NOT(W134=""),W134-AG134,"")</f>
        <v>-506</v>
      </c>
      <c r="AE134" s="66" t="n">
        <f aca="false">IF(NOT(W134=""),W134+AG134,"")</f>
        <v>-506</v>
      </c>
      <c r="AF134" s="63" t="n">
        <v>0</v>
      </c>
      <c r="AG134" s="63"/>
      <c r="AH134" s="63"/>
    </row>
    <row r="135" customFormat="false" ht="12.8" hidden="false" customHeight="false" outlineLevel="0" collapsed="false">
      <c r="A135" s="56" t="s">
        <v>47</v>
      </c>
      <c r="B135" s="57" t="n">
        <v>15</v>
      </c>
      <c r="C135" s="56" t="n">
        <v>1766</v>
      </c>
      <c r="D135" s="25" t="n">
        <v>1589</v>
      </c>
      <c r="E135" s="77" t="n">
        <v>1840</v>
      </c>
      <c r="F135" s="0" t="n">
        <v>1775</v>
      </c>
      <c r="G135" s="0" t="n">
        <f aca="false">IF(F135="", "", IF(C135="","", F135-C135))</f>
        <v>9</v>
      </c>
      <c r="H135" s="0" t="n">
        <f aca="false">IF(F135="", "", IF(D135="","", F135-D135))</f>
        <v>186</v>
      </c>
      <c r="I135" s="0" t="n">
        <f aca="false">IF(F135="", "", IF(E135="","", F135-E135))</f>
        <v>-65</v>
      </c>
      <c r="J135" s="66" t="n">
        <f aca="false">IF(SUM(C135:E135)&gt;0,AVERAGE(G135:I135),"")</f>
        <v>43.3333333333333</v>
      </c>
      <c r="K135" s="66" t="n">
        <f aca="false">IF(NOT(G135=""),(G135-$J135)^2,"")</f>
        <v>1178.77777777778</v>
      </c>
      <c r="L135" s="66" t="n">
        <f aca="false">IF(NOT(H135=""),(H135-$J135)^2,"")</f>
        <v>20353.7777777778</v>
      </c>
      <c r="M135" s="66" t="n">
        <f aca="false">IF(NOT(I135=""),(I135-$J135)^2,"")</f>
        <v>11736.1111111111</v>
      </c>
      <c r="N135" s="66" t="n">
        <f aca="false">IF(COUNT(K135:M135)&gt;0,SUM(K135:M135)/COUNT(K135:M135),"")</f>
        <v>11089.5555555556</v>
      </c>
      <c r="O135" s="66" t="n">
        <f aca="false">IF(NOT(N135=""),SQRT(N135),"")</f>
        <v>105.306958723323</v>
      </c>
      <c r="P135" s="66" t="n">
        <f aca="false">IF(COUNT(K135:M135)&gt;0,VLOOKUP(COUNT(K135:M135),'t values'!$A$3:$C$5,3)*(O135/SQRT(COUNT(K135:M135))),"")</f>
        <v>261.618101158639</v>
      </c>
      <c r="Q135" s="66" t="n">
        <f aca="false">IF(NOT(P135=""),J135-P135,"")</f>
        <v>-218.284767825306</v>
      </c>
      <c r="R135" s="66" t="n">
        <f aca="false">IF(NOT(P135=""),J135+P135,"")</f>
        <v>304.951434491972</v>
      </c>
      <c r="S135" s="0" t="n">
        <v>2087</v>
      </c>
      <c r="T135" s="0" t="n">
        <f aca="false">IF(S135="", "", IF(C135="","", S135-C135))</f>
        <v>321</v>
      </c>
      <c r="U135" s="0" t="n">
        <f aca="false">IF($S135="", "", IF(D135="","", $S135-D135))</f>
        <v>498</v>
      </c>
      <c r="V135" s="0" t="n">
        <f aca="false">IF($S135="", "", IF(E135="","", $S135-E135))</f>
        <v>247</v>
      </c>
      <c r="W135" s="66" t="n">
        <f aca="false">IF(SUM($C135:$E135)&gt;0,IF(NOT(S135=""),AVERAGE(T135:V135),""),"")</f>
        <v>355.333333333333</v>
      </c>
      <c r="X135" s="66" t="n">
        <f aca="false">IF(NOT(T135=""),(T135-$W135)^2,"")</f>
        <v>1178.77777777778</v>
      </c>
      <c r="Y135" s="66" t="n">
        <f aca="false">IF(NOT(U135=""),(U135-$W135)^2,"")</f>
        <v>20353.7777777778</v>
      </c>
      <c r="Z135" s="66" t="n">
        <f aca="false">IF(NOT(V135=""),(V135-$W135)^2,"")</f>
        <v>11736.1111111111</v>
      </c>
      <c r="AA135" s="0" t="n">
        <f aca="false">IF(COUNT(X135:Z135)&gt;0,SUM(X135:Z135)/COUNT(X135:Z135),"")</f>
        <v>11089.5555555556</v>
      </c>
      <c r="AB135" s="0" t="n">
        <f aca="false">IF(NOT(AA135=""),SQRT(AA135),"")</f>
        <v>105.306958723323</v>
      </c>
      <c r="AD135" s="66" t="n">
        <f aca="false">IF(NOT(W135=""),W135-AG135,"")</f>
        <v>93.3333333333333</v>
      </c>
      <c r="AE135" s="66" t="n">
        <f aca="false">IF(NOT(W135=""),W135+AG135,"")</f>
        <v>617.333333333333</v>
      </c>
      <c r="AF135" s="63" t="n">
        <v>105.306958723323</v>
      </c>
      <c r="AG135" s="63" t="n">
        <v>262</v>
      </c>
      <c r="AH135" s="63"/>
    </row>
    <row r="136" customFormat="false" ht="12.8" hidden="false" customHeight="false" outlineLevel="0" collapsed="false">
      <c r="A136" s="56" t="s">
        <v>47</v>
      </c>
      <c r="B136" s="57" t="n">
        <v>20</v>
      </c>
      <c r="C136" s="56" t="n">
        <v>1254</v>
      </c>
      <c r="D136" s="25" t="n">
        <v>1370</v>
      </c>
      <c r="E136" s="77" t="n">
        <v>1203</v>
      </c>
      <c r="F136" s="0" t="n">
        <v>1286</v>
      </c>
      <c r="G136" s="0" t="n">
        <f aca="false">IF(F136="", "", IF(C136="","", F136-C136))</f>
        <v>32</v>
      </c>
      <c r="H136" s="0" t="n">
        <f aca="false">IF(F136="", "", IF(D136="","", F136-D136))</f>
        <v>-84</v>
      </c>
      <c r="I136" s="0" t="n">
        <f aca="false">IF(F136="", "", IF(E136="","", F136-E136))</f>
        <v>83</v>
      </c>
      <c r="J136" s="66" t="n">
        <f aca="false">IF(SUM(C136:E136)&gt;0,AVERAGE(G136:I136),"")</f>
        <v>10.3333333333333</v>
      </c>
      <c r="K136" s="66" t="n">
        <f aca="false">IF(NOT(G136=""),(G136-$J136)^2,"")</f>
        <v>469.444444444444</v>
      </c>
      <c r="L136" s="66" t="n">
        <f aca="false">IF(NOT(H136=""),(H136-$J136)^2,"")</f>
        <v>8898.77777777778</v>
      </c>
      <c r="M136" s="66" t="n">
        <f aca="false">IF(NOT(I136=""),(I136-$J136)^2,"")</f>
        <v>5280.44444444445</v>
      </c>
      <c r="N136" s="66" t="n">
        <f aca="false">IF(COUNT(K136:M136)&gt;0,SUM(K136:M136)/COUNT(K136:M136),"")</f>
        <v>4882.88888888889</v>
      </c>
      <c r="O136" s="66" t="n">
        <f aca="false">IF(NOT(N136=""),SQRT(N136),"")</f>
        <v>69.8776708891252</v>
      </c>
      <c r="P136" s="66" t="n">
        <f aca="false">IF(COUNT(K136:M136)&gt;0,VLOOKUP(COUNT(K136:M136),'t values'!$A$3:$C$5,3)*(O136/SQRT(COUNT(K136:M136))),"")</f>
        <v>173.599767698471</v>
      </c>
      <c r="Q136" s="66" t="n">
        <f aca="false">IF(NOT(P136=""),J136-P136,"")</f>
        <v>-163.266434365137</v>
      </c>
      <c r="R136" s="66" t="n">
        <f aca="false">IF(NOT(P136=""),J136+P136,"")</f>
        <v>183.933101031804</v>
      </c>
      <c r="S136" s="0" t="n">
        <v>1860</v>
      </c>
      <c r="T136" s="0" t="n">
        <f aca="false">IF(S136="", "", IF(C136="","", S136-C136))</f>
        <v>606</v>
      </c>
      <c r="U136" s="0" t="n">
        <f aca="false">IF($S136="", "", IF(D136="","", $S136-D136))</f>
        <v>490</v>
      </c>
      <c r="V136" s="0" t="n">
        <f aca="false">IF($S136="", "", IF(E136="","", $S136-E136))</f>
        <v>657</v>
      </c>
      <c r="W136" s="66" t="n">
        <f aca="false">IF(SUM($C136:$E136)&gt;0,IF(NOT(S136=""),AVERAGE(T136:V136),""),"")</f>
        <v>584.333333333333</v>
      </c>
      <c r="X136" s="66" t="n">
        <f aca="false">IF(NOT(T136=""),(T136-$W136)^2,"")</f>
        <v>469.444444444443</v>
      </c>
      <c r="Y136" s="66" t="n">
        <f aca="false">IF(NOT(U136=""),(U136-$W136)^2,"")</f>
        <v>8898.77777777779</v>
      </c>
      <c r="Z136" s="66" t="n">
        <f aca="false">IF(NOT(V136=""),(V136-$W136)^2,"")</f>
        <v>5280.44444444444</v>
      </c>
      <c r="AA136" s="0" t="n">
        <f aca="false">IF(COUNT(X136:Z136)&gt;0,SUM(X136:Z136)/COUNT(X136:Z136),"")</f>
        <v>4882.88888888889</v>
      </c>
      <c r="AB136" s="0" t="n">
        <f aca="false">IF(NOT(AA136=""),SQRT(AA136),"")</f>
        <v>69.8776708891252</v>
      </c>
      <c r="AD136" s="66" t="n">
        <f aca="false">IF(NOT(W136=""),W136-AG136,"")</f>
        <v>410.333333333333</v>
      </c>
      <c r="AE136" s="66" t="n">
        <f aca="false">IF(NOT(W136=""),W136+AG136,"")</f>
        <v>758.333333333333</v>
      </c>
      <c r="AF136" s="63" t="n">
        <v>69.8776708891251</v>
      </c>
      <c r="AG136" s="63" t="n">
        <v>174</v>
      </c>
      <c r="AH136" s="63"/>
    </row>
    <row r="137" customFormat="false" ht="12.8" hidden="false" customHeight="false" outlineLevel="0" collapsed="false">
      <c r="A137" s="56" t="s">
        <v>47</v>
      </c>
      <c r="B137" s="57" t="n">
        <v>30</v>
      </c>
      <c r="C137" s="56" t="n">
        <v>821</v>
      </c>
      <c r="D137" s="25" t="n">
        <v>821</v>
      </c>
      <c r="E137" s="77" t="n">
        <v>840</v>
      </c>
      <c r="F137" s="0" t="n">
        <v>949</v>
      </c>
      <c r="G137" s="0" t="n">
        <f aca="false">IF(F137="", "", IF(C137="","", F137-C137))</f>
        <v>128</v>
      </c>
      <c r="H137" s="0" t="n">
        <f aca="false">IF(F137="", "", IF(D137="","", F137-D137))</f>
        <v>128</v>
      </c>
      <c r="I137" s="0" t="n">
        <f aca="false">IF(F137="", "", IF(E137="","", F137-E137))</f>
        <v>109</v>
      </c>
      <c r="J137" s="66" t="n">
        <f aca="false">IF(SUM(C137:E137)&gt;0,AVERAGE(G137:I137),"")</f>
        <v>121.666666666667</v>
      </c>
      <c r="K137" s="66" t="n">
        <f aca="false">IF(NOT(G137=""),(G137-$J137)^2,"")</f>
        <v>40.1111111111111</v>
      </c>
      <c r="L137" s="66" t="n">
        <f aca="false">IF(NOT(H137=""),(H137-$J137)^2,"")</f>
        <v>40.1111111111111</v>
      </c>
      <c r="M137" s="66" t="n">
        <f aca="false">IF(NOT(I137=""),(I137-$J137)^2,"")</f>
        <v>160.444444444445</v>
      </c>
      <c r="N137" s="66" t="n">
        <f aca="false">IF(COUNT(K137:M137)&gt;0,SUM(K137:M137)/COUNT(K137:M137),"")</f>
        <v>80.2222222222222</v>
      </c>
      <c r="O137" s="66" t="n">
        <f aca="false">IF(NOT(N137=""),SQRT(N137),"")</f>
        <v>8.9566858950296</v>
      </c>
      <c r="P137" s="66" t="n">
        <f aca="false">IF(COUNT(K137:M137)&gt;0,VLOOKUP(COUNT(K137:M137),'t values'!$A$3:$C$5,3)*(O137/SQRT(COUNT(K137:M137))),"")</f>
        <v>22.2514369889694</v>
      </c>
      <c r="Q137" s="66" t="n">
        <f aca="false">IF(NOT(P137=""),J137-P137,"")</f>
        <v>99.4152296776973</v>
      </c>
      <c r="R137" s="66" t="n">
        <f aca="false">IF(NOT(P137=""),J137+P137,"")</f>
        <v>143.918103655636</v>
      </c>
      <c r="S137" s="0" t="n">
        <v>1669</v>
      </c>
      <c r="T137" s="0" t="n">
        <f aca="false">IF(S137="", "", IF(C137="","", S137-C137))</f>
        <v>848</v>
      </c>
      <c r="U137" s="0" t="n">
        <f aca="false">IF($S137="", "", IF(D137="","", $S137-D137))</f>
        <v>848</v>
      </c>
      <c r="V137" s="0" t="n">
        <f aca="false">IF($S137="", "", IF(E137="","", $S137-E137))</f>
        <v>829</v>
      </c>
      <c r="W137" s="66" t="n">
        <f aca="false">IF(SUM($C137:$E137)&gt;0,IF(NOT(S137=""),AVERAGE(T137:V137),""),"")</f>
        <v>841.666666666667</v>
      </c>
      <c r="X137" s="66" t="n">
        <f aca="false">IF(NOT(T137=""),(T137-$W137)^2,"")</f>
        <v>40.1111111111116</v>
      </c>
      <c r="Y137" s="66" t="n">
        <f aca="false">IF(NOT(U137=""),(U137-$W137)^2,"")</f>
        <v>40.1111111111116</v>
      </c>
      <c r="Z137" s="66" t="n">
        <f aca="false">IF(NOT(V137=""),(V137-$W137)^2,"")</f>
        <v>160.444444444444</v>
      </c>
      <c r="AA137" s="0" t="n">
        <f aca="false">IF(COUNT(X137:Z137)&gt;0,SUM(X137:Z137)/COUNT(X137:Z137),"")</f>
        <v>80.2222222222224</v>
      </c>
      <c r="AB137" s="0" t="n">
        <f aca="false">IF(NOT(AA137=""),SQRT(AA137),"")</f>
        <v>8.95668589502961</v>
      </c>
      <c r="AD137" s="66" t="n">
        <f aca="false">IF(NOT(W137=""),W137-AG137,"")</f>
        <v>819.666666666667</v>
      </c>
      <c r="AE137" s="66" t="n">
        <f aca="false">IF(NOT(W137=""),W137+AG137,"")</f>
        <v>863.666666666667</v>
      </c>
      <c r="AF137" s="63" t="n">
        <v>8.9566858950296</v>
      </c>
      <c r="AG137" s="63" t="n">
        <v>22</v>
      </c>
      <c r="AH137" s="63"/>
    </row>
    <row r="138" customFormat="false" ht="12.8" hidden="false" customHeight="false" outlineLevel="0" collapsed="false">
      <c r="A138" s="56" t="s">
        <v>47</v>
      </c>
      <c r="B138" s="57" t="n">
        <v>40</v>
      </c>
      <c r="C138" s="56" t="n">
        <v>591</v>
      </c>
      <c r="D138" s="25" t="n">
        <v>624</v>
      </c>
      <c r="E138" s="77" t="n">
        <v>684</v>
      </c>
      <c r="F138" s="0" t="n">
        <v>809</v>
      </c>
      <c r="G138" s="0" t="n">
        <f aca="false">IF(F138="", "", IF(C138="","", F138-C138))</f>
        <v>218</v>
      </c>
      <c r="H138" s="0" t="n">
        <f aca="false">IF(F138="", "", IF(D138="","", F138-D138))</f>
        <v>185</v>
      </c>
      <c r="I138" s="0" t="n">
        <f aca="false">IF(F138="", "", IF(E138="","", F138-E138))</f>
        <v>125</v>
      </c>
      <c r="J138" s="66" t="n">
        <f aca="false">IF(SUM(C138:E138)&gt;0,AVERAGE(G138:I138),"")</f>
        <v>176</v>
      </c>
      <c r="K138" s="66" t="n">
        <f aca="false">IF(NOT(G138=""),(G138-$J138)^2,"")</f>
        <v>1764</v>
      </c>
      <c r="L138" s="66" t="n">
        <f aca="false">IF(NOT(H138=""),(H138-$J138)^2,"")</f>
        <v>81</v>
      </c>
      <c r="M138" s="66" t="n">
        <f aca="false">IF(NOT(I138=""),(I138-$J138)^2,"")</f>
        <v>2601</v>
      </c>
      <c r="N138" s="66" t="n">
        <f aca="false">IF(COUNT(K138:M138)&gt;0,SUM(K138:M138)/COUNT(K138:M138),"")</f>
        <v>1482</v>
      </c>
      <c r="O138" s="66" t="n">
        <f aca="false">IF(NOT(N138=""),SQRT(N138),"")</f>
        <v>38.4967531098403</v>
      </c>
      <c r="P138" s="66" t="n">
        <f aca="false">IF(COUNT(K138:M138)&gt;0,VLOOKUP(COUNT(K138:M138),'t values'!$A$3:$C$5,3)*(O138/SQRT(COUNT(K138:M138))),"")</f>
        <v>95.638954647152</v>
      </c>
      <c r="Q138" s="66" t="n">
        <f aca="false">IF(NOT(P138=""),J138-P138,"")</f>
        <v>80.361045352848</v>
      </c>
      <c r="R138" s="66" t="n">
        <f aca="false">IF(NOT(P138=""),J138+P138,"")</f>
        <v>271.638954647152</v>
      </c>
      <c r="S138" s="0" t="n">
        <v>1710</v>
      </c>
      <c r="T138" s="0" t="n">
        <f aca="false">IF(S138="", "", IF(C138="","", S138-C138))</f>
        <v>1119</v>
      </c>
      <c r="U138" s="0" t="n">
        <f aca="false">IF($S138="", "", IF(D138="","", $S138-D138))</f>
        <v>1086</v>
      </c>
      <c r="V138" s="0" t="n">
        <f aca="false">IF($S138="", "", IF(E138="","", $S138-E138))</f>
        <v>1026</v>
      </c>
      <c r="W138" s="66" t="n">
        <f aca="false">IF(SUM($C138:$E138)&gt;0,IF(NOT(S138=""),AVERAGE(T138:V138),""),"")</f>
        <v>1077</v>
      </c>
      <c r="X138" s="66" t="n">
        <f aca="false">IF(NOT(T138=""),(T138-$W138)^2,"")</f>
        <v>1764</v>
      </c>
      <c r="Y138" s="66" t="n">
        <f aca="false">IF(NOT(U138=""),(U138-$W138)^2,"")</f>
        <v>81</v>
      </c>
      <c r="Z138" s="66" t="n">
        <f aca="false">IF(NOT(V138=""),(V138-$W138)^2,"")</f>
        <v>2601</v>
      </c>
      <c r="AA138" s="0" t="n">
        <f aca="false">IF(COUNT(X138:Z138)&gt;0,SUM(X138:Z138)/COUNT(X138:Z138),"")</f>
        <v>1482</v>
      </c>
      <c r="AB138" s="0" t="n">
        <f aca="false">IF(NOT(AA138=""),SQRT(AA138),"")</f>
        <v>38.4967531098403</v>
      </c>
      <c r="AD138" s="66" t="n">
        <f aca="false">IF(NOT(W138=""),W138-AG138,"")</f>
        <v>981</v>
      </c>
      <c r="AE138" s="66" t="n">
        <f aca="false">IF(NOT(W138=""),W138+AG138,"")</f>
        <v>1173</v>
      </c>
      <c r="AF138" s="63" t="n">
        <v>38.4967531098403</v>
      </c>
      <c r="AG138" s="63" t="n">
        <v>96</v>
      </c>
      <c r="AH138" s="63"/>
    </row>
    <row r="139" customFormat="false" ht="12.8" hidden="false" customHeight="false" outlineLevel="0" collapsed="false">
      <c r="A139" s="56" t="s">
        <v>47</v>
      </c>
      <c r="B139" s="57" t="n">
        <v>50</v>
      </c>
      <c r="C139" s="56" t="n">
        <v>479</v>
      </c>
      <c r="D139" s="25" t="n">
        <v>551</v>
      </c>
      <c r="E139" s="77" t="n">
        <v>507</v>
      </c>
      <c r="F139" s="0" t="n">
        <v>587</v>
      </c>
      <c r="G139" s="0" t="n">
        <f aca="false">IF(F139="", "", IF(C139="","", F139-C139))</f>
        <v>108</v>
      </c>
      <c r="H139" s="0" t="n">
        <f aca="false">IF(F139="", "", IF(D139="","", F139-D139))</f>
        <v>36</v>
      </c>
      <c r="I139" s="0" t="n">
        <f aca="false">IF(F139="", "", IF(E139="","", F139-E139))</f>
        <v>80</v>
      </c>
      <c r="J139" s="66" t="n">
        <f aca="false">IF(SUM(C139:E139)&gt;0,AVERAGE(G139:I139),"")</f>
        <v>74.6666666666667</v>
      </c>
      <c r="K139" s="66" t="n">
        <f aca="false">IF(NOT(G139=""),(G139-$J139)^2,"")</f>
        <v>1111.11111111111</v>
      </c>
      <c r="L139" s="66" t="n">
        <f aca="false">IF(NOT(H139=""),(H139-$J139)^2,"")</f>
        <v>1495.11111111111</v>
      </c>
      <c r="M139" s="66" t="n">
        <f aca="false">IF(NOT(I139=""),(I139-$J139)^2,"")</f>
        <v>28.4444444444444</v>
      </c>
      <c r="N139" s="66" t="n">
        <f aca="false">IF(COUNT(K139:M139)&gt;0,SUM(K139:M139)/COUNT(K139:M139),"")</f>
        <v>878.222222222222</v>
      </c>
      <c r="O139" s="66" t="n">
        <f aca="false">IF(NOT(N139=""),SQRT(N139),"")</f>
        <v>29.6348143611905</v>
      </c>
      <c r="P139" s="66" t="n">
        <f aca="false">IF(COUNT(K139:M139)&gt;0,VLOOKUP(COUNT(K139:M139),'t values'!$A$3:$C$5,3)*(O139/SQRT(COUNT(K139:M139))),"")</f>
        <v>73.6229016140635</v>
      </c>
      <c r="Q139" s="66" t="n">
        <f aca="false">IF(NOT(P139=""),J139-P139,"")</f>
        <v>1.04376505260316</v>
      </c>
      <c r="R139" s="66" t="n">
        <f aca="false">IF(NOT(P139=""),J139+P139,"")</f>
        <v>148.28956828073</v>
      </c>
      <c r="T139" s="0" t="str">
        <f aca="false">IF(S139="", "", IF(C139="","", S139-C139))</f>
        <v/>
      </c>
      <c r="U139" s="0" t="str">
        <f aca="false">IF($S139="", "", IF(D139="","", $S139-D139))</f>
        <v/>
      </c>
      <c r="V139" s="0" t="str">
        <f aca="false">IF($S139="", "", IF(E139="","", $S139-E139))</f>
        <v/>
      </c>
      <c r="W139" s="66" t="str">
        <f aca="false">IF(SUM($C139:$E139)&gt;0,IF(NOT(S139=""),AVERAGE(T139:V139),""),"")</f>
        <v/>
      </c>
      <c r="X139" s="66" t="str">
        <f aca="false">IF(NOT(T139=""),(T139-$W139)^2,"")</f>
        <v/>
      </c>
      <c r="Y139" s="66" t="str">
        <f aca="false">IF(NOT(U139=""),(U139-$W139)^2,"")</f>
        <v/>
      </c>
      <c r="Z139" s="66" t="str">
        <f aca="false">IF(NOT(V139=""),(V139-$W139)^2,"")</f>
        <v/>
      </c>
      <c r="AA139" s="0" t="str">
        <f aca="false">IF(COUNT(X139:Z139)&gt;0,SUM(X139:Z139)/COUNT(X139:Z139),"")</f>
        <v/>
      </c>
      <c r="AB139" s="0" t="str">
        <f aca="false">IF(NOT(AA139=""),SQRT(AA139),"")</f>
        <v/>
      </c>
      <c r="AD139" s="66" t="str">
        <f aca="false">IF(NOT(W139=""),W139-AG139,"")</f>
        <v/>
      </c>
      <c r="AE139" s="66" t="str">
        <f aca="false">IF(NOT(W139=""),W139+AG139,"")</f>
        <v/>
      </c>
      <c r="AF139" s="63" t="n">
        <v>29.6348143611905</v>
      </c>
      <c r="AG139" s="63" t="n">
        <v>74</v>
      </c>
      <c r="AH139" s="63"/>
    </row>
    <row r="140" customFormat="false" ht="12.8" hidden="false" customHeight="false" outlineLevel="0" collapsed="false">
      <c r="A140" s="56" t="s">
        <v>47</v>
      </c>
      <c r="B140" s="57" t="n">
        <v>64</v>
      </c>
      <c r="C140" s="56" t="n">
        <v>419</v>
      </c>
      <c r="D140" s="25" t="n">
        <v>685</v>
      </c>
      <c r="E140" s="77" t="n">
        <v>488</v>
      </c>
      <c r="F140" s="0" t="n">
        <v>603</v>
      </c>
      <c r="G140" s="0" t="n">
        <f aca="false">IF(F140="", "", IF(C140="","", F140-C140))</f>
        <v>184</v>
      </c>
      <c r="H140" s="0" t="n">
        <f aca="false">IF(F140="", "", IF(D140="","", F140-D140))</f>
        <v>-82</v>
      </c>
      <c r="I140" s="0" t="n">
        <f aca="false">IF(F140="", "", IF(E140="","", F140-E140))</f>
        <v>115</v>
      </c>
      <c r="J140" s="66" t="n">
        <f aca="false">IF(SUM(C140:E140)&gt;0,AVERAGE(G140:I140),"")</f>
        <v>72.3333333333333</v>
      </c>
      <c r="K140" s="66" t="n">
        <f aca="false">IF(NOT(G140=""),(G140-$J140)^2,"")</f>
        <v>12469.4444444444</v>
      </c>
      <c r="L140" s="66" t="n">
        <f aca="false">IF(NOT(H140=""),(H140-$J140)^2,"")</f>
        <v>23818.7777777778</v>
      </c>
      <c r="M140" s="66" t="n">
        <f aca="false">IF(NOT(I140=""),(I140-$J140)^2,"")</f>
        <v>1820.44444444444</v>
      </c>
      <c r="N140" s="66" t="n">
        <f aca="false">IF(COUNT(K140:M140)&gt;0,SUM(K140:M140)/COUNT(K140:M140),"")</f>
        <v>12702.8888888889</v>
      </c>
      <c r="O140" s="66" t="n">
        <f aca="false">IF(NOT(N140=""),SQRT(N140),"")</f>
        <v>112.707093338835</v>
      </c>
      <c r="P140" s="66" t="n">
        <f aca="false">IF(COUNT(K140:M140)&gt;0,VLOOKUP(COUNT(K140:M140),'t values'!$A$3:$C$5,3)*(O140/SQRT(COUNT(K140:M140))),"")</f>
        <v>280.00253833069</v>
      </c>
      <c r="Q140" s="66" t="n">
        <f aca="false">IF(NOT(P140=""),J140-P140,"")</f>
        <v>-207.669204997357</v>
      </c>
      <c r="R140" s="66" t="n">
        <f aca="false">IF(NOT(P140=""),J140+P140,"")</f>
        <v>352.335871664024</v>
      </c>
      <c r="T140" s="0" t="str">
        <f aca="false">IF(S140="", "", IF(C140="","", S140-C140))</f>
        <v/>
      </c>
      <c r="U140" s="0" t="str">
        <f aca="false">IF($S140="", "", IF(D140="","", $S140-D140))</f>
        <v/>
      </c>
      <c r="V140" s="0" t="str">
        <f aca="false">IF($S140="", "", IF(E140="","", $S140-E140))</f>
        <v/>
      </c>
      <c r="W140" s="66" t="str">
        <f aca="false">IF(SUM($C140:$E140)&gt;0,IF(NOT(S140=""),AVERAGE(T140:V140),""),"")</f>
        <v/>
      </c>
      <c r="X140" s="66" t="str">
        <f aca="false">IF(NOT(T140=""),(T140-$W140)^2,"")</f>
        <v/>
      </c>
      <c r="Y140" s="66" t="str">
        <f aca="false">IF(NOT(U140=""),(U140-$W140)^2,"")</f>
        <v/>
      </c>
      <c r="Z140" s="66" t="str">
        <f aca="false">IF(NOT(V140=""),(V140-$W140)^2,"")</f>
        <v/>
      </c>
      <c r="AA140" s="0" t="str">
        <f aca="false">IF(COUNT(X140:Z140)&gt;0,SUM(X140:Z140)/COUNT(X140:Z140),"")</f>
        <v/>
      </c>
      <c r="AB140" s="0" t="str">
        <f aca="false">IF(NOT(AA140=""),SQRT(AA140),"")</f>
        <v/>
      </c>
      <c r="AD140" s="66" t="str">
        <f aca="false">IF(NOT(W140=""),W140-AG140,"")</f>
        <v/>
      </c>
      <c r="AE140" s="66" t="str">
        <f aca="false">IF(NOT(W140=""),W140+AG140,"")</f>
        <v/>
      </c>
      <c r="AF140" s="63" t="n">
        <v>112.707093338835</v>
      </c>
      <c r="AG140" s="63" t="n">
        <v>280</v>
      </c>
      <c r="AH140" s="63"/>
    </row>
    <row r="141" customFormat="false" ht="12.8" hidden="false" customHeight="false" outlineLevel="0" collapsed="false">
      <c r="A141" s="56" t="s">
        <v>47</v>
      </c>
      <c r="B141" s="57" t="n">
        <v>82</v>
      </c>
      <c r="C141" s="56" t="n">
        <v>348</v>
      </c>
      <c r="D141" s="25" t="n">
        <v>383</v>
      </c>
      <c r="E141" s="77" t="n">
        <v>384</v>
      </c>
      <c r="F141" s="0" t="n">
        <v>724</v>
      </c>
      <c r="G141" s="0" t="n">
        <f aca="false">IF(F141="", "", IF(C141="","", F141-C141))</f>
        <v>376</v>
      </c>
      <c r="H141" s="0" t="n">
        <f aca="false">IF(F141="", "", IF(D141="","", F141-D141))</f>
        <v>341</v>
      </c>
      <c r="I141" s="0" t="n">
        <f aca="false">IF(F141="", "", IF(E141="","", F141-E141))</f>
        <v>340</v>
      </c>
      <c r="J141" s="66" t="n">
        <f aca="false">IF(SUM(C141:E141)&gt;0,AVERAGE(G141:I141),"")</f>
        <v>352.333333333333</v>
      </c>
      <c r="K141" s="66" t="n">
        <f aca="false">IF(NOT(G141=""),(G141-$J141)^2,"")</f>
        <v>560.111111111112</v>
      </c>
      <c r="L141" s="66" t="n">
        <f aca="false">IF(NOT(H141=""),(H141-$J141)^2,"")</f>
        <v>128.444444444444</v>
      </c>
      <c r="M141" s="66" t="n">
        <f aca="false">IF(NOT(I141=""),(I141-$J141)^2,"")</f>
        <v>152.111111111111</v>
      </c>
      <c r="N141" s="66" t="n">
        <f aca="false">IF(COUNT(K141:M141)&gt;0,SUM(K141:M141)/COUNT(K141:M141),"")</f>
        <v>280.222222222222</v>
      </c>
      <c r="O141" s="66" t="n">
        <f aca="false">IF(NOT(N141=""),SQRT(N141),"")</f>
        <v>16.739839372653</v>
      </c>
      <c r="P141" s="66" t="n">
        <f aca="false">IF(COUNT(K141:M141)&gt;0,VLOOKUP(COUNT(K141:M141),'t values'!$A$3:$C$5,3)*(O141/SQRT(COUNT(K141:M141))),"")</f>
        <v>41.5874225546708</v>
      </c>
      <c r="Q141" s="66" t="n">
        <f aca="false">IF(NOT(P141=""),J141-P141,"")</f>
        <v>310.745910778663</v>
      </c>
      <c r="R141" s="66" t="n">
        <f aca="false">IF(NOT(P141=""),J141+P141,"")</f>
        <v>393.920755888004</v>
      </c>
      <c r="T141" s="0" t="str">
        <f aca="false">IF(S141="", "", IF(C141="","", S141-C141))</f>
        <v/>
      </c>
      <c r="U141" s="0" t="str">
        <f aca="false">IF($S141="", "", IF(D141="","", $S141-D141))</f>
        <v/>
      </c>
      <c r="V141" s="0" t="str">
        <f aca="false">IF($S141="", "", IF(E141="","", $S141-E141))</f>
        <v/>
      </c>
      <c r="W141" s="66" t="str">
        <f aca="false">IF(SUM($C141:$E141)&gt;0,IF(NOT(S141=""),AVERAGE(T141:V141),""),"")</f>
        <v/>
      </c>
      <c r="X141" s="66" t="str">
        <f aca="false">IF(NOT(T141=""),(T141-$W141)^2,"")</f>
        <v/>
      </c>
      <c r="Y141" s="66" t="str">
        <f aca="false">IF(NOT(U141=""),(U141-$W141)^2,"")</f>
        <v/>
      </c>
      <c r="Z141" s="66" t="str">
        <f aca="false">IF(NOT(V141=""),(V141-$W141)^2,"")</f>
        <v/>
      </c>
      <c r="AA141" s="0" t="str">
        <f aca="false">IF(COUNT(X141:Z141)&gt;0,SUM(X141:Z141)/COUNT(X141:Z141),"")</f>
        <v/>
      </c>
      <c r="AB141" s="0" t="str">
        <f aca="false">IF(NOT(AA141=""),SQRT(AA141),"")</f>
        <v/>
      </c>
      <c r="AD141" s="66" t="str">
        <f aca="false">IF(NOT(W141=""),W141-AG141,"")</f>
        <v/>
      </c>
      <c r="AE141" s="66" t="str">
        <f aca="false">IF(NOT(W141=""),W141+AG141,"")</f>
        <v/>
      </c>
      <c r="AF141" s="63" t="n">
        <v>16.739839372653</v>
      </c>
      <c r="AG141" s="63" t="n">
        <v>42</v>
      </c>
      <c r="AH141" s="63"/>
    </row>
    <row r="142" customFormat="false" ht="12.8" hidden="false" customHeight="false" outlineLevel="0" collapsed="false">
      <c r="A142" s="56" t="s">
        <v>47</v>
      </c>
      <c r="B142" s="57" t="n">
        <v>100</v>
      </c>
      <c r="C142" s="56" t="n">
        <v>291</v>
      </c>
      <c r="D142" s="25" t="n">
        <v>341</v>
      </c>
      <c r="E142" s="77" t="n">
        <v>392</v>
      </c>
      <c r="F142" s="0" t="n">
        <v>533</v>
      </c>
      <c r="G142" s="0" t="n">
        <f aca="false">IF(F142="", "", IF(C142="","", F142-C142))</f>
        <v>242</v>
      </c>
      <c r="H142" s="0" t="n">
        <f aca="false">IF(F142="", "", IF(D142="","", F142-D142))</f>
        <v>192</v>
      </c>
      <c r="I142" s="0" t="n">
        <f aca="false">IF(F142="", "", IF(E142="","", F142-E142))</f>
        <v>141</v>
      </c>
      <c r="J142" s="66" t="n">
        <f aca="false">IF(SUM(C142:E142)&gt;0,AVERAGE(G142:I142),"")</f>
        <v>191.666666666667</v>
      </c>
      <c r="K142" s="66" t="n">
        <f aca="false">IF(NOT(G142=""),(G142-$J142)^2,"")</f>
        <v>2533.44444444445</v>
      </c>
      <c r="L142" s="66" t="n">
        <f aca="false">IF(NOT(H142=""),(H142-$J142)^2,"")</f>
        <v>0.111111111111117</v>
      </c>
      <c r="M142" s="66" t="n">
        <f aca="false">IF(NOT(I142=""),(I142-$J142)^2,"")</f>
        <v>2567.11111111111</v>
      </c>
      <c r="N142" s="66" t="n">
        <f aca="false">IF(COUNT(K142:M142)&gt;0,SUM(K142:M142)/COUNT(K142:M142),"")</f>
        <v>1700.22222222222</v>
      </c>
      <c r="O142" s="66" t="n">
        <f aca="false">IF(NOT(N142=""),SQRT(N142),"")</f>
        <v>41.2337510083939</v>
      </c>
      <c r="P142" s="66" t="n">
        <f aca="false">IF(COUNT(K142:M142)&gt;0,VLOOKUP(COUNT(K142:M142),'t values'!$A$3:$C$5,3)*(O142/SQRT(COUNT(K142:M142))),"")</f>
        <v>102.438583102628</v>
      </c>
      <c r="Q142" s="66" t="n">
        <f aca="false">IF(NOT(P142=""),J142-P142,"")</f>
        <v>89.2280835640384</v>
      </c>
      <c r="R142" s="66" t="n">
        <f aca="false">IF(NOT(P142=""),J142+P142,"")</f>
        <v>294.105249769295</v>
      </c>
      <c r="S142" s="0" t="n">
        <v>1470</v>
      </c>
      <c r="T142" s="0" t="n">
        <f aca="false">IF(S142="", "", IF(C142="","", S142-C142))</f>
        <v>1179</v>
      </c>
      <c r="U142" s="0" t="n">
        <f aca="false">IF($S142="", "", IF(D142="","", $S142-D142))</f>
        <v>1129</v>
      </c>
      <c r="V142" s="0" t="n">
        <f aca="false">IF($S142="", "", IF(E142="","", $S142-E142))</f>
        <v>1078</v>
      </c>
      <c r="W142" s="66" t="n">
        <f aca="false">IF(SUM($C142:$E142)&gt;0,IF(NOT(S142=""),AVERAGE(T142:V142),""),"")</f>
        <v>1128.66666666667</v>
      </c>
      <c r="X142" s="66" t="n">
        <f aca="false">IF(NOT(T142=""),(T142-$W142)^2,"")</f>
        <v>2533.44444444444</v>
      </c>
      <c r="Y142" s="66" t="n">
        <f aca="false">IF(NOT(U142=""),(U142-$W142)^2,"")</f>
        <v>0.111111111111061</v>
      </c>
      <c r="Z142" s="66" t="n">
        <f aca="false">IF(NOT(V142=""),(V142-$W142)^2,"")</f>
        <v>2567.11111111112</v>
      </c>
      <c r="AA142" s="0" t="n">
        <f aca="false">IF(COUNT(X142:Z142)&gt;0,SUM(X142:Z142)/COUNT(X142:Z142),"")</f>
        <v>1700.22222222222</v>
      </c>
      <c r="AB142" s="0" t="n">
        <f aca="false">IF(NOT(AA142=""),SQRT(AA142),"")</f>
        <v>41.2337510083939</v>
      </c>
      <c r="AD142" s="66" t="n">
        <f aca="false">IF(NOT(W142=""),W142-AG142,"")</f>
        <v>1026.66666666667</v>
      </c>
      <c r="AE142" s="66" t="n">
        <f aca="false">IF(NOT(W142=""),W142+AG142,"")</f>
        <v>1230.66666666667</v>
      </c>
      <c r="AF142" s="63" t="n">
        <v>41.2337510083939</v>
      </c>
      <c r="AG142" s="63" t="n">
        <v>102</v>
      </c>
      <c r="AH142" s="63"/>
    </row>
    <row r="143" customFormat="false" ht="12.8" hidden="false" customHeight="false" outlineLevel="0" collapsed="false">
      <c r="A143" s="56" t="s">
        <v>45</v>
      </c>
      <c r="B143" s="57" t="n">
        <v>5</v>
      </c>
      <c r="C143" s="56"/>
      <c r="D143" s="25"/>
      <c r="E143" s="77"/>
      <c r="G143" s="0" t="str">
        <f aca="false">IF(F143="", "", IF(C143="","", F143-C143))</f>
        <v/>
      </c>
      <c r="H143" s="0" t="str">
        <f aca="false">IF(F143="", "", IF(D143="","", F143-D143))</f>
        <v/>
      </c>
      <c r="I143" s="0" t="str">
        <f aca="false">IF(F143="", "", IF(E143="","", F143-E143))</f>
        <v/>
      </c>
      <c r="J143" s="66" t="str">
        <f aca="false">IF(SUM(C143:E143)&gt;0,AVERAGE(G143:I143),"")</f>
        <v/>
      </c>
      <c r="K143" s="66" t="str">
        <f aca="false">IF(NOT(G143=""),(G143-$J143)^2,"")</f>
        <v/>
      </c>
      <c r="L143" s="66" t="str">
        <f aca="false">IF(NOT(H143=""),(H143-$J143)^2,"")</f>
        <v/>
      </c>
      <c r="M143" s="66" t="str">
        <f aca="false">IF(NOT(I143=""),(I143-$J143)^2,"")</f>
        <v/>
      </c>
      <c r="N143" s="66" t="str">
        <f aca="false">IF(COUNT(K143:M143)&gt;0,SUM(K143:M143)/COUNT(K143:M143),"")</f>
        <v/>
      </c>
      <c r="O143" s="66" t="str">
        <f aca="false">IF(NOT(N143=""),SQRT(N143),"")</f>
        <v/>
      </c>
      <c r="P143" s="66" t="str">
        <f aca="false">IF(COUNT(K143:M143)&gt;0,VLOOKUP(COUNT(K143:M143),'t values'!$A$3:$C$5,3)*(O143/SQRT(COUNT(K143:M143))),"")</f>
        <v/>
      </c>
      <c r="Q143" s="66" t="str">
        <f aca="false">IF(NOT(P143=""),J143-P143,"")</f>
        <v/>
      </c>
      <c r="R143" s="66" t="str">
        <f aca="false">IF(NOT(P143=""),J143+P143,"")</f>
        <v/>
      </c>
      <c r="T143" s="0" t="str">
        <f aca="false">IF(S143="", "", IF(C143="","", S143-C143))</f>
        <v/>
      </c>
      <c r="U143" s="0" t="str">
        <f aca="false">IF($S143="", "", IF(D143="","", $S143-D143))</f>
        <v/>
      </c>
      <c r="V143" s="0" t="str">
        <f aca="false">IF($S143="", "", IF(E143="","", $S143-E143))</f>
        <v/>
      </c>
      <c r="W143" s="66" t="str">
        <f aca="false">IF(SUM($C143:$E143)&gt;0,IF(NOT(S143=""),AVERAGE(T143:V143),""),"")</f>
        <v/>
      </c>
      <c r="X143" s="0" t="str">
        <f aca="false">IF(NOT(T143=""),(T143-$W143)^2,"")</f>
        <v/>
      </c>
      <c r="Y143" s="0" t="str">
        <f aca="false">IF(NOT(U143=""),(U143-$W143)^2,"")</f>
        <v/>
      </c>
      <c r="Z143" s="0" t="str">
        <f aca="false">IF(NOT(V143=""),(V143-$W143)^2,"")</f>
        <v/>
      </c>
      <c r="AA143" s="0" t="str">
        <f aca="false">IF(COUNT(X143:Z143)&gt;0,SUM(X143:Z143)/COUNT(X143:Z143),"")</f>
        <v/>
      </c>
      <c r="AB143" s="0" t="str">
        <f aca="false">IF(NOT(AA143=""),SQRT(AA143),"")</f>
        <v/>
      </c>
      <c r="AD143" s="66" t="str">
        <f aca="false">IF(NOT(W143=""),W143-AG143,"")</f>
        <v/>
      </c>
      <c r="AE143" s="66" t="str">
        <f aca="false">IF(NOT(W143=""),W143+AG143,"")</f>
        <v/>
      </c>
      <c r="AF143" s="63"/>
      <c r="AG143" s="63"/>
      <c r="AH143" s="63"/>
    </row>
    <row r="144" customFormat="false" ht="12.8" hidden="false" customHeight="false" outlineLevel="0" collapsed="false">
      <c r="A144" s="56" t="s">
        <v>45</v>
      </c>
      <c r="B144" s="57" t="n">
        <v>10</v>
      </c>
      <c r="C144" s="56"/>
      <c r="D144" s="25"/>
      <c r="E144" s="77"/>
      <c r="G144" s="0" t="str">
        <f aca="false">IF(F144="", "", IF(C144="","", F144-C144))</f>
        <v/>
      </c>
      <c r="H144" s="0" t="str">
        <f aca="false">IF(F144="", "", IF(D144="","", F144-D144))</f>
        <v/>
      </c>
      <c r="I144" s="0" t="str">
        <f aca="false">IF(F144="", "", IF(E144="","", F144-E144))</f>
        <v/>
      </c>
      <c r="J144" s="66"/>
      <c r="K144" s="66" t="str">
        <f aca="false">IF(NOT(G144=""),(G144-$J144)^2,"")</f>
        <v/>
      </c>
      <c r="L144" s="66" t="str">
        <f aca="false">IF(NOT(H144=""),(H144-$J144)^2,"")</f>
        <v/>
      </c>
      <c r="M144" s="66" t="str">
        <f aca="false">IF(NOT(I144=""),(I144-$J144)^2,"")</f>
        <v/>
      </c>
      <c r="N144" s="66" t="str">
        <f aca="false">IF(COUNT(K144:M144)&gt;0,SUM(K144:M144)/COUNT(K144:M144),"")</f>
        <v/>
      </c>
      <c r="O144" s="66" t="str">
        <f aca="false">IF(NOT(N144=""),SQRT(N144),"")</f>
        <v/>
      </c>
      <c r="P144" s="66" t="str">
        <f aca="false">IF(COUNT(K144:M144)&gt;0,VLOOKUP(COUNT(K144:M144),'t values'!$A$3:$C$5,3)*(O144/SQRT(COUNT(K144:M144))),"")</f>
        <v/>
      </c>
      <c r="Q144" s="66" t="str">
        <f aca="false">IF(NOT(P144=""),J144-P144,"")</f>
        <v/>
      </c>
      <c r="R144" s="66" t="str">
        <f aca="false">IF(NOT(P144=""),J144+P144,"")</f>
        <v/>
      </c>
      <c r="T144" s="0" t="str">
        <f aca="false">IF(S144="", "", IF(C144="","", S144-C144))</f>
        <v/>
      </c>
      <c r="U144" s="0" t="str">
        <f aca="false">IF($S144="", "", IF(D144="","", $S144-D144))</f>
        <v/>
      </c>
      <c r="V144" s="0" t="str">
        <f aca="false">IF($S144="", "", IF(E144="","", $S144-E144))</f>
        <v/>
      </c>
      <c r="W144" s="66" t="str">
        <f aca="false">IF(SUM($C144:$E144)&gt;0,IF(NOT(S144=""),AVERAGE(T144:V144),""),"")</f>
        <v/>
      </c>
      <c r="X144" s="0" t="str">
        <f aca="false">IF(NOT(T144=""),(T144-$W144)^2,"")</f>
        <v/>
      </c>
      <c r="Y144" s="0" t="str">
        <f aca="false">IF(NOT(U144=""),(U144-$W144)^2,"")</f>
        <v/>
      </c>
      <c r="Z144" s="0" t="str">
        <f aca="false">IF(NOT(V144=""),(V144-$W144)^2,"")</f>
        <v/>
      </c>
      <c r="AA144" s="0" t="str">
        <f aca="false">IF(COUNT(X144:Z144)&gt;0,SUM(X144:Z144)/COUNT(X144:Z144),"")</f>
        <v/>
      </c>
      <c r="AB144" s="0" t="str">
        <f aca="false">IF(NOT(AA144=""),SQRT(AA144),"")</f>
        <v/>
      </c>
      <c r="AD144" s="66" t="str">
        <f aca="false">IF(NOT(W144=""),W144-AG144,"")</f>
        <v/>
      </c>
      <c r="AE144" s="66" t="str">
        <f aca="false">IF(NOT(W144=""),W144+AG144,"")</f>
        <v/>
      </c>
      <c r="AF144" s="63" t="n">
        <v>0</v>
      </c>
      <c r="AG144" s="63" t="n">
        <v>1394</v>
      </c>
      <c r="AH144" s="63"/>
    </row>
    <row r="145" customFormat="false" ht="12.8" hidden="false" customHeight="false" outlineLevel="0" collapsed="false">
      <c r="A145" s="56" t="s">
        <v>45</v>
      </c>
      <c r="B145" s="57" t="n">
        <v>15</v>
      </c>
      <c r="C145" s="56" t="n">
        <v>3090</v>
      </c>
      <c r="D145" s="25"/>
      <c r="E145" s="77" t="n">
        <v>3682</v>
      </c>
      <c r="G145" s="0" t="str">
        <f aca="false">IF(F145="", "", IF(C145="","", F145-C145))</f>
        <v/>
      </c>
      <c r="H145" s="0" t="str">
        <f aca="false">IF(F145="", "", IF(D145="","", F145-D145))</f>
        <v/>
      </c>
      <c r="I145" s="0" t="str">
        <f aca="false">IF(F145="", "", IF(E145="","", F145-E145))</f>
        <v/>
      </c>
      <c r="J145" s="66"/>
      <c r="K145" s="66" t="str">
        <f aca="false">IF(NOT(G145=""),(G145-$J145)^2,"")</f>
        <v/>
      </c>
      <c r="L145" s="66" t="str">
        <f aca="false">IF(NOT(H145=""),(H145-$J145)^2,"")</f>
        <v/>
      </c>
      <c r="M145" s="66" t="str">
        <f aca="false">IF(NOT(I145=""),(I145-$J145)^2,"")</f>
        <v/>
      </c>
      <c r="N145" s="66" t="str">
        <f aca="false">IF(COUNT(K145:M145)&gt;0,SUM(K145:M145)/COUNT(K145:M145),"")</f>
        <v/>
      </c>
      <c r="O145" s="66" t="str">
        <f aca="false">IF(NOT(N145=""),SQRT(N145),"")</f>
        <v/>
      </c>
      <c r="P145" s="66" t="str">
        <f aca="false">IF(COUNT(K145:M145)&gt;0,VLOOKUP(COUNT(K145:M145),'t values'!$A$3:$C$5,3)*(O145/SQRT(COUNT(K145:M145))),"")</f>
        <v/>
      </c>
      <c r="Q145" s="66" t="str">
        <f aca="false">IF(NOT(P145=""),J145-P145,"")</f>
        <v/>
      </c>
      <c r="R145" s="66" t="str">
        <f aca="false">IF(NOT(P145=""),J145+P145,"")</f>
        <v/>
      </c>
      <c r="T145" s="0" t="str">
        <f aca="false">IF(S145="", "", IF(C145="","", S145-C145))</f>
        <v/>
      </c>
      <c r="U145" s="0" t="str">
        <f aca="false">IF($S145="", "", IF(D145="","", $S145-D145))</f>
        <v/>
      </c>
      <c r="V145" s="0" t="str">
        <f aca="false">IF($S145="", "", IF(E145="","", $S145-E145))</f>
        <v/>
      </c>
      <c r="W145" s="66" t="str">
        <f aca="false">IF(SUM($C145:$E145)&gt;0,IF(NOT(S145=""),AVERAGE(T145:V145),""),"")</f>
        <v/>
      </c>
      <c r="X145" s="0" t="str">
        <f aca="false">IF(NOT(T145=""),(T145-$W145)^2,"")</f>
        <v/>
      </c>
      <c r="Y145" s="0" t="str">
        <f aca="false">IF(NOT(U145=""),(U145-$W145)^2,"")</f>
        <v/>
      </c>
      <c r="Z145" s="0" t="str">
        <f aca="false">IF(NOT(V145=""),(V145-$W145)^2,"")</f>
        <v/>
      </c>
      <c r="AA145" s="0" t="str">
        <f aca="false">IF(COUNT(X145:Z145)&gt;0,SUM(X145:Z145)/COUNT(X145:Z145),"")</f>
        <v/>
      </c>
      <c r="AB145" s="0" t="str">
        <f aca="false">IF(NOT(AA145=""),SQRT(AA145),"")</f>
        <v/>
      </c>
      <c r="AD145" s="66" t="str">
        <f aca="false">IF(NOT(W145=""),W145-AG145,"")</f>
        <v/>
      </c>
      <c r="AE145" s="66" t="str">
        <f aca="false">IF(NOT(W145=""),W145+AG145,"")</f>
        <v/>
      </c>
      <c r="AF145" s="63" t="n">
        <v>1089.22571887863</v>
      </c>
      <c r="AG145" s="63" t="n">
        <v>-71.0050708982217</v>
      </c>
      <c r="AH145" s="63"/>
    </row>
    <row r="146" customFormat="false" ht="12.8" hidden="false" customHeight="false" outlineLevel="0" collapsed="false">
      <c r="A146" s="56" t="s">
        <v>45</v>
      </c>
      <c r="B146" s="57" t="n">
        <v>20</v>
      </c>
      <c r="C146" s="56" t="n">
        <v>2172</v>
      </c>
      <c r="D146" s="25"/>
      <c r="E146" s="77" t="n">
        <v>2275</v>
      </c>
      <c r="G146" s="0" t="str">
        <f aca="false">IF(F146="", "", IF(C146="","", F146-C146))</f>
        <v/>
      </c>
      <c r="H146" s="0" t="str">
        <f aca="false">IF(F146="", "", IF(D146="","", F146-D146))</f>
        <v/>
      </c>
      <c r="I146" s="0" t="str">
        <f aca="false">IF(F146="", "", IF(E146="","", F146-E146))</f>
        <v/>
      </c>
      <c r="J146" s="66"/>
      <c r="K146" s="66" t="str">
        <f aca="false">IF(NOT(G146=""),(G146-$J146)^2,"")</f>
        <v/>
      </c>
      <c r="L146" s="66" t="str">
        <f aca="false">IF(NOT(H146=""),(H146-$J146)^2,"")</f>
        <v/>
      </c>
      <c r="M146" s="66" t="str">
        <f aca="false">IF(NOT(I146=""),(I146-$J146)^2,"")</f>
        <v/>
      </c>
      <c r="N146" s="66" t="str">
        <f aca="false">IF(COUNT(K146:M146)&gt;0,SUM(K146:M146)/COUNT(K146:M146),"")</f>
        <v/>
      </c>
      <c r="O146" s="66" t="str">
        <f aca="false">IF(NOT(N146=""),SQRT(N146),"")</f>
        <v/>
      </c>
      <c r="P146" s="66" t="str">
        <f aca="false">IF(COUNT(K146:M146)&gt;0,VLOOKUP(COUNT(K146:M146),'t values'!$A$3:$C$5,3)*(O146/SQRT(COUNT(K146:M146))),"")</f>
        <v/>
      </c>
      <c r="Q146" s="66" t="str">
        <f aca="false">IF(NOT(P146=""),J146-P146,"")</f>
        <v/>
      </c>
      <c r="R146" s="66" t="str">
        <f aca="false">IF(NOT(P146=""),J146+P146,"")</f>
        <v/>
      </c>
      <c r="T146" s="0" t="str">
        <f aca="false">IF(S146="", "", IF(C146="","", S146-C146))</f>
        <v/>
      </c>
      <c r="U146" s="0" t="str">
        <f aca="false">IF($S146="", "", IF(D146="","", $S146-D146))</f>
        <v/>
      </c>
      <c r="V146" s="0" t="str">
        <f aca="false">IF($S146="", "", IF(E146="","", $S146-E146))</f>
        <v/>
      </c>
      <c r="W146" s="66" t="str">
        <f aca="false">IF(SUM($C146:$E146)&gt;0,IF(NOT(S146=""),AVERAGE(T146:V146),""),"")</f>
        <v/>
      </c>
      <c r="X146" s="0" t="str">
        <f aca="false">IF(NOT(T146=""),(T146-$W146)^2,"")</f>
        <v/>
      </c>
      <c r="Y146" s="0" t="str">
        <f aca="false">IF(NOT(U146=""),(U146-$W146)^2,"")</f>
        <v/>
      </c>
      <c r="Z146" s="0" t="str">
        <f aca="false">IF(NOT(V146=""),(V146-$W146)^2,"")</f>
        <v/>
      </c>
      <c r="AA146" s="0" t="str">
        <f aca="false">IF(COUNT(X146:Z146)&gt;0,SUM(X146:Z146)/COUNT(X146:Z146),"")</f>
        <v/>
      </c>
      <c r="AB146" s="0" t="str">
        <f aca="false">IF(NOT(AA146=""),SQRT(AA146),"")</f>
        <v/>
      </c>
      <c r="AD146" s="66" t="str">
        <f aca="false">IF(NOT(W146=""),W146-AG146,"")</f>
        <v/>
      </c>
      <c r="AE146" s="66" t="str">
        <f aca="false">IF(NOT(W146=""),W146+AG146,"")</f>
        <v/>
      </c>
      <c r="AF146" s="63" t="n">
        <v>646.956464274581</v>
      </c>
      <c r="AG146" s="63" t="n">
        <v>159.741336681131</v>
      </c>
      <c r="AH146" s="63"/>
    </row>
    <row r="147" customFormat="false" ht="12.8" hidden="false" customHeight="false" outlineLevel="0" collapsed="false">
      <c r="A147" s="56" t="s">
        <v>45</v>
      </c>
      <c r="B147" s="57" t="n">
        <v>30</v>
      </c>
      <c r="C147" s="56" t="n">
        <v>2233</v>
      </c>
      <c r="D147" s="25" t="n">
        <v>1975</v>
      </c>
      <c r="E147" s="77" t="n">
        <v>1577</v>
      </c>
      <c r="G147" s="0" t="str">
        <f aca="false">IF(F147="", "", IF(C147="","", F147-C147))</f>
        <v/>
      </c>
      <c r="H147" s="0" t="str">
        <f aca="false">IF(F147="", "", IF(D147="","", F147-D147))</f>
        <v/>
      </c>
      <c r="I147" s="0" t="str">
        <f aca="false">IF(F147="", "", IF(E147="","", F147-E147))</f>
        <v/>
      </c>
      <c r="J147" s="66"/>
      <c r="K147" s="66" t="str">
        <f aca="false">IF(NOT(G147=""),(G147-$J147)^2,"")</f>
        <v/>
      </c>
      <c r="L147" s="66" t="str">
        <f aca="false">IF(NOT(H147=""),(H147-$J147)^2,"")</f>
        <v/>
      </c>
      <c r="M147" s="66" t="str">
        <f aca="false">IF(NOT(I147=""),(I147-$J147)^2,"")</f>
        <v/>
      </c>
      <c r="N147" s="66" t="str">
        <f aca="false">IF(COUNT(K147:M147)&gt;0,SUM(K147:M147)/COUNT(K147:M147),"")</f>
        <v/>
      </c>
      <c r="O147" s="66" t="str">
        <f aca="false">IF(NOT(N147=""),SQRT(N147),"")</f>
        <v/>
      </c>
      <c r="P147" s="66" t="str">
        <f aca="false">IF(COUNT(K147:M147)&gt;0,VLOOKUP(COUNT(K147:M147),'t values'!$A$3:$C$5,3)*(O147/SQRT(COUNT(K147:M147))),"")</f>
        <v/>
      </c>
      <c r="Q147" s="66" t="str">
        <f aca="false">IF(NOT(P147=""),J147-P147,"")</f>
        <v/>
      </c>
      <c r="R147" s="66" t="str">
        <f aca="false">IF(NOT(P147=""),J147+P147,"")</f>
        <v/>
      </c>
      <c r="T147" s="0" t="str">
        <f aca="false">IF(S147="", "", IF(C147="","", S147-C147))</f>
        <v/>
      </c>
      <c r="U147" s="0" t="str">
        <f aca="false">IF($S147="", "", IF(D147="","", $S147-D147))</f>
        <v/>
      </c>
      <c r="V147" s="0" t="str">
        <f aca="false">IF($S147="", "", IF(E147="","", $S147-E147))</f>
        <v/>
      </c>
      <c r="W147" s="66" t="str">
        <f aca="false">IF(SUM($C147:$E147)&gt;0,IF(NOT(S147=""),AVERAGE(T147:V147),""),"")</f>
        <v/>
      </c>
      <c r="X147" s="0" t="str">
        <f aca="false">IF(NOT(T147=""),(T147-$W147)^2,"")</f>
        <v/>
      </c>
      <c r="Y147" s="0" t="str">
        <f aca="false">IF(NOT(U147=""),(U147-$W147)^2,"")</f>
        <v/>
      </c>
      <c r="Z147" s="0" t="str">
        <f aca="false">IF(NOT(V147=""),(V147-$W147)^2,"")</f>
        <v/>
      </c>
      <c r="AA147" s="0" t="str">
        <f aca="false">IF(COUNT(X147:Z147)&gt;0,SUM(X147:Z147)/COUNT(X147:Z147),"")</f>
        <v/>
      </c>
      <c r="AB147" s="0" t="str">
        <f aca="false">IF(NOT(AA147=""),SQRT(AA147),"")</f>
        <v/>
      </c>
      <c r="AD147" s="66" t="str">
        <f aca="false">IF(NOT(W147=""),W147-AG147,"")</f>
        <v/>
      </c>
      <c r="AE147" s="66" t="str">
        <f aca="false">IF(NOT(W147=""),W147+AG147,"")</f>
        <v/>
      </c>
      <c r="AF147" s="63" t="n">
        <v>690.451060298025</v>
      </c>
      <c r="AG147" s="63" t="n">
        <v>-260.313950075483</v>
      </c>
      <c r="AH147" s="63"/>
    </row>
    <row r="148" customFormat="false" ht="12.8" hidden="false" customHeight="false" outlineLevel="0" collapsed="false">
      <c r="A148" s="56" t="s">
        <v>45</v>
      </c>
      <c r="B148" s="57" t="n">
        <v>40</v>
      </c>
      <c r="C148" s="56" t="n">
        <v>1339</v>
      </c>
      <c r="D148" s="25" t="n">
        <v>1151</v>
      </c>
      <c r="E148" s="77" t="n">
        <v>1576</v>
      </c>
      <c r="G148" s="0" t="str">
        <f aca="false">IF(F148="", "", IF(C148="","", F148-C148))</f>
        <v/>
      </c>
      <c r="H148" s="0" t="str">
        <f aca="false">IF(F148="", "", IF(D148="","", F148-D148))</f>
        <v/>
      </c>
      <c r="I148" s="0" t="str">
        <f aca="false">IF(F148="", "", IF(E148="","", F148-E148))</f>
        <v/>
      </c>
      <c r="J148" s="66"/>
      <c r="K148" s="66" t="str">
        <f aca="false">IF(NOT(G148=""),(G148-$J148)^2,"")</f>
        <v/>
      </c>
      <c r="L148" s="66" t="str">
        <f aca="false">IF(NOT(H148=""),(H148-$J148)^2,"")</f>
        <v/>
      </c>
      <c r="M148" s="66" t="str">
        <f aca="false">IF(NOT(I148=""),(I148-$J148)^2,"")</f>
        <v/>
      </c>
      <c r="N148" s="66" t="str">
        <f aca="false">IF(COUNT(K148:M148)&gt;0,SUM(K148:M148)/COUNT(K148:M148),"")</f>
        <v/>
      </c>
      <c r="O148" s="66" t="str">
        <f aca="false">IF(NOT(N148=""),SQRT(N148),"")</f>
        <v/>
      </c>
      <c r="P148" s="66" t="str">
        <f aca="false">IF(COUNT(K148:M148)&gt;0,VLOOKUP(COUNT(K148:M148),'t values'!$A$3:$C$5,3)*(O148/SQRT(COUNT(K148:M148))),"")</f>
        <v/>
      </c>
      <c r="Q148" s="66" t="str">
        <f aca="false">IF(NOT(P148=""),J148-P148,"")</f>
        <v/>
      </c>
      <c r="R148" s="66" t="str">
        <f aca="false">IF(NOT(P148=""),J148+P148,"")</f>
        <v/>
      </c>
      <c r="T148" s="0" t="str">
        <f aca="false">IF(S148="", "", IF(C148="","", S148-C148))</f>
        <v/>
      </c>
      <c r="U148" s="0" t="str">
        <f aca="false">IF($S148="", "", IF(D148="","", $S148-D148))</f>
        <v/>
      </c>
      <c r="V148" s="0" t="str">
        <f aca="false">IF($S148="", "", IF(E148="","", $S148-E148))</f>
        <v/>
      </c>
      <c r="W148" s="66" t="str">
        <f aca="false">IF(SUM($C148:$E148)&gt;0,IF(NOT(S148=""),AVERAGE(T148:V148),""),"")</f>
        <v/>
      </c>
      <c r="X148" s="0" t="str">
        <f aca="false">IF(NOT(T148=""),(T148-$W148)^2,"")</f>
        <v/>
      </c>
      <c r="Y148" s="0" t="str">
        <f aca="false">IF(NOT(U148=""),(U148-$W148)^2,"")</f>
        <v/>
      </c>
      <c r="Z148" s="0" t="str">
        <f aca="false">IF(NOT(V148=""),(V148-$W148)^2,"")</f>
        <v/>
      </c>
      <c r="AA148" s="0" t="str">
        <f aca="false">IF(COUNT(X148:Z148)&gt;0,SUM(X148:Z148)/COUNT(X148:Z148),"")</f>
        <v/>
      </c>
      <c r="AB148" s="0" t="str">
        <f aca="false">IF(NOT(AA148=""),SQRT(AA148),"")</f>
        <v/>
      </c>
      <c r="AD148" s="66" t="str">
        <f aca="false">IF(NOT(W148=""),W148-AG148,"")</f>
        <v/>
      </c>
      <c r="AE148" s="66" t="str">
        <f aca="false">IF(NOT(W148=""),W148+AG148,"")</f>
        <v/>
      </c>
      <c r="AF148" s="63" t="n">
        <v>434.92706923754</v>
      </c>
      <c r="AG148" s="63" t="n">
        <v>77.1607307259217</v>
      </c>
      <c r="AH148" s="63"/>
    </row>
    <row r="149" customFormat="false" ht="12.8" hidden="false" customHeight="false" outlineLevel="0" collapsed="false">
      <c r="A149" s="56" t="s">
        <v>45</v>
      </c>
      <c r="B149" s="57" t="n">
        <v>50</v>
      </c>
      <c r="C149" s="56" t="n">
        <v>1136</v>
      </c>
      <c r="D149" s="25" t="n">
        <v>998</v>
      </c>
      <c r="E149" s="77" t="n">
        <v>1028</v>
      </c>
      <c r="G149" s="0" t="str">
        <f aca="false">IF(F149="", "", IF(C149="","", F149-C149))</f>
        <v/>
      </c>
      <c r="H149" s="0" t="str">
        <f aca="false">IF(F149="", "", IF(D149="","", F149-D149))</f>
        <v/>
      </c>
      <c r="I149" s="0" t="str">
        <f aca="false">IF(F149="", "", IF(E149="","", F149-E149))</f>
        <v/>
      </c>
      <c r="J149" s="66"/>
      <c r="K149" s="66" t="str">
        <f aca="false">IF(NOT(G149=""),(G149-$J149)^2,"")</f>
        <v/>
      </c>
      <c r="L149" s="66" t="str">
        <f aca="false">IF(NOT(H149=""),(H149-$J149)^2,"")</f>
        <v/>
      </c>
      <c r="M149" s="66" t="str">
        <f aca="false">IF(NOT(I149=""),(I149-$J149)^2,"")</f>
        <v/>
      </c>
      <c r="N149" s="66" t="str">
        <f aca="false">IF(COUNT(K149:M149)&gt;0,SUM(K149:M149)/COUNT(K149:M149),"")</f>
        <v/>
      </c>
      <c r="O149" s="66" t="str">
        <f aca="false">IF(NOT(N149=""),SQRT(N149),"")</f>
        <v/>
      </c>
      <c r="P149" s="66" t="str">
        <f aca="false">IF(COUNT(K149:M149)&gt;0,VLOOKUP(COUNT(K149:M149),'t values'!$A$3:$C$5,3)*(O149/SQRT(COUNT(K149:M149))),"")</f>
        <v/>
      </c>
      <c r="Q149" s="66" t="str">
        <f aca="false">IF(NOT(P149=""),J149-P149,"")</f>
        <v/>
      </c>
      <c r="R149" s="66" t="str">
        <f aca="false">IF(NOT(P149=""),J149+P149,"")</f>
        <v/>
      </c>
      <c r="T149" s="0" t="str">
        <f aca="false">IF(S149="", "", IF(C149="","", S149-C149))</f>
        <v/>
      </c>
      <c r="U149" s="0" t="str">
        <f aca="false">IF($S149="", "", IF(D149="","", $S149-D149))</f>
        <v/>
      </c>
      <c r="V149" s="0" t="str">
        <f aca="false">IF($S149="", "", IF(E149="","", $S149-E149))</f>
        <v/>
      </c>
      <c r="W149" s="66" t="str">
        <f aca="false">IF(SUM($C149:$E149)&gt;0,IF(NOT(S149=""),AVERAGE(T149:V149),""),"")</f>
        <v/>
      </c>
      <c r="X149" s="0" t="str">
        <f aca="false">IF(NOT(T149=""),(T149-$W149)^2,"")</f>
        <v/>
      </c>
      <c r="Y149" s="0" t="str">
        <f aca="false">IF(NOT(U149=""),(U149-$W149)^2,"")</f>
        <v/>
      </c>
      <c r="Z149" s="0" t="str">
        <f aca="false">IF(NOT(V149=""),(V149-$W149)^2,"")</f>
        <v/>
      </c>
      <c r="AA149" s="0" t="str">
        <f aca="false">IF(COUNT(X149:Z149)&gt;0,SUM(X149:Z149)/COUNT(X149:Z149),"")</f>
        <v/>
      </c>
      <c r="AB149" s="0" t="str">
        <f aca="false">IF(NOT(AA149=""),SQRT(AA149),"")</f>
        <v/>
      </c>
      <c r="AD149" s="66" t="str">
        <f aca="false">IF(NOT(W149=""),W149-AG149,"")</f>
        <v/>
      </c>
      <c r="AE149" s="66" t="str">
        <f aca="false">IF(NOT(W149=""),W149+AG149,"")</f>
        <v/>
      </c>
      <c r="AF149" s="63" t="n">
        <v>286.258624324229</v>
      </c>
      <c r="AG149" s="63" t="n">
        <v>170.83676212935</v>
      </c>
      <c r="AH149" s="63"/>
    </row>
    <row r="150" customFormat="false" ht="12.8" hidden="false" customHeight="false" outlineLevel="0" collapsed="false">
      <c r="A150" s="56" t="s">
        <v>45</v>
      </c>
      <c r="B150" s="57" t="n">
        <v>64</v>
      </c>
      <c r="C150" s="56" t="n">
        <v>831</v>
      </c>
      <c r="D150" s="25" t="n">
        <v>806</v>
      </c>
      <c r="E150" s="77" t="n">
        <v>818</v>
      </c>
      <c r="G150" s="0" t="str">
        <f aca="false">IF(F150="", "", IF(C150="","", F150-C150))</f>
        <v/>
      </c>
      <c r="H150" s="0" t="str">
        <f aca="false">IF(F150="", "", IF(D150="","", F150-D150))</f>
        <v/>
      </c>
      <c r="I150" s="0" t="str">
        <f aca="false">IF(F150="", "", IF(E150="","", F150-E150))</f>
        <v/>
      </c>
      <c r="J150" s="66"/>
      <c r="K150" s="66" t="str">
        <f aca="false">IF(NOT(G150=""),(G150-$J150)^2,"")</f>
        <v/>
      </c>
      <c r="L150" s="66" t="str">
        <f aca="false">IF(NOT(H150=""),(H150-$J150)^2,"")</f>
        <v/>
      </c>
      <c r="M150" s="66" t="str">
        <f aca="false">IF(NOT(I150=""),(I150-$J150)^2,"")</f>
        <v/>
      </c>
      <c r="N150" s="66" t="str">
        <f aca="false">IF(COUNT(K150:M150)&gt;0,SUM(K150:M150)/COUNT(K150:M150),"")</f>
        <v/>
      </c>
      <c r="O150" s="66" t="str">
        <f aca="false">IF(NOT(N150=""),SQRT(N150),"")</f>
        <v/>
      </c>
      <c r="P150" s="66" t="str">
        <f aca="false">IF(COUNT(K150:M150)&gt;0,VLOOKUP(COUNT(K150:M150),'t values'!$A$3:$C$5,3)*(O150/SQRT(COUNT(K150:M150))),"")</f>
        <v/>
      </c>
      <c r="Q150" s="66" t="str">
        <f aca="false">IF(NOT(P150=""),J150-P150,"")</f>
        <v/>
      </c>
      <c r="R150" s="66" t="str">
        <f aca="false">IF(NOT(P150=""),J150+P150,"")</f>
        <v/>
      </c>
      <c r="T150" s="0" t="str">
        <f aca="false">IF(S150="", "", IF(C150="","", S150-C150))</f>
        <v/>
      </c>
      <c r="U150" s="0" t="str">
        <f aca="false">IF($S150="", "", IF(D150="","", $S150-D150))</f>
        <v/>
      </c>
      <c r="V150" s="0" t="str">
        <f aca="false">IF($S150="", "", IF(E150="","", $S150-E150))</f>
        <v/>
      </c>
      <c r="W150" s="66" t="str">
        <f aca="false">IF(SUM($C150:$E150)&gt;0,IF(NOT(S150=""),AVERAGE(T150:V150),""),"")</f>
        <v/>
      </c>
      <c r="X150" s="0" t="str">
        <f aca="false">IF(NOT(T150=""),(T150-$W150)^2,"")</f>
        <v/>
      </c>
      <c r="Y150" s="0" t="str">
        <f aca="false">IF(NOT(U150=""),(U150-$W150)^2,"")</f>
        <v/>
      </c>
      <c r="Z150" s="0" t="str">
        <f aca="false">IF(NOT(V150=""),(V150-$W150)^2,"")</f>
        <v/>
      </c>
      <c r="AA150" s="0" t="str">
        <f aca="false">IF(COUNT(X150:Z150)&gt;0,SUM(X150:Z150)/COUNT(X150:Z150),"")</f>
        <v/>
      </c>
      <c r="AB150" s="0" t="str">
        <f aca="false">IF(NOT(AA150=""),SQRT(AA150),"")</f>
        <v/>
      </c>
      <c r="AD150" s="66" t="str">
        <f aca="false">IF(NOT(W150=""),W150-AG150,"")</f>
        <v/>
      </c>
      <c r="AE150" s="66" t="str">
        <f aca="false">IF(NOT(W150=""),W150+AG150,"")</f>
        <v/>
      </c>
      <c r="AF150" s="63" t="n">
        <v>236.468931480555</v>
      </c>
      <c r="AG150" s="63" t="n">
        <v>69.8645317748859</v>
      </c>
      <c r="AH150" s="63"/>
    </row>
    <row r="151" customFormat="false" ht="12.8" hidden="false" customHeight="false" outlineLevel="0" collapsed="false">
      <c r="A151" s="56" t="s">
        <v>45</v>
      </c>
      <c r="B151" s="57" t="n">
        <v>82</v>
      </c>
      <c r="C151" s="56" t="n">
        <v>826</v>
      </c>
      <c r="D151" s="25" t="n">
        <v>682</v>
      </c>
      <c r="E151" s="77" t="n">
        <v>656</v>
      </c>
      <c r="G151" s="0" t="str">
        <f aca="false">IF(F151="", "", IF(C151="","", F151-C151))</f>
        <v/>
      </c>
      <c r="H151" s="0" t="str">
        <f aca="false">IF(F151="", "", IF(D151="","", F151-D151))</f>
        <v/>
      </c>
      <c r="I151" s="0" t="str">
        <f aca="false">IF(F151="", "", IF(E151="","", F151-E151))</f>
        <v/>
      </c>
      <c r="J151" s="66"/>
      <c r="K151" s="66" t="str">
        <f aca="false">IF(NOT(G151=""),(G151-$J151)^2,"")</f>
        <v/>
      </c>
      <c r="L151" s="66" t="str">
        <f aca="false">IF(NOT(H151=""),(H151-$J151)^2,"")</f>
        <v/>
      </c>
      <c r="M151" s="66" t="str">
        <f aca="false">IF(NOT(I151=""),(I151-$J151)^2,"")</f>
        <v/>
      </c>
      <c r="N151" s="66" t="str">
        <f aca="false">IF(COUNT(K151:M151)&gt;0,SUM(K151:M151)/COUNT(K151:M151),"")</f>
        <v/>
      </c>
      <c r="O151" s="66" t="str">
        <f aca="false">IF(NOT(N151=""),SQRT(N151),"")</f>
        <v/>
      </c>
      <c r="P151" s="66" t="str">
        <f aca="false">IF(COUNT(K151:M151)&gt;0,VLOOKUP(COUNT(K151:M151),'t values'!$A$3:$C$5,3)*(O151/SQRT(COUNT(K151:M151))),"")</f>
        <v/>
      </c>
      <c r="Q151" s="66" t="str">
        <f aca="false">IF(NOT(P151=""),J151-P151,"")</f>
        <v/>
      </c>
      <c r="R151" s="66" t="str">
        <f aca="false">IF(NOT(P151=""),J151+P151,"")</f>
        <v/>
      </c>
      <c r="T151" s="0" t="str">
        <f aca="false">IF(S151="", "", IF(C151="","", S151-C151))</f>
        <v/>
      </c>
      <c r="U151" s="0" t="str">
        <f aca="false">IF($S151="", "", IF(D151="","", $S151-D151))</f>
        <v/>
      </c>
      <c r="V151" s="0" t="str">
        <f aca="false">IF($S151="", "", IF(E151="","", $S151-E151))</f>
        <v/>
      </c>
      <c r="W151" s="66" t="str">
        <f aca="false">IF(SUM($C151:$E151)&gt;0,IF(NOT(S151=""),AVERAGE(T151:V151),""),"")</f>
        <v/>
      </c>
      <c r="X151" s="0" t="str">
        <f aca="false">IF(NOT(T151=""),(T151-$W151)^2,"")</f>
        <v/>
      </c>
      <c r="Y151" s="0" t="str">
        <f aca="false">IF(NOT(U151=""),(U151-$W151)^2,"")</f>
        <v/>
      </c>
      <c r="Z151" s="0" t="str">
        <f aca="false">IF(NOT(V151=""),(V151-$W151)^2,"")</f>
        <v/>
      </c>
      <c r="AA151" s="0" t="str">
        <f aca="false">IF(COUNT(X151:Z151)&gt;0,SUM(X151:Z151)/COUNT(X151:Z151),"")</f>
        <v/>
      </c>
      <c r="AB151" s="0" t="str">
        <f aca="false">IF(NOT(AA151=""),SQRT(AA151),"")</f>
        <v/>
      </c>
      <c r="AD151" s="66" t="str">
        <f aca="false">IF(NOT(W151=""),W151-AG151,"")</f>
        <v/>
      </c>
      <c r="AE151" s="66" t="str">
        <f aca="false">IF(NOT(W151=""),W151+AG151,"")</f>
        <v/>
      </c>
      <c r="AF151" s="63" t="n">
        <v>220.062617351416</v>
      </c>
      <c r="AG151" s="63" t="n">
        <v>46.6233648236565</v>
      </c>
      <c r="AH151" s="63"/>
    </row>
    <row r="152" customFormat="false" ht="12.8" hidden="false" customHeight="false" outlineLevel="0" collapsed="false">
      <c r="A152" s="56" t="s">
        <v>45</v>
      </c>
      <c r="B152" s="57" t="n">
        <v>100</v>
      </c>
      <c r="C152" s="56" t="n">
        <v>602</v>
      </c>
      <c r="D152" s="25" t="n">
        <v>583</v>
      </c>
      <c r="E152" s="77" t="n">
        <v>520</v>
      </c>
      <c r="G152" s="0" t="str">
        <f aca="false">IF(F152="", "", IF(C152="","", F152-C152))</f>
        <v/>
      </c>
      <c r="H152" s="0" t="str">
        <f aca="false">IF(F152="", "", IF(D152="","", F152-D152))</f>
        <v/>
      </c>
      <c r="I152" s="0" t="str">
        <f aca="false">IF(F152="", "", IF(E152="","", F152-E152))</f>
        <v/>
      </c>
      <c r="J152" s="66"/>
      <c r="K152" s="66" t="str">
        <f aca="false">IF(NOT(G152=""),(G152-$J152)^2,"")</f>
        <v/>
      </c>
      <c r="L152" s="66" t="str">
        <f aca="false">IF(NOT(H152=""),(H152-$J152)^2,"")</f>
        <v/>
      </c>
      <c r="M152" s="66" t="str">
        <f aca="false">IF(NOT(I152=""),(I152-$J152)^2,"")</f>
        <v/>
      </c>
      <c r="N152" s="66" t="str">
        <f aca="false">IF(COUNT(K152:M152)&gt;0,SUM(K152:M152)/COUNT(K152:M152),"")</f>
        <v/>
      </c>
      <c r="O152" s="66" t="str">
        <f aca="false">IF(NOT(N152=""),SQRT(N152),"")</f>
        <v/>
      </c>
      <c r="P152" s="66" t="str">
        <f aca="false">IF(COUNT(K152:M152)&gt;0,VLOOKUP(COUNT(K152:M152),'t values'!$A$3:$C$5,3)*(O152/SQRT(COUNT(K152:M152))),"")</f>
        <v/>
      </c>
      <c r="Q152" s="66" t="str">
        <f aca="false">IF(NOT(P152=""),J152-P152,"")</f>
        <v/>
      </c>
      <c r="R152" s="66" t="str">
        <f aca="false">IF(NOT(P152=""),J152+P152,"")</f>
        <v/>
      </c>
      <c r="T152" s="0" t="str">
        <f aca="false">IF(S152="", "", IF(C152="","", S152-C152))</f>
        <v/>
      </c>
      <c r="U152" s="0" t="str">
        <f aca="false">IF($S152="", "", IF(D152="","", $S152-D152))</f>
        <v/>
      </c>
      <c r="V152" s="0" t="str">
        <f aca="false">IF($S152="", "", IF(E152="","", $S152-E152))</f>
        <v/>
      </c>
      <c r="W152" s="66" t="str">
        <f aca="false">IF(SUM($C152:$E152)&gt;0,IF(NOT(S152=""),AVERAGE(T152:V152),""),"")</f>
        <v/>
      </c>
      <c r="X152" s="0" t="str">
        <f aca="false">IF(NOT(T152=""),(T152-$W152)^2,"")</f>
        <v/>
      </c>
      <c r="Y152" s="0" t="str">
        <f aca="false">IF(NOT(U152=""),(U152-$W152)^2,"")</f>
        <v/>
      </c>
      <c r="Z152" s="0" t="str">
        <f aca="false">IF(NOT(V152=""),(V152-$W152)^2,"")</f>
        <v/>
      </c>
      <c r="AA152" s="0" t="str">
        <f aca="false">IF(COUNT(X152:Z152)&gt;0,SUM(X152:Z152)/COUNT(X152:Z152),"")</f>
        <v/>
      </c>
      <c r="AB152" s="0" t="str">
        <f aca="false">IF(NOT(AA152=""),SQRT(AA152),"")</f>
        <v/>
      </c>
      <c r="AD152" s="66" t="str">
        <f aca="false">IF(NOT(W152=""),W152-AG152,"")</f>
        <v/>
      </c>
      <c r="AE152" s="66" t="str">
        <f aca="false">IF(NOT(W152=""),W152+AG152,"")</f>
        <v/>
      </c>
      <c r="AF152" s="63" t="n">
        <v>142.57863327535</v>
      </c>
      <c r="AG152" s="63" t="n">
        <v>108.786453663581</v>
      </c>
      <c r="AH152" s="63"/>
    </row>
    <row r="153" customFormat="false" ht="12.8" hidden="false" customHeight="false" outlineLevel="0" collapsed="false">
      <c r="A153" s="56" t="s">
        <v>48</v>
      </c>
      <c r="B153" s="57" t="n">
        <v>5</v>
      </c>
      <c r="C153" s="56"/>
      <c r="D153" s="25"/>
      <c r="E153" s="77"/>
      <c r="F153" s="0" t="n">
        <v>1649</v>
      </c>
      <c r="G153" s="0" t="str">
        <f aca="false">IF(F153="", "", IF(C153="","", F153-C153))</f>
        <v/>
      </c>
      <c r="H153" s="0" t="str">
        <f aca="false">IF(F153="", "", IF(D153="","", F153-D153))</f>
        <v/>
      </c>
      <c r="I153" s="0" t="str">
        <f aca="false">IF(F153="", "", IF(E153="","", F153-E153))</f>
        <v/>
      </c>
      <c r="J153" s="66" t="str">
        <f aca="false">IF(SUM(C153:E153)&gt;0,AVERAGE(G153:I153),"")</f>
        <v/>
      </c>
      <c r="K153" s="66" t="str">
        <f aca="false">IF(NOT(G153=""),(G153-$J153)^2,"")</f>
        <v/>
      </c>
      <c r="L153" s="66" t="str">
        <f aca="false">IF(NOT(H153=""),(H153-$J153)^2,"")</f>
        <v/>
      </c>
      <c r="M153" s="66" t="str">
        <f aca="false">IF(NOT(I153=""),(I153-$J153)^2,"")</f>
        <v/>
      </c>
      <c r="N153" s="66" t="str">
        <f aca="false">IF(COUNT(K153:M153)&gt;0,SUM(K153:M153)/COUNT(K153:M153),"")</f>
        <v/>
      </c>
      <c r="O153" s="66" t="str">
        <f aca="false">IF(NOT(N153=""),SQRT(N153),"")</f>
        <v/>
      </c>
      <c r="P153" s="66" t="str">
        <f aca="false">IF(COUNT(K153:M153)&gt;0,VLOOKUP(COUNT(K153:M153),'t values'!$A$3:$C$5,3)*(O153/SQRT(COUNT(K153:M153))),"")</f>
        <v/>
      </c>
      <c r="Q153" s="66" t="str">
        <f aca="false">IF(NOT(P153=""),J153-P153,"")</f>
        <v/>
      </c>
      <c r="R153" s="66" t="str">
        <f aca="false">IF(NOT(P153=""),J153+P153,"")</f>
        <v/>
      </c>
      <c r="S153" s="0" t="n">
        <v>1745</v>
      </c>
      <c r="T153" s="0" t="str">
        <f aca="false">IF(S153="", "", IF(C153="","", S153-C153))</f>
        <v/>
      </c>
      <c r="U153" s="0" t="str">
        <f aca="false">IF($S153="", "", IF(D153="","", $S153-D153))</f>
        <v/>
      </c>
      <c r="V153" s="0" t="str">
        <f aca="false">IF($S153="", "", IF(E153="","", $S153-E153))</f>
        <v/>
      </c>
      <c r="W153" s="66" t="str">
        <f aca="false">IF(SUM($C153:$E153)&gt;0,IF(NOT(S153=""),AVERAGE(T153:V153),""),"")</f>
        <v/>
      </c>
      <c r="X153" s="0" t="str">
        <f aca="false">IF(NOT(T153=""),(T153-$W153)^2,"")</f>
        <v/>
      </c>
      <c r="Y153" s="0" t="str">
        <f aca="false">IF(NOT(U153=""),(U153-$W153)^2,"")</f>
        <v/>
      </c>
      <c r="Z153" s="0" t="str">
        <f aca="false">IF(NOT(V153=""),(V153-$W153)^2,"")</f>
        <v/>
      </c>
      <c r="AA153" s="0" t="str">
        <f aca="false">IF(COUNT(X153:Z153)&gt;0,SUM(X153:Z153)/COUNT(X153:Z153),"")</f>
        <v/>
      </c>
      <c r="AB153" s="0" t="str">
        <f aca="false">IF(NOT(AA153=""),SQRT(AA153),"")</f>
        <v/>
      </c>
      <c r="AD153" s="66" t="str">
        <f aca="false">IF(NOT(W153=""),W153-AG153,"")</f>
        <v/>
      </c>
      <c r="AE153" s="66" t="str">
        <f aca="false">IF(NOT(W153=""),W153+AG153,"")</f>
        <v/>
      </c>
      <c r="AF153" s="63"/>
      <c r="AG153" s="63"/>
      <c r="AH153" s="63"/>
    </row>
    <row r="154" customFormat="false" ht="12.8" hidden="false" customHeight="false" outlineLevel="0" collapsed="false">
      <c r="A154" s="56" t="s">
        <v>48</v>
      </c>
      <c r="B154" s="57" t="n">
        <v>10</v>
      </c>
      <c r="C154" s="56" t="n">
        <v>1323</v>
      </c>
      <c r="D154" s="25" t="n">
        <v>1271</v>
      </c>
      <c r="E154" s="77" t="n">
        <v>1329</v>
      </c>
      <c r="F154" s="0" t="n">
        <v>1405</v>
      </c>
      <c r="G154" s="0" t="n">
        <f aca="false">IF(F154="", "", IF(C154="","", F154-C154))</f>
        <v>82</v>
      </c>
      <c r="H154" s="0" t="n">
        <f aca="false">IF(F154="", "", IF(D154="","", F154-D154))</f>
        <v>134</v>
      </c>
      <c r="I154" s="0" t="n">
        <f aca="false">IF(F154="", "", IF(E154="","", F154-E154))</f>
        <v>76</v>
      </c>
      <c r="J154" s="66" t="n">
        <f aca="false">IF(SUM(C154:E154)&gt;0,AVERAGE(G154:I154),"")</f>
        <v>97.3333333333333</v>
      </c>
      <c r="K154" s="66" t="n">
        <f aca="false">IF(NOT(G154=""),(G154-$J154)^2,"")</f>
        <v>235.111111111111</v>
      </c>
      <c r="L154" s="66" t="n">
        <f aca="false">IF(NOT(H154=""),(H154-$J154)^2,"")</f>
        <v>1344.44444444444</v>
      </c>
      <c r="M154" s="66" t="n">
        <f aca="false">IF(NOT(I154=""),(I154-$J154)^2,"")</f>
        <v>455.111111111111</v>
      </c>
      <c r="N154" s="66" t="n">
        <f aca="false">IF(COUNT(K154:M154)&gt;0,SUM(K154:M154)/COUNT(K154:M154),"")</f>
        <v>678.222222222222</v>
      </c>
      <c r="O154" s="66" t="n">
        <f aca="false">IF(NOT(N154=""),SQRT(N154),"")</f>
        <v>26.0426999794995</v>
      </c>
      <c r="P154" s="66" t="n">
        <f aca="false">IF(COUNT(K154:M154)&gt;0,VLOOKUP(COUNT(K154:M154),'t values'!$A$3:$C$5,3)*(O154/SQRT(COUNT(K154:M154))),"")</f>
        <v>64.6988746069621</v>
      </c>
      <c r="Q154" s="66" t="n">
        <f aca="false">IF(NOT(P154=""),J154-P154,"")</f>
        <v>32.6344587263712</v>
      </c>
      <c r="R154" s="66" t="n">
        <f aca="false">IF(NOT(P154=""),J154+P154,"")</f>
        <v>162.032207940295</v>
      </c>
      <c r="S154" s="0" t="n">
        <v>1341</v>
      </c>
      <c r="T154" s="0" t="n">
        <f aca="false">IF(S154="", "", IF(C154="","", S154-C154))</f>
        <v>18</v>
      </c>
      <c r="U154" s="0" t="n">
        <f aca="false">IF($S154="", "", IF(D154="","", $S154-D154))</f>
        <v>70</v>
      </c>
      <c r="V154" s="0" t="n">
        <f aca="false">IF($S154="", "", IF(E154="","", $S154-E154))</f>
        <v>12</v>
      </c>
      <c r="W154" s="66" t="n">
        <f aca="false">IF(SUM($C154:$E154)&gt;0,IF(NOT(S154=""),AVERAGE(T154:V154),""),"")</f>
        <v>33.3333333333333</v>
      </c>
      <c r="X154" s="0" t="n">
        <f aca="false">IF(NOT(T154=""),(T154-$W154)^2,"")</f>
        <v>235.111111111111</v>
      </c>
      <c r="Y154" s="0" t="n">
        <f aca="false">IF(NOT(U154=""),(U154-$W154)^2,"")</f>
        <v>1344.44444444444</v>
      </c>
      <c r="Z154" s="0" t="n">
        <f aca="false">IF(NOT(V154=""),(V154-$W154)^2,"")</f>
        <v>455.111111111111</v>
      </c>
      <c r="AA154" s="0" t="n">
        <f aca="false">IF(COUNT(X154:Z154)&gt;0,SUM(X154:Z154)/COUNT(X154:Z154),"")</f>
        <v>678.222222222221</v>
      </c>
      <c r="AB154" s="0" t="n">
        <f aca="false">IF(NOT(AA154=""),SQRT(AA154),"")</f>
        <v>26.0426999794995</v>
      </c>
      <c r="AD154" s="66" t="n">
        <f aca="false">IF(NOT(W154=""),W154-AG154,"")</f>
        <v>-31.6666666666667</v>
      </c>
      <c r="AE154" s="66" t="n">
        <f aca="false">IF(NOT(W154=""),W154+AG154,"")</f>
        <v>98.3333333333333</v>
      </c>
      <c r="AF154" s="63" t="n">
        <v>26.0426999794995</v>
      </c>
      <c r="AG154" s="63" t="n">
        <v>65</v>
      </c>
      <c r="AH154" s="63"/>
    </row>
    <row r="155" customFormat="false" ht="12.8" hidden="false" customHeight="false" outlineLevel="0" collapsed="false">
      <c r="A155" s="56" t="s">
        <v>48</v>
      </c>
      <c r="B155" s="57" t="n">
        <v>15</v>
      </c>
      <c r="C155" s="56" t="n">
        <v>790</v>
      </c>
      <c r="D155" s="25" t="n">
        <v>1303</v>
      </c>
      <c r="E155" s="77" t="n">
        <v>1304</v>
      </c>
      <c r="F155" s="0" t="n">
        <v>985</v>
      </c>
      <c r="G155" s="0" t="n">
        <f aca="false">IF(F155="", "", IF(C155="","", F155-C155))</f>
        <v>195</v>
      </c>
      <c r="H155" s="0" t="n">
        <f aca="false">IF(F155="", "", IF(D155="","", F155-D155))</f>
        <v>-318</v>
      </c>
      <c r="I155" s="0" t="n">
        <f aca="false">IF(F155="", "", IF(E155="","", F155-E155))</f>
        <v>-319</v>
      </c>
      <c r="J155" s="66" t="n">
        <f aca="false">IF(SUM(C155:E155)&gt;0,AVERAGE(G155:I155),"")</f>
        <v>-147.333333333333</v>
      </c>
      <c r="K155" s="66" t="n">
        <f aca="false">IF(NOT(G155=""),(G155-$J155)^2,"")</f>
        <v>117192.111111111</v>
      </c>
      <c r="L155" s="66" t="n">
        <f aca="false">IF(NOT(H155=""),(H155-$J155)^2,"")</f>
        <v>29127.1111111111</v>
      </c>
      <c r="M155" s="66" t="n">
        <f aca="false">IF(NOT(I155=""),(I155-$J155)^2,"")</f>
        <v>29469.4444444444</v>
      </c>
      <c r="N155" s="66" t="n">
        <f aca="false">IF(COUNT(K155:M155)&gt;0,SUM(K155:M155)/COUNT(K155:M155),"")</f>
        <v>58596.2222222222</v>
      </c>
      <c r="O155" s="66" t="n">
        <f aca="false">IF(NOT(N155=""),SQRT(N155),"")</f>
        <v>242.066565684363</v>
      </c>
      <c r="P155" s="66" t="n">
        <f aca="false">IF(COUNT(K155:M155)&gt;0,VLOOKUP(COUNT(K155:M155),'t values'!$A$3:$C$5,3)*(O155/SQRT(COUNT(K155:M155))),"")</f>
        <v>601.375218087183</v>
      </c>
      <c r="Q155" s="66" t="n">
        <f aca="false">IF(NOT(P155=""),J155-P155,"")</f>
        <v>-748.708551420517</v>
      </c>
      <c r="R155" s="66" t="n">
        <f aca="false">IF(NOT(P155=""),J155+P155,"")</f>
        <v>454.04188475385</v>
      </c>
      <c r="S155" s="0" t="n">
        <v>1156</v>
      </c>
      <c r="T155" s="0" t="n">
        <f aca="false">IF(S155="", "", IF(C155="","", S155-C155))</f>
        <v>366</v>
      </c>
      <c r="U155" s="0" t="n">
        <f aca="false">IF($S155="", "", IF(D155="","", $S155-D155))</f>
        <v>-147</v>
      </c>
      <c r="V155" s="0" t="n">
        <f aca="false">IF($S155="", "", IF(E155="","", $S155-E155))</f>
        <v>-148</v>
      </c>
      <c r="W155" s="66" t="n">
        <f aca="false">IF(SUM($C155:$E155)&gt;0,IF(NOT(S155=""),AVERAGE(T155:V155),""),"")</f>
        <v>23.6666666666667</v>
      </c>
      <c r="X155" s="0" t="n">
        <f aca="false">IF(NOT(T155=""),(T155-$W155)^2,"")</f>
        <v>117192.111111111</v>
      </c>
      <c r="Y155" s="0" t="n">
        <f aca="false">IF(NOT(U155=""),(U155-$W155)^2,"")</f>
        <v>29127.1111111111</v>
      </c>
      <c r="Z155" s="0" t="n">
        <f aca="false">IF(NOT(V155=""),(V155-$W155)^2,"")</f>
        <v>29469.4444444444</v>
      </c>
      <c r="AA155" s="0" t="n">
        <f aca="false">IF(COUNT(X155:Z155)&gt;0,SUM(X155:Z155)/COUNT(X155:Z155),"")</f>
        <v>58596.2222222222</v>
      </c>
      <c r="AB155" s="0" t="n">
        <f aca="false">IF(NOT(AA155=""),SQRT(AA155),"")</f>
        <v>242.066565684363</v>
      </c>
      <c r="AD155" s="66" t="n">
        <f aca="false">IF(NOT(W155=""),W155-AG155,"")</f>
        <v>-577.333333333333</v>
      </c>
      <c r="AE155" s="66" t="n">
        <f aca="false">IF(NOT(W155=""),W155+AG155,"")</f>
        <v>624.666666666667</v>
      </c>
      <c r="AF155" s="63" t="n">
        <v>242.066565684363</v>
      </c>
      <c r="AG155" s="63" t="n">
        <v>601</v>
      </c>
      <c r="AH155" s="63"/>
    </row>
    <row r="156" customFormat="false" ht="12.8" hidden="false" customHeight="false" outlineLevel="0" collapsed="false">
      <c r="A156" s="56" t="s">
        <v>48</v>
      </c>
      <c r="B156" s="57" t="n">
        <v>20</v>
      </c>
      <c r="C156" s="56" t="n">
        <v>839</v>
      </c>
      <c r="D156" s="25" t="n">
        <v>799</v>
      </c>
      <c r="E156" s="77" t="n">
        <v>679</v>
      </c>
      <c r="F156" s="0" t="n">
        <v>969</v>
      </c>
      <c r="G156" s="0" t="n">
        <f aca="false">IF(F156="", "", IF(C156="","", F156-C156))</f>
        <v>130</v>
      </c>
      <c r="H156" s="0" t="n">
        <f aca="false">IF(F156="", "", IF(D156="","", F156-D156))</f>
        <v>170</v>
      </c>
      <c r="I156" s="0" t="n">
        <f aca="false">IF(F156="", "", IF(E156="","", F156-E156))</f>
        <v>290</v>
      </c>
      <c r="J156" s="66" t="n">
        <f aca="false">IF(SUM(C156:E156)&gt;0,AVERAGE(G156:I156),"")</f>
        <v>196.666666666667</v>
      </c>
      <c r="K156" s="66" t="n">
        <f aca="false">IF(NOT(G156=""),(G156-$J156)^2,"")</f>
        <v>4444.44444444444</v>
      </c>
      <c r="L156" s="66" t="n">
        <f aca="false">IF(NOT(H156=""),(H156-$J156)^2,"")</f>
        <v>711.111111111111</v>
      </c>
      <c r="M156" s="66" t="n">
        <f aca="false">IF(NOT(I156=""),(I156-$J156)^2,"")</f>
        <v>8711.11111111111</v>
      </c>
      <c r="N156" s="66" t="n">
        <f aca="false">IF(COUNT(K156:M156)&gt;0,SUM(K156:M156)/COUNT(K156:M156),"")</f>
        <v>4622.22222222222</v>
      </c>
      <c r="O156" s="66" t="n">
        <f aca="false">IF(NOT(N156=""),SQRT(N156),"")</f>
        <v>67.9869268479038</v>
      </c>
      <c r="P156" s="66" t="n">
        <f aca="false">IF(COUNT(K156:M156)&gt;0,VLOOKUP(COUNT(K156:M156),'t values'!$A$3:$C$5,3)*(O156/SQRT(COUNT(K156:M156))),"")</f>
        <v>168.902520034705</v>
      </c>
      <c r="Q156" s="66" t="n">
        <f aca="false">IF(NOT(P156=""),J156-P156,"")</f>
        <v>27.7641466319612</v>
      </c>
      <c r="R156" s="66" t="n">
        <f aca="false">IF(NOT(P156=""),J156+P156,"")</f>
        <v>365.569186701372</v>
      </c>
      <c r="S156" s="0" t="n">
        <v>1058</v>
      </c>
      <c r="T156" s="0" t="n">
        <f aca="false">IF(S156="", "", IF(C156="","", S156-C156))</f>
        <v>219</v>
      </c>
      <c r="U156" s="0" t="n">
        <f aca="false">IF($S156="", "", IF(D156="","", $S156-D156))</f>
        <v>259</v>
      </c>
      <c r="V156" s="0" t="n">
        <f aca="false">IF($S156="", "", IF(E156="","", $S156-E156))</f>
        <v>379</v>
      </c>
      <c r="W156" s="66" t="n">
        <f aca="false">IF(SUM($C156:$E156)&gt;0,IF(NOT(S156=""),AVERAGE(T156:V156),""),"")</f>
        <v>285.666666666667</v>
      </c>
      <c r="X156" s="0" t="n">
        <f aca="false">IF(NOT(T156=""),(T156-$W156)^2,"")</f>
        <v>4444.44444444445</v>
      </c>
      <c r="Y156" s="0" t="n">
        <f aca="false">IF(NOT(U156=""),(U156-$W156)^2,"")</f>
        <v>711.111111111112</v>
      </c>
      <c r="Z156" s="0" t="n">
        <f aca="false">IF(NOT(V156=""),(V156-$W156)^2,"")</f>
        <v>8711.11111111111</v>
      </c>
      <c r="AA156" s="0" t="n">
        <f aca="false">IF(COUNT(X156:Z156)&gt;0,SUM(X156:Z156)/COUNT(X156:Z156),"")</f>
        <v>4622.22222222222</v>
      </c>
      <c r="AB156" s="0" t="n">
        <f aca="false">IF(NOT(AA156=""),SQRT(AA156),"")</f>
        <v>67.9869268479038</v>
      </c>
      <c r="AD156" s="66" t="n">
        <f aca="false">IF(NOT(W156=""),W156-AG156,"")</f>
        <v>116.666666666667</v>
      </c>
      <c r="AE156" s="66" t="n">
        <f aca="false">IF(NOT(W156=""),W156+AG156,"")</f>
        <v>454.666666666667</v>
      </c>
      <c r="AF156" s="63" t="n">
        <v>67.9869268479038</v>
      </c>
      <c r="AG156" s="63" t="n">
        <v>169</v>
      </c>
      <c r="AH156" s="63"/>
    </row>
    <row r="157" customFormat="false" ht="12.8" hidden="false" customHeight="false" outlineLevel="0" collapsed="false">
      <c r="A157" s="56" t="s">
        <v>48</v>
      </c>
      <c r="B157" s="57" t="n">
        <v>30</v>
      </c>
      <c r="C157" s="56" t="n">
        <v>525</v>
      </c>
      <c r="D157" s="25" t="n">
        <v>794</v>
      </c>
      <c r="E157" s="77" t="n">
        <v>528</v>
      </c>
      <c r="F157" s="0" t="n">
        <v>904</v>
      </c>
      <c r="G157" s="0" t="n">
        <f aca="false">IF(F157="", "", IF(C157="","", F157-C157))</f>
        <v>379</v>
      </c>
      <c r="H157" s="0" t="n">
        <f aca="false">IF(F157="", "", IF(D157="","", F157-D157))</f>
        <v>110</v>
      </c>
      <c r="I157" s="0" t="n">
        <f aca="false">IF(F157="", "", IF(E157="","", F157-E157))</f>
        <v>376</v>
      </c>
      <c r="J157" s="66" t="n">
        <f aca="false">IF(SUM(C157:E157)&gt;0,AVERAGE(G157:I157),"")</f>
        <v>288.333333333333</v>
      </c>
      <c r="K157" s="66" t="n">
        <f aca="false">IF(NOT(G157=""),(G157-$J157)^2,"")</f>
        <v>8220.44444444445</v>
      </c>
      <c r="L157" s="66" t="n">
        <f aca="false">IF(NOT(H157=""),(H157-$J157)^2,"")</f>
        <v>31802.7777777778</v>
      </c>
      <c r="M157" s="66" t="n">
        <f aca="false">IF(NOT(I157=""),(I157-$J157)^2,"")</f>
        <v>7685.44444444445</v>
      </c>
      <c r="N157" s="66" t="n">
        <f aca="false">IF(COUNT(K157:M157)&gt;0,SUM(K157:M157)/COUNT(K157:M157),"")</f>
        <v>15902.8888888889</v>
      </c>
      <c r="O157" s="66" t="n">
        <f aca="false">IF(NOT(N157=""),SQRT(N157),"")</f>
        <v>126.106656798477</v>
      </c>
      <c r="P157" s="66" t="n">
        <f aca="false">IF(COUNT(K157:M157)&gt;0,VLOOKUP(COUNT(K157:M157),'t values'!$A$3:$C$5,3)*(O157/SQRT(COUNT(K157:M157))),"")</f>
        <v>313.291585808327</v>
      </c>
      <c r="Q157" s="66" t="n">
        <f aca="false">IF(NOT(P157=""),J157-P157,"")</f>
        <v>-24.9582524749936</v>
      </c>
      <c r="R157" s="66" t="n">
        <f aca="false">IF(NOT(P157=""),J157+P157,"")</f>
        <v>601.62491914166</v>
      </c>
      <c r="S157" s="0" t="n">
        <v>940</v>
      </c>
      <c r="T157" s="0" t="n">
        <f aca="false">IF(S157="", "", IF(C157="","", S157-C157))</f>
        <v>415</v>
      </c>
      <c r="U157" s="0" t="n">
        <f aca="false">IF($S157="", "", IF(D157="","", $S157-D157))</f>
        <v>146</v>
      </c>
      <c r="V157" s="0" t="n">
        <f aca="false">IF($S157="", "", IF(E157="","", $S157-E157))</f>
        <v>412</v>
      </c>
      <c r="W157" s="66" t="n">
        <f aca="false">IF(SUM($C157:$E157)&gt;0,IF(NOT(S157=""),AVERAGE(T157:V157),""),"")</f>
        <v>324.333333333333</v>
      </c>
      <c r="X157" s="0" t="n">
        <f aca="false">IF(NOT(T157=""),(T157-$W157)^2,"")</f>
        <v>8220.44444444445</v>
      </c>
      <c r="Y157" s="0" t="n">
        <f aca="false">IF(NOT(U157=""),(U157-$W157)^2,"")</f>
        <v>31802.7777777778</v>
      </c>
      <c r="Z157" s="0" t="n">
        <f aca="false">IF(NOT(V157=""),(V157-$W157)^2,"")</f>
        <v>7685.44444444445</v>
      </c>
      <c r="AA157" s="0" t="n">
        <f aca="false">IF(COUNT(X157:Z157)&gt;0,SUM(X157:Z157)/COUNT(X157:Z157),"")</f>
        <v>15902.8888888889</v>
      </c>
      <c r="AB157" s="0" t="n">
        <f aca="false">IF(NOT(AA157=""),SQRT(AA157),"")</f>
        <v>126.106656798477</v>
      </c>
      <c r="AD157" s="66" t="n">
        <f aca="false">IF(NOT(W157=""),W157-AG157,"")</f>
        <v>11.3333333333333</v>
      </c>
      <c r="AE157" s="66" t="n">
        <f aca="false">IF(NOT(W157=""),W157+AG157,"")</f>
        <v>637.333333333333</v>
      </c>
      <c r="AF157" s="63" t="n">
        <v>126.106656798477</v>
      </c>
      <c r="AG157" s="63" t="n">
        <v>313</v>
      </c>
      <c r="AH157" s="63"/>
    </row>
    <row r="158" customFormat="false" ht="12.8" hidden="false" customHeight="false" outlineLevel="0" collapsed="false">
      <c r="A158" s="56" t="s">
        <v>48</v>
      </c>
      <c r="B158" s="57" t="n">
        <v>40</v>
      </c>
      <c r="C158" s="56" t="n">
        <v>375</v>
      </c>
      <c r="D158" s="25" t="n">
        <v>693</v>
      </c>
      <c r="E158" s="77" t="n">
        <v>353</v>
      </c>
      <c r="F158" s="0" t="n">
        <v>662</v>
      </c>
      <c r="G158" s="0" t="n">
        <f aca="false">IF(F158="", "", IF(C158="","", F158-C158))</f>
        <v>287</v>
      </c>
      <c r="H158" s="0" t="n">
        <f aca="false">IF(F158="", "", IF(D158="","", F158-D158))</f>
        <v>-31</v>
      </c>
      <c r="I158" s="0" t="n">
        <f aca="false">IF(F158="", "", IF(E158="","", F158-E158))</f>
        <v>309</v>
      </c>
      <c r="J158" s="66" t="n">
        <f aca="false">IF(SUM(C158:E158)&gt;0,AVERAGE(G158:I158),"")</f>
        <v>188.333333333333</v>
      </c>
      <c r="K158" s="66" t="n">
        <f aca="false">IF(NOT(G158=""),(G158-$J158)^2,"")</f>
        <v>9735.11111111111</v>
      </c>
      <c r="L158" s="66" t="n">
        <f aca="false">IF(NOT(H158=""),(H158-$J158)^2,"")</f>
        <v>48107.1111111111</v>
      </c>
      <c r="M158" s="66" t="n">
        <f aca="false">IF(NOT(I158=""),(I158-$J158)^2,"")</f>
        <v>14560.4444444444</v>
      </c>
      <c r="N158" s="66" t="n">
        <f aca="false">IF(COUNT(K158:M158)&gt;0,SUM(K158:M158)/COUNT(K158:M158),"")</f>
        <v>24134.2222222222</v>
      </c>
      <c r="O158" s="66" t="n">
        <f aca="false">IF(NOT(N158=""),SQRT(N158),"")</f>
        <v>155.35193021724</v>
      </c>
      <c r="P158" s="66" t="n">
        <f aca="false">IF(COUNT(K158:M158)&gt;0,VLOOKUP(COUNT(K158:M158),'t values'!$A$3:$C$5,3)*(O158/SQRT(COUNT(K158:M158))),"")</f>
        <v>385.946735975412</v>
      </c>
      <c r="Q158" s="66" t="n">
        <f aca="false">IF(NOT(P158=""),J158-P158,"")</f>
        <v>-197.613402642078</v>
      </c>
      <c r="R158" s="66" t="n">
        <f aca="false">IF(NOT(P158=""),J158+P158,"")</f>
        <v>574.280069308745</v>
      </c>
      <c r="T158" s="0" t="str">
        <f aca="false">IF(S158="", "", IF(C158="","", S158-C158))</f>
        <v/>
      </c>
      <c r="U158" s="0" t="str">
        <f aca="false">IF($S158="", "", IF(D158="","", $S158-D158))</f>
        <v/>
      </c>
      <c r="V158" s="0" t="str">
        <f aca="false">IF($S158="", "", IF(E158="","", $S158-E158))</f>
        <v/>
      </c>
      <c r="W158" s="66" t="str">
        <f aca="false">IF(SUM($C158:$E158)&gt;0,IF(NOT(S158=""),AVERAGE(T158:V158),""),"")</f>
        <v/>
      </c>
      <c r="X158" s="0" t="str">
        <f aca="false">IF(NOT(T158=""),(T158-$W158)^2,"")</f>
        <v/>
      </c>
      <c r="Y158" s="0" t="str">
        <f aca="false">IF(NOT(U158=""),(U158-$W158)^2,"")</f>
        <v/>
      </c>
      <c r="Z158" s="0" t="str">
        <f aca="false">IF(NOT(V158=""),(V158-$W158)^2,"")</f>
        <v/>
      </c>
      <c r="AA158" s="0" t="str">
        <f aca="false">IF(COUNT(X158:Z158)&gt;0,SUM(X158:Z158)/COUNT(X158:Z158),"")</f>
        <v/>
      </c>
      <c r="AB158" s="0" t="str">
        <f aca="false">IF(NOT(AA158=""),SQRT(AA158),"")</f>
        <v/>
      </c>
      <c r="AD158" s="66" t="str">
        <f aca="false">IF(NOT(W158=""),W158-AG158,"")</f>
        <v/>
      </c>
      <c r="AE158" s="66" t="str">
        <f aca="false">IF(NOT(W158=""),W158+AG158,"")</f>
        <v/>
      </c>
      <c r="AF158" s="63" t="n">
        <v>155.35193021724</v>
      </c>
      <c r="AG158" s="63" t="n">
        <v>386</v>
      </c>
      <c r="AH158" s="63"/>
    </row>
    <row r="159" customFormat="false" ht="12.8" hidden="false" customHeight="false" outlineLevel="0" collapsed="false">
      <c r="A159" s="56" t="s">
        <v>48</v>
      </c>
      <c r="B159" s="57" t="n">
        <v>50</v>
      </c>
      <c r="C159" s="56" t="n">
        <v>396</v>
      </c>
      <c r="D159" s="25" t="n">
        <v>380</v>
      </c>
      <c r="E159" s="77" t="n">
        <v>307</v>
      </c>
      <c r="F159" s="0" t="n">
        <v>702</v>
      </c>
      <c r="G159" s="0" t="n">
        <f aca="false">IF(F159="", "", IF(C159="","", F159-C159))</f>
        <v>306</v>
      </c>
      <c r="H159" s="0" t="n">
        <f aca="false">IF(F159="", "", IF(D159="","", F159-D159))</f>
        <v>322</v>
      </c>
      <c r="I159" s="0" t="n">
        <f aca="false">IF(F159="", "", IF(E159="","", F159-E159))</f>
        <v>395</v>
      </c>
      <c r="J159" s="66" t="n">
        <f aca="false">IF(SUM(C159:E159)&gt;0,AVERAGE(G159:I159),"")</f>
        <v>341</v>
      </c>
      <c r="K159" s="66" t="n">
        <f aca="false">IF(NOT(G159=""),(G159-$J159)^2,"")</f>
        <v>1225</v>
      </c>
      <c r="L159" s="66" t="n">
        <f aca="false">IF(NOT(H159=""),(H159-$J159)^2,"")</f>
        <v>361</v>
      </c>
      <c r="M159" s="66" t="n">
        <f aca="false">IF(NOT(I159=""),(I159-$J159)^2,"")</f>
        <v>2916</v>
      </c>
      <c r="N159" s="66" t="n">
        <f aca="false">IF(COUNT(K159:M159)&gt;0,SUM(K159:M159)/COUNT(K159:M159),"")</f>
        <v>1500.66666666667</v>
      </c>
      <c r="O159" s="66" t="n">
        <f aca="false">IF(NOT(N159=""),SQRT(N159),"")</f>
        <v>38.7384391356527</v>
      </c>
      <c r="P159" s="66" t="n">
        <f aca="false">IF(COUNT(K159:M159)&gt;0,VLOOKUP(COUNT(K159:M159),'t values'!$A$3:$C$5,3)*(O159/SQRT(COUNT(K159:M159))),"")</f>
        <v>96.2393844754954</v>
      </c>
      <c r="Q159" s="66" t="n">
        <f aca="false">IF(NOT(P159=""),J159-P159,"")</f>
        <v>244.760615524505</v>
      </c>
      <c r="R159" s="66" t="n">
        <f aca="false">IF(NOT(P159=""),J159+P159,"")</f>
        <v>437.239384475495</v>
      </c>
      <c r="S159" s="0" t="n">
        <v>972</v>
      </c>
      <c r="T159" s="0" t="n">
        <f aca="false">IF(S159="", "", IF(C159="","", S159-C159))</f>
        <v>576</v>
      </c>
      <c r="U159" s="0" t="n">
        <f aca="false">IF($S159="", "", IF(D159="","", $S159-D159))</f>
        <v>592</v>
      </c>
      <c r="V159" s="0" t="n">
        <f aca="false">IF($S159="", "", IF(E159="","", $S159-E159))</f>
        <v>665</v>
      </c>
      <c r="W159" s="66" t="n">
        <f aca="false">IF(SUM($C159:$E159)&gt;0,IF(NOT(S159=""),AVERAGE(T159:V159),""),"")</f>
        <v>611</v>
      </c>
      <c r="X159" s="0" t="n">
        <f aca="false">IF(NOT(T159=""),(T159-$W159)^2,"")</f>
        <v>1225</v>
      </c>
      <c r="Y159" s="0" t="n">
        <f aca="false">IF(NOT(U159=""),(U159-$W159)^2,"")</f>
        <v>361</v>
      </c>
      <c r="Z159" s="0" t="n">
        <f aca="false">IF(NOT(V159=""),(V159-$W159)^2,"")</f>
        <v>2916</v>
      </c>
      <c r="AA159" s="0" t="n">
        <f aca="false">IF(COUNT(X159:Z159)&gt;0,SUM(X159:Z159)/COUNT(X159:Z159),"")</f>
        <v>1500.66666666667</v>
      </c>
      <c r="AB159" s="0" t="n">
        <f aca="false">IF(NOT(AA159=""),SQRT(AA159),"")</f>
        <v>38.7384391356527</v>
      </c>
      <c r="AD159" s="66" t="n">
        <f aca="false">IF(NOT(W159=""),W159-AG159,"")</f>
        <v>515</v>
      </c>
      <c r="AE159" s="66" t="n">
        <f aca="false">IF(NOT(W159=""),W159+AG159,"")</f>
        <v>707</v>
      </c>
      <c r="AF159" s="63" t="n">
        <v>38.7384391356527</v>
      </c>
      <c r="AG159" s="63" t="n">
        <v>96</v>
      </c>
      <c r="AH159" s="63"/>
    </row>
    <row r="160" customFormat="false" ht="12.8" hidden="false" customHeight="false" outlineLevel="0" collapsed="false">
      <c r="A160" s="56" t="s">
        <v>48</v>
      </c>
      <c r="B160" s="57" t="n">
        <v>64</v>
      </c>
      <c r="C160" s="56" t="n">
        <v>293</v>
      </c>
      <c r="D160" s="25" t="n">
        <v>289</v>
      </c>
      <c r="E160" s="77" t="n">
        <v>295</v>
      </c>
      <c r="F160" s="0" t="n">
        <v>581</v>
      </c>
      <c r="G160" s="0" t="n">
        <f aca="false">IF(F160="", "", IF(C160="","", F160-C160))</f>
        <v>288</v>
      </c>
      <c r="H160" s="0" t="n">
        <f aca="false">IF(F160="", "", IF(D160="","", F160-D160))</f>
        <v>292</v>
      </c>
      <c r="I160" s="0" t="n">
        <f aca="false">IF(F160="", "", IF(E160="","", F160-E160))</f>
        <v>286</v>
      </c>
      <c r="J160" s="66" t="n">
        <f aca="false">IF(SUM(C160:E160)&gt;0,AVERAGE(G160:I160),"")</f>
        <v>288.666666666667</v>
      </c>
      <c r="K160" s="66" t="n">
        <f aca="false">IF(NOT(G160=""),(G160-$J160)^2,"")</f>
        <v>0.44444444444447</v>
      </c>
      <c r="L160" s="66" t="n">
        <f aca="false">IF(NOT(H160=""),(H160-$J160)^2,"")</f>
        <v>11.111111111111</v>
      </c>
      <c r="M160" s="66" t="n">
        <f aca="false">IF(NOT(I160=""),(I160-$J160)^2,"")</f>
        <v>7.11111111111121</v>
      </c>
      <c r="N160" s="66" t="n">
        <f aca="false">IF(COUNT(K160:M160)&gt;0,SUM(K160:M160)/COUNT(K160:M160),"")</f>
        <v>6.22222222222222</v>
      </c>
      <c r="O160" s="66" t="n">
        <f aca="false">IF(NOT(N160=""),SQRT(N160),"")</f>
        <v>2.49443825784929</v>
      </c>
      <c r="P160" s="66" t="n">
        <f aca="false">IF(COUNT(K160:M160)&gt;0,VLOOKUP(COUNT(K160:M160),'t values'!$A$3:$C$5,3)*(O160/SQRT(COUNT(K160:M160))),"")</f>
        <v>6.19702827227756</v>
      </c>
      <c r="Q160" s="66" t="n">
        <f aca="false">IF(NOT(P160=""),J160-P160,"")</f>
        <v>282.469638394389</v>
      </c>
      <c r="R160" s="66" t="n">
        <f aca="false">IF(NOT(P160=""),J160+P160,"")</f>
        <v>294.863694938944</v>
      </c>
      <c r="T160" s="0" t="str">
        <f aca="false">IF(S160="", "", IF(C160="","", S160-C160))</f>
        <v/>
      </c>
      <c r="U160" s="0" t="str">
        <f aca="false">IF($S160="", "", IF(D160="","", $S160-D160))</f>
        <v/>
      </c>
      <c r="V160" s="0" t="str">
        <f aca="false">IF($S160="", "", IF(E160="","", $S160-E160))</f>
        <v/>
      </c>
      <c r="W160" s="66" t="str">
        <f aca="false">IF(SUM($C160:$E160)&gt;0,IF(NOT(S160=""),AVERAGE(T160:V160),""),"")</f>
        <v/>
      </c>
      <c r="X160" s="0" t="str">
        <f aca="false">IF(NOT(T160=""),(T160-$W160)^2,"")</f>
        <v/>
      </c>
      <c r="Y160" s="0" t="str">
        <f aca="false">IF(NOT(U160=""),(U160-$W160)^2,"")</f>
        <v/>
      </c>
      <c r="Z160" s="0" t="str">
        <f aca="false">IF(NOT(V160=""),(V160-$W160)^2,"")</f>
        <v/>
      </c>
      <c r="AA160" s="0" t="str">
        <f aca="false">IF(COUNT(X160:Z160)&gt;0,SUM(X160:Z160)/COUNT(X160:Z160),"")</f>
        <v/>
      </c>
      <c r="AB160" s="0" t="str">
        <f aca="false">IF(NOT(AA160=""),SQRT(AA160),"")</f>
        <v/>
      </c>
      <c r="AD160" s="66" t="str">
        <f aca="false">IF(NOT(W160=""),W160-AG160,"")</f>
        <v/>
      </c>
      <c r="AE160" s="66" t="str">
        <f aca="false">IF(NOT(W160=""),W160+AG160,"")</f>
        <v/>
      </c>
      <c r="AF160" s="63" t="n">
        <v>2.49443825784929</v>
      </c>
      <c r="AG160" s="63" t="n">
        <v>6</v>
      </c>
      <c r="AH160" s="63"/>
    </row>
    <row r="161" customFormat="false" ht="12.8" hidden="false" customHeight="false" outlineLevel="0" collapsed="false">
      <c r="A161" s="56" t="s">
        <v>48</v>
      </c>
      <c r="B161" s="57" t="n">
        <v>82</v>
      </c>
      <c r="C161" s="56" t="n">
        <v>246</v>
      </c>
      <c r="D161" s="25" t="n">
        <v>224</v>
      </c>
      <c r="E161" s="77" t="n">
        <v>208</v>
      </c>
      <c r="F161" s="0" t="n">
        <v>402</v>
      </c>
      <c r="G161" s="0" t="n">
        <f aca="false">IF(F161="", "", IF(C161="","", F161-C161))</f>
        <v>156</v>
      </c>
      <c r="H161" s="0" t="n">
        <f aca="false">IF(F161="", "", IF(D161="","", F161-D161))</f>
        <v>178</v>
      </c>
      <c r="I161" s="0" t="n">
        <f aca="false">IF(F161="", "", IF(E161="","", F161-E161))</f>
        <v>194</v>
      </c>
      <c r="J161" s="66" t="n">
        <f aca="false">IF(SUM(C161:E161)&gt;0,AVERAGE(G161:I161),"")</f>
        <v>176</v>
      </c>
      <c r="K161" s="66" t="n">
        <f aca="false">IF(NOT(G161=""),(G161-$J161)^2,"")</f>
        <v>400</v>
      </c>
      <c r="L161" s="66" t="n">
        <f aca="false">IF(NOT(H161=""),(H161-$J161)^2,"")</f>
        <v>4</v>
      </c>
      <c r="M161" s="66" t="n">
        <f aca="false">IF(NOT(I161=""),(I161-$J161)^2,"")</f>
        <v>324</v>
      </c>
      <c r="N161" s="66" t="n">
        <f aca="false">IF(COUNT(K161:M161)&gt;0,SUM(K161:M161)/COUNT(K161:M161),"")</f>
        <v>242.666666666667</v>
      </c>
      <c r="O161" s="66" t="n">
        <f aca="false">IF(NOT(N161=""),SQRT(N161),"")</f>
        <v>15.5777619273972</v>
      </c>
      <c r="P161" s="66" t="n">
        <f aca="false">IF(COUNT(K161:M161)&gt;0,VLOOKUP(COUNT(K161:M161),'t values'!$A$3:$C$5,3)*(O161/SQRT(COUNT(K161:M161))),"")</f>
        <v>38.7004291563917</v>
      </c>
      <c r="Q161" s="66" t="n">
        <f aca="false">IF(NOT(P161=""),J161-P161,"")</f>
        <v>137.299570843608</v>
      </c>
      <c r="R161" s="66" t="n">
        <f aca="false">IF(NOT(P161=""),J161+P161,"")</f>
        <v>214.700429156392</v>
      </c>
      <c r="T161" s="0" t="str">
        <f aca="false">IF(S161="", "", IF(C161="","", S161-C161))</f>
        <v/>
      </c>
      <c r="U161" s="0" t="str">
        <f aca="false">IF($S161="", "", IF(D161="","", $S161-D161))</f>
        <v/>
      </c>
      <c r="V161" s="0" t="str">
        <f aca="false">IF($S161="", "", IF(E161="","", $S161-E161))</f>
        <v/>
      </c>
      <c r="W161" s="66" t="str">
        <f aca="false">IF(SUM($C161:$E161)&gt;0,IF(NOT(S161=""),AVERAGE(T161:V161),""),"")</f>
        <v/>
      </c>
      <c r="X161" s="0" t="str">
        <f aca="false">IF(NOT(T161=""),(T161-$W161)^2,"")</f>
        <v/>
      </c>
      <c r="Y161" s="0" t="str">
        <f aca="false">IF(NOT(U161=""),(U161-$W161)^2,"")</f>
        <v/>
      </c>
      <c r="Z161" s="0" t="str">
        <f aca="false">IF(NOT(V161=""),(V161-$W161)^2,"")</f>
        <v/>
      </c>
      <c r="AA161" s="0" t="str">
        <f aca="false">IF(COUNT(X161:Z161)&gt;0,SUM(X161:Z161)/COUNT(X161:Z161),"")</f>
        <v/>
      </c>
      <c r="AB161" s="0" t="str">
        <f aca="false">IF(NOT(AA161=""),SQRT(AA161),"")</f>
        <v/>
      </c>
      <c r="AD161" s="66" t="str">
        <f aca="false">IF(NOT(W161=""),W161-AG161,"")</f>
        <v/>
      </c>
      <c r="AE161" s="66" t="str">
        <f aca="false">IF(NOT(W161=""),W161+AG161,"")</f>
        <v/>
      </c>
      <c r="AF161" s="63" t="n">
        <v>15.5777619273972</v>
      </c>
      <c r="AG161" s="63" t="n">
        <v>39</v>
      </c>
      <c r="AH161" s="63"/>
    </row>
    <row r="162" customFormat="false" ht="12.8" hidden="false" customHeight="false" outlineLevel="0" collapsed="false">
      <c r="A162" s="56" t="s">
        <v>48</v>
      </c>
      <c r="B162" s="57" t="n">
        <v>100</v>
      </c>
      <c r="C162" s="56" t="n">
        <v>185</v>
      </c>
      <c r="D162" s="25" t="n">
        <v>261</v>
      </c>
      <c r="E162" s="77" t="n">
        <v>185</v>
      </c>
      <c r="F162" s="0" t="n">
        <v>496</v>
      </c>
      <c r="G162" s="0" t="n">
        <f aca="false">IF(F162="", "", IF(C162="","", F162-C162))</f>
        <v>311</v>
      </c>
      <c r="H162" s="0" t="n">
        <f aca="false">IF(F162="", "", IF(D162="","", F162-D162))</f>
        <v>235</v>
      </c>
      <c r="I162" s="0" t="n">
        <f aca="false">IF(F162="", "", IF(E162="","", F162-E162))</f>
        <v>311</v>
      </c>
      <c r="J162" s="66" t="n">
        <f aca="false">IF(SUM(C162:E162)&gt;0,AVERAGE(G162:I162),"")</f>
        <v>285.666666666667</v>
      </c>
      <c r="K162" s="66" t="n">
        <f aca="false">IF(NOT(G162=""),(G162-$J162)^2,"")</f>
        <v>641.777777777777</v>
      </c>
      <c r="L162" s="66" t="n">
        <f aca="false">IF(NOT(H162=""),(H162-$J162)^2,"")</f>
        <v>2567.11111111111</v>
      </c>
      <c r="M162" s="66" t="n">
        <f aca="false">IF(NOT(I162=""),(I162-$J162)^2,"")</f>
        <v>641.777777777777</v>
      </c>
      <c r="N162" s="66" t="n">
        <f aca="false">IF(COUNT(K162:M162)&gt;0,SUM(K162:M162)/COUNT(K162:M162),"")</f>
        <v>1283.55555555556</v>
      </c>
      <c r="O162" s="66" t="n">
        <f aca="false">IF(NOT(N162=""),SQRT(N162),"")</f>
        <v>35.8267435801184</v>
      </c>
      <c r="P162" s="66" t="n">
        <f aca="false">IF(COUNT(K162:M162)&gt;0,VLOOKUP(COUNT(K162:M162),'t values'!$A$3:$C$5,3)*(O162/SQRT(COUNT(K162:M162))),"")</f>
        <v>89.0057479558775</v>
      </c>
      <c r="Q162" s="66" t="n">
        <f aca="false">IF(NOT(P162=""),J162-P162,"")</f>
        <v>196.660918710789</v>
      </c>
      <c r="R162" s="66" t="n">
        <f aca="false">IF(NOT(P162=""),J162+P162,"")</f>
        <v>374.672414622544</v>
      </c>
      <c r="T162" s="0" t="str">
        <f aca="false">IF(S162="", "", IF(C162="","", S162-C162))</f>
        <v/>
      </c>
      <c r="U162" s="0" t="str">
        <f aca="false">IF($S162="", "", IF(D162="","", $S162-D162))</f>
        <v/>
      </c>
      <c r="V162" s="0" t="str">
        <f aca="false">IF($S162="", "", IF(E162="","", $S162-E162))</f>
        <v/>
      </c>
      <c r="W162" s="66" t="str">
        <f aca="false">IF(SUM($C162:$E162)&gt;0,IF(NOT(S162=""),AVERAGE(T162:V162),""),"")</f>
        <v/>
      </c>
      <c r="X162" s="0" t="str">
        <f aca="false">IF(NOT(T162=""),(T162-$W162)^2,"")</f>
        <v/>
      </c>
      <c r="Y162" s="0" t="str">
        <f aca="false">IF(NOT(U162=""),(U162-$W162)^2,"")</f>
        <v/>
      </c>
      <c r="Z162" s="0" t="str">
        <f aca="false">IF(NOT(V162=""),(V162-$W162)^2,"")</f>
        <v/>
      </c>
      <c r="AA162" s="0" t="str">
        <f aca="false">IF(COUNT(X162:Z162)&gt;0,SUM(X162:Z162)/COUNT(X162:Z162),"")</f>
        <v/>
      </c>
      <c r="AB162" s="0" t="str">
        <f aca="false">IF(NOT(AA162=""),SQRT(AA162),"")</f>
        <v/>
      </c>
      <c r="AD162" s="66" t="str">
        <f aca="false">IF(NOT(W162=""),W162-AG162,"")</f>
        <v/>
      </c>
      <c r="AE162" s="66" t="str">
        <f aca="false">IF(NOT(W162=""),W162+AG162,"")</f>
        <v/>
      </c>
      <c r="AF162" s="63" t="n">
        <v>35.8267435801184</v>
      </c>
      <c r="AG162" s="63" t="n">
        <v>89</v>
      </c>
      <c r="AH162" s="63"/>
    </row>
    <row r="163" customFormat="false" ht="12.8" hidden="false" customHeight="false" outlineLevel="0" collapsed="false">
      <c r="A163" s="56" t="s">
        <v>49</v>
      </c>
      <c r="B163" s="57" t="n">
        <v>5</v>
      </c>
      <c r="C163" s="56"/>
      <c r="D163" s="25"/>
      <c r="E163" s="77"/>
      <c r="F163" s="0" t="n">
        <v>1201</v>
      </c>
      <c r="G163" s="0" t="str">
        <f aca="false">IF(F163="", "", IF(C163="","", F163-C163))</f>
        <v/>
      </c>
      <c r="H163" s="0" t="str">
        <f aca="false">IF(F163="", "", IF(D163="","", F163-D163))</f>
        <v/>
      </c>
      <c r="I163" s="0" t="str">
        <f aca="false">IF(F163="", "", IF(E163="","", F163-E163))</f>
        <v/>
      </c>
      <c r="J163" s="66" t="str">
        <f aca="false">IF(SUM(C163:E163)&gt;0,AVERAGE(G163:I163),"")</f>
        <v/>
      </c>
      <c r="K163" s="66" t="str">
        <f aca="false">IF(NOT(G163=""),(G163-$J163)^2,"")</f>
        <v/>
      </c>
      <c r="L163" s="66" t="str">
        <f aca="false">IF(NOT(H163=""),(H163-$J163)^2,"")</f>
        <v/>
      </c>
      <c r="M163" s="66" t="str">
        <f aca="false">IF(NOT(I163=""),(I163-$J163)^2,"")</f>
        <v/>
      </c>
      <c r="N163" s="66" t="str">
        <f aca="false">IF(COUNT(K163:M163)&gt;0,SUM(K163:M163)/COUNT(K163:M163),"")</f>
        <v/>
      </c>
      <c r="O163" s="66" t="str">
        <f aca="false">IF(NOT(N163=""),SQRT(N163),"")</f>
        <v/>
      </c>
      <c r="P163" s="66" t="str">
        <f aca="false">IF(COUNT(K163:M163)&gt;0,VLOOKUP(COUNT(K163:M163),'t values'!$A$3:$C$5,3)*(O163/SQRT(COUNT(K163:M163))),"")</f>
        <v/>
      </c>
      <c r="Q163" s="66" t="str">
        <f aca="false">IF(NOT(P163=""),J163-P163,"")</f>
        <v/>
      </c>
      <c r="R163" s="66" t="str">
        <f aca="false">IF(NOT(P163=""),J163+P163,"")</f>
        <v/>
      </c>
      <c r="S163" s="0" t="n">
        <v>1313</v>
      </c>
      <c r="T163" s="0" t="str">
        <f aca="false">IF(S163="", "", IF(C163="","", S163-C163))</f>
        <v/>
      </c>
      <c r="U163" s="0" t="str">
        <f aca="false">IF($S163="", "", IF(D163="","", $S163-D163))</f>
        <v/>
      </c>
      <c r="V163" s="0" t="str">
        <f aca="false">IF($S163="", "", IF(E163="","", $S163-E163))</f>
        <v/>
      </c>
      <c r="W163" s="66" t="str">
        <f aca="false">IF(SUM($C163:$E163)&gt;0,IF(NOT(S163=""),AVERAGE(T163:V163),""),"")</f>
        <v/>
      </c>
      <c r="X163" s="0" t="str">
        <f aca="false">IF(NOT(T163=""),(T163-$W163)^2,"")</f>
        <v/>
      </c>
      <c r="Y163" s="0" t="str">
        <f aca="false">IF(NOT(U163=""),(U163-$W163)^2,"")</f>
        <v/>
      </c>
      <c r="Z163" s="0" t="str">
        <f aca="false">IF(NOT(V163=""),(V163-$W163)^2,"")</f>
        <v/>
      </c>
      <c r="AA163" s="0" t="str">
        <f aca="false">IF(COUNT(X163:Z163)&gt;0,SUM(X163:Z163)/COUNT(X163:Z163),"")</f>
        <v/>
      </c>
      <c r="AB163" s="0" t="str">
        <f aca="false">IF(NOT(AA163=""),SQRT(AA163),"")</f>
        <v/>
      </c>
      <c r="AD163" s="66" t="str">
        <f aca="false">IF(NOT(W163=""),W163-AG163,"")</f>
        <v/>
      </c>
      <c r="AE163" s="66" t="str">
        <f aca="false">IF(NOT(W163=""),W163+AG163,"")</f>
        <v/>
      </c>
      <c r="AF163" s="63"/>
      <c r="AG163" s="63"/>
      <c r="AH163" s="63"/>
    </row>
    <row r="164" customFormat="false" ht="12.8" hidden="false" customHeight="false" outlineLevel="0" collapsed="false">
      <c r="A164" s="56" t="s">
        <v>49</v>
      </c>
      <c r="B164" s="57" t="n">
        <v>10</v>
      </c>
      <c r="C164" s="56" t="n">
        <v>824</v>
      </c>
      <c r="D164" s="25" t="n">
        <v>930</v>
      </c>
      <c r="E164" s="77"/>
      <c r="F164" s="0" t="n">
        <v>896</v>
      </c>
      <c r="G164" s="0" t="n">
        <f aca="false">IF(F164="", "", IF(C164="","", F164-C164))</f>
        <v>72</v>
      </c>
      <c r="H164" s="25" t="n">
        <f aca="false">IF(F164="", "", IF(D164="","", F164-D164))</f>
        <v>-34</v>
      </c>
      <c r="I164" s="0" t="str">
        <f aca="false">IF(F164="", "", IF(E164="","", F164-E164))</f>
        <v/>
      </c>
      <c r="J164" s="66" t="n">
        <f aca="false">IF(SUM(C164:E164)&gt;0,AVERAGE(G164:I164),"")</f>
        <v>19</v>
      </c>
      <c r="K164" s="66" t="n">
        <f aca="false">IF(NOT(G164=""),(G164-$J164)^2,"")</f>
        <v>2809</v>
      </c>
      <c r="L164" s="66" t="n">
        <f aca="false">IF(NOT(H164=""),(H164-$J164)^2,"")</f>
        <v>2809</v>
      </c>
      <c r="M164" s="66" t="str">
        <f aca="false">IF(NOT(I164=""),(I164-$J164)^2,"")</f>
        <v/>
      </c>
      <c r="N164" s="66" t="n">
        <f aca="false">IF(COUNT(K164:M164)&gt;0,SUM(K164:M164)/COUNT(K164:M164),"")</f>
        <v>2809</v>
      </c>
      <c r="O164" s="66" t="n">
        <f aca="false">IF(NOT(N164=""),SQRT(N164),"")</f>
        <v>53</v>
      </c>
      <c r="P164" s="66" t="n">
        <f aca="false">IF(COUNT(K164:M164)&gt;0,VLOOKUP(COUNT(K164:M164),'t values'!$A$3:$C$5,3)*(O164/SQRT(COUNT(K164:M164))),"")</f>
        <v>476.178434373082</v>
      </c>
      <c r="Q164" s="66" t="n">
        <f aca="false">IF(NOT(P164=""),J164-P164,"")</f>
        <v>-457.178434373082</v>
      </c>
      <c r="R164" s="66" t="n">
        <f aca="false">IF(NOT(P164=""),J164+P164,"")</f>
        <v>495.178434373082</v>
      </c>
      <c r="S164" s="0" t="n">
        <v>889</v>
      </c>
      <c r="T164" s="0" t="n">
        <f aca="false">IF(S164="", "", IF(C164="","", S164-C164))</f>
        <v>65</v>
      </c>
      <c r="U164" s="25" t="n">
        <f aca="false">IF($S164="", "", IF(D164="","", $S164-D164))</f>
        <v>-41</v>
      </c>
      <c r="V164" s="0" t="str">
        <f aca="false">IF($S164="", "", IF(E164="","", $S164-E164))</f>
        <v/>
      </c>
      <c r="W164" s="66" t="n">
        <f aca="false">IF(SUM($C164:$E164)&gt;0,IF(NOT(S164=""),AVERAGE(T164:V164),""),"")</f>
        <v>12</v>
      </c>
      <c r="X164" s="0" t="n">
        <f aca="false">IF(NOT(T164=""),(T164-$W164)^2,"")</f>
        <v>2809</v>
      </c>
      <c r="Y164" s="0" t="n">
        <f aca="false">IF(NOT(U164=""),(U164-$W164)^2,"")</f>
        <v>2809</v>
      </c>
      <c r="Z164" s="0" t="str">
        <f aca="false">IF(NOT(V164=""),(V164-$W164)^2,"")</f>
        <v/>
      </c>
      <c r="AA164" s="0" t="n">
        <f aca="false">IF(COUNT(X164:Z164)&gt;0,SUM(X164:Z164)/COUNT(X164:Z164),"")</f>
        <v>2809</v>
      </c>
      <c r="AB164" s="0" t="n">
        <f aca="false">IF(NOT(AA164=""),SQRT(AA164),"")</f>
        <v>53</v>
      </c>
      <c r="AD164" s="66" t="n">
        <f aca="false">IF(NOT(W164=""),W164-AG164,"")</f>
        <v>12</v>
      </c>
      <c r="AE164" s="66" t="n">
        <f aca="false">IF(NOT(W164=""),W164+AG164,"")</f>
        <v>12</v>
      </c>
      <c r="AF164" s="63" t="n">
        <v>0</v>
      </c>
      <c r="AG164" s="63"/>
      <c r="AH164" s="63"/>
    </row>
    <row r="165" customFormat="false" ht="12.8" hidden="false" customHeight="false" outlineLevel="0" collapsed="false">
      <c r="A165" s="56" t="s">
        <v>49</v>
      </c>
      <c r="B165" s="57" t="n">
        <v>15</v>
      </c>
      <c r="C165" s="56" t="n">
        <v>587</v>
      </c>
      <c r="D165" s="25" t="n">
        <v>625</v>
      </c>
      <c r="E165" s="77" t="n">
        <v>591</v>
      </c>
      <c r="F165" s="0" t="n">
        <v>658</v>
      </c>
      <c r="G165" s="0" t="n">
        <f aca="false">IF(F165="", "", IF(C165="","", F165-C165))</f>
        <v>71</v>
      </c>
      <c r="H165" s="25" t="n">
        <f aca="false">IF(F165="", "", IF(D165="","", F165-D165))</f>
        <v>33</v>
      </c>
      <c r="I165" s="0" t="n">
        <f aca="false">IF(F165="", "", IF(E165="","", F165-E165))</f>
        <v>67</v>
      </c>
      <c r="J165" s="66" t="n">
        <f aca="false">IF(SUM(C165:E165)&gt;0,AVERAGE(G165:I165),"")</f>
        <v>57</v>
      </c>
      <c r="K165" s="66" t="n">
        <f aca="false">IF(NOT(G165=""),(G165-$J165)^2,"")</f>
        <v>196</v>
      </c>
      <c r="L165" s="66" t="n">
        <f aca="false">IF(NOT(H165=""),(H165-$J165)^2,"")</f>
        <v>576</v>
      </c>
      <c r="M165" s="66" t="n">
        <f aca="false">IF(NOT(I165=""),(I165-$J165)^2,"")</f>
        <v>100</v>
      </c>
      <c r="N165" s="66" t="n">
        <f aca="false">IF(COUNT(K165:M165)&gt;0,SUM(K165:M165)/COUNT(K165:M165),"")</f>
        <v>290.666666666667</v>
      </c>
      <c r="O165" s="66" t="n">
        <f aca="false">IF(NOT(N165=""),SQRT(N165),"")</f>
        <v>17.0489491367259</v>
      </c>
      <c r="P165" s="66" t="n">
        <f aca="false">IF(COUNT(K165:M165)&gt;0,VLOOKUP(COUNT(K165:M165),'t values'!$A$3:$C$5,3)*(O165/SQRT(COUNT(K165:M165))),"")</f>
        <v>42.3553557521229</v>
      </c>
      <c r="Q165" s="66" t="n">
        <f aca="false">IF(NOT(P165=""),J165-P165,"")</f>
        <v>14.6446442478771</v>
      </c>
      <c r="R165" s="66" t="n">
        <f aca="false">IF(NOT(P165=""),J165+P165,"")</f>
        <v>99.3553557521229</v>
      </c>
      <c r="S165" s="0" t="n">
        <v>815</v>
      </c>
      <c r="T165" s="0" t="n">
        <f aca="false">IF(S165="", "", IF(C165="","", S165-C165))</f>
        <v>228</v>
      </c>
      <c r="U165" s="25" t="n">
        <f aca="false">IF($S165="", "", IF(D165="","", $S165-D165))</f>
        <v>190</v>
      </c>
      <c r="V165" s="0" t="n">
        <f aca="false">IF($S165="", "", IF(E165="","", $S165-E165))</f>
        <v>224</v>
      </c>
      <c r="W165" s="66" t="n">
        <f aca="false">IF(SUM($C165:$E165)&gt;0,IF(NOT(S165=""),AVERAGE(T165:V165),""),"")</f>
        <v>214</v>
      </c>
      <c r="X165" s="0" t="n">
        <f aca="false">IF(NOT(T165=""),(T165-$W165)^2,"")</f>
        <v>196</v>
      </c>
      <c r="Y165" s="0" t="n">
        <f aca="false">IF(NOT(U165=""),(U165-$W165)^2,"")</f>
        <v>576</v>
      </c>
      <c r="Z165" s="0" t="n">
        <f aca="false">IF(NOT(V165=""),(V165-$W165)^2,"")</f>
        <v>100</v>
      </c>
      <c r="AA165" s="0" t="n">
        <f aca="false">IF(COUNT(X165:Z165)&gt;0,SUM(X165:Z165)/COUNT(X165:Z165),"")</f>
        <v>290.666666666667</v>
      </c>
      <c r="AB165" s="0" t="n">
        <f aca="false">IF(NOT(AA165=""),SQRT(AA165),"")</f>
        <v>17.0489491367259</v>
      </c>
      <c r="AD165" s="66" t="n">
        <f aca="false">IF(NOT(W165=""),W165-AG165,"")</f>
        <v>196</v>
      </c>
      <c r="AE165" s="66" t="n">
        <f aca="false">IF(NOT(W165=""),W165+AG165,"")</f>
        <v>232</v>
      </c>
      <c r="AF165" s="63" t="n">
        <v>2</v>
      </c>
      <c r="AG165" s="63" t="n">
        <v>18</v>
      </c>
      <c r="AH165" s="63"/>
    </row>
    <row r="166" customFormat="false" ht="12.8" hidden="false" customHeight="false" outlineLevel="0" collapsed="false">
      <c r="A166" s="56" t="s">
        <v>49</v>
      </c>
      <c r="B166" s="57" t="n">
        <v>20</v>
      </c>
      <c r="C166" s="56" t="n">
        <v>449</v>
      </c>
      <c r="D166" s="25" t="n">
        <v>490</v>
      </c>
      <c r="E166" s="77" t="n">
        <v>530</v>
      </c>
      <c r="F166" s="0" t="n">
        <v>643</v>
      </c>
      <c r="G166" s="0" t="n">
        <f aca="false">IF(F166="", "", IF(C166="","", F166-C166))</f>
        <v>194</v>
      </c>
      <c r="H166" s="25" t="n">
        <f aca="false">IF(F166="", "", IF(D166="","", F166-D166))</f>
        <v>153</v>
      </c>
      <c r="I166" s="0" t="n">
        <f aca="false">IF(F166="", "", IF(E166="","", F166-E166))</f>
        <v>113</v>
      </c>
      <c r="J166" s="66" t="n">
        <f aca="false">IF(SUM(C166:E166)&gt;0,AVERAGE(G166:I166),"")</f>
        <v>153.333333333333</v>
      </c>
      <c r="K166" s="66" t="n">
        <f aca="false">IF(NOT(G166=""),(G166-$J166)^2,"")</f>
        <v>1653.77777777778</v>
      </c>
      <c r="L166" s="66" t="n">
        <f aca="false">IF(NOT(H166=""),(H166-$J166)^2,"")</f>
        <v>0.111111111111117</v>
      </c>
      <c r="M166" s="66" t="n">
        <f aca="false">IF(NOT(I166=""),(I166-$J166)^2,"")</f>
        <v>1626.77777777778</v>
      </c>
      <c r="N166" s="66" t="n">
        <f aca="false">IF(COUNT(K166:M166)&gt;0,SUM(K166:M166)/COUNT(K166:M166),"")</f>
        <v>1093.55555555556</v>
      </c>
      <c r="O166" s="66" t="n">
        <f aca="false">IF(NOT(N166=""),SQRT(N166),"")</f>
        <v>33.0689515339624</v>
      </c>
      <c r="P166" s="66" t="n">
        <f aca="false">IF(COUNT(K166:M166)&gt;0,VLOOKUP(COUNT(K166:M166),'t values'!$A$3:$C$5,3)*(O166/SQRT(COUNT(K166:M166))),"")</f>
        <v>82.154459805003</v>
      </c>
      <c r="Q166" s="66" t="n">
        <f aca="false">IF(NOT(P166=""),J166-P166,"")</f>
        <v>71.1788735283304</v>
      </c>
      <c r="R166" s="66" t="n">
        <f aca="false">IF(NOT(P166=""),J166+P166,"")</f>
        <v>235.487793138336</v>
      </c>
      <c r="S166" s="0" t="n">
        <v>753</v>
      </c>
      <c r="T166" s="0" t="n">
        <f aca="false">IF(S166="", "", IF(C166="","", S166-C166))</f>
        <v>304</v>
      </c>
      <c r="U166" s="25" t="n">
        <f aca="false">IF($S166="", "", IF(D166="","", $S166-D166))</f>
        <v>263</v>
      </c>
      <c r="V166" s="0" t="n">
        <f aca="false">IF($S166="", "", IF(E166="","", $S166-E166))</f>
        <v>223</v>
      </c>
      <c r="W166" s="66" t="n">
        <f aca="false">IF(SUM($C166:$E166)&gt;0,IF(NOT(S166=""),AVERAGE(T166:V166),""),"")</f>
        <v>263.333333333333</v>
      </c>
      <c r="X166" s="0" t="n">
        <f aca="false">IF(NOT(T166=""),(T166-$W166)^2,"")</f>
        <v>1653.77777777778</v>
      </c>
      <c r="Y166" s="0" t="n">
        <f aca="false">IF(NOT(U166=""),(U166-$W166)^2,"")</f>
        <v>0.111111111111098</v>
      </c>
      <c r="Z166" s="0" t="n">
        <f aca="false">IF(NOT(V166=""),(V166-$W166)^2,"")</f>
        <v>1626.77777777778</v>
      </c>
      <c r="AA166" s="0" t="n">
        <f aca="false">IF(COUNT(X166:Z166)&gt;0,SUM(X166:Z166)/COUNT(X166:Z166),"")</f>
        <v>1093.55555555556</v>
      </c>
      <c r="AB166" s="0" t="n">
        <f aca="false">IF(NOT(AA166=""),SQRT(AA166),"")</f>
        <v>33.0689515339624</v>
      </c>
      <c r="AD166" s="66" t="n">
        <f aca="false">IF(NOT(W166=""),W166-AG166,"")</f>
        <v>-100.666666666667</v>
      </c>
      <c r="AE166" s="66" t="n">
        <f aca="false">IF(NOT(W166=""),W166+AG166,"")</f>
        <v>627.333333333333</v>
      </c>
      <c r="AF166" s="63" t="n">
        <v>40.5</v>
      </c>
      <c r="AG166" s="63" t="n">
        <v>364</v>
      </c>
      <c r="AH166" s="63"/>
    </row>
    <row r="167" customFormat="false" ht="12.8" hidden="false" customHeight="false" outlineLevel="0" collapsed="false">
      <c r="A167" s="56" t="s">
        <v>49</v>
      </c>
      <c r="B167" s="57" t="n">
        <v>30</v>
      </c>
      <c r="C167" s="56" t="n">
        <v>356</v>
      </c>
      <c r="D167" s="25" t="n">
        <v>314</v>
      </c>
      <c r="E167" s="77" t="n">
        <v>444</v>
      </c>
      <c r="F167" s="0" t="n">
        <v>423</v>
      </c>
      <c r="G167" s="0" t="n">
        <f aca="false">IF(F167="", "", IF(C167="","", F167-C167))</f>
        <v>67</v>
      </c>
      <c r="H167" s="25" t="n">
        <f aca="false">IF(F167="", "", IF(D167="","", F167-D167))</f>
        <v>109</v>
      </c>
      <c r="I167" s="0" t="n">
        <f aca="false">IF(F167="", "", IF(E167="","", F167-E167))</f>
        <v>-21</v>
      </c>
      <c r="J167" s="66" t="n">
        <f aca="false">IF(SUM(C167:E167)&gt;0,AVERAGE(G167:I167),"")</f>
        <v>51.6666666666667</v>
      </c>
      <c r="K167" s="66" t="n">
        <f aca="false">IF(NOT(G167=""),(G167-$J167)^2,"")</f>
        <v>235.111111111111</v>
      </c>
      <c r="L167" s="66" t="n">
        <f aca="false">IF(NOT(H167=""),(H167-$J167)^2,"")</f>
        <v>3287.11111111111</v>
      </c>
      <c r="M167" s="66" t="n">
        <f aca="false">IF(NOT(I167=""),(I167-$J167)^2,"")</f>
        <v>5280.44444444444</v>
      </c>
      <c r="N167" s="66" t="n">
        <f aca="false">IF(COUNT(K167:M167)&gt;0,SUM(K167:M167)/COUNT(K167:M167),"")</f>
        <v>2934.22222222222</v>
      </c>
      <c r="O167" s="66" t="n">
        <f aca="false">IF(NOT(N167=""),SQRT(N167),"")</f>
        <v>54.168461508725</v>
      </c>
      <c r="P167" s="66" t="n">
        <f aca="false">IF(COUNT(K167:M167)&gt;0,VLOOKUP(COUNT(K167:M167),'t values'!$A$3:$C$5,3)*(O167/SQRT(COUNT(K167:M167))),"")</f>
        <v>134.572778612197</v>
      </c>
      <c r="Q167" s="66" t="n">
        <f aca="false">IF(NOT(P167=""),J167-P167,"")</f>
        <v>-82.9061119455304</v>
      </c>
      <c r="R167" s="66" t="n">
        <f aca="false">IF(NOT(P167=""),J167+P167,"")</f>
        <v>186.239445278864</v>
      </c>
      <c r="S167" s="0" t="n">
        <v>696</v>
      </c>
      <c r="T167" s="0" t="n">
        <f aca="false">IF(S167="", "", IF(C167="","", S167-C167))</f>
        <v>340</v>
      </c>
      <c r="U167" s="25" t="n">
        <f aca="false">IF($S167="", "", IF(D167="","", $S167-D167))</f>
        <v>382</v>
      </c>
      <c r="V167" s="0" t="n">
        <f aca="false">IF($S167="", "", IF(E167="","", $S167-E167))</f>
        <v>252</v>
      </c>
      <c r="W167" s="66" t="n">
        <f aca="false">IF(SUM($C167:$E167)&gt;0,IF(NOT(S167=""),AVERAGE(T167:V167),""),"")</f>
        <v>324.666666666667</v>
      </c>
      <c r="X167" s="0" t="n">
        <f aca="false">IF(NOT(T167=""),(T167-$W167)^2,"")</f>
        <v>235.111111111111</v>
      </c>
      <c r="Y167" s="0" t="n">
        <f aca="false">IF(NOT(U167=""),(U167-$W167)^2,"")</f>
        <v>3287.11111111111</v>
      </c>
      <c r="Z167" s="0" t="n">
        <f aca="false">IF(NOT(V167=""),(V167-$W167)^2,"")</f>
        <v>5280.44444444445</v>
      </c>
      <c r="AA167" s="0" t="n">
        <f aca="false">IF(COUNT(X167:Z167)&gt;0,SUM(X167:Z167)/COUNT(X167:Z167),"")</f>
        <v>2934.22222222222</v>
      </c>
      <c r="AB167" s="0" t="n">
        <f aca="false">IF(NOT(AA167=""),SQRT(AA167),"")</f>
        <v>54.168461508725</v>
      </c>
      <c r="AD167" s="66" t="n">
        <f aca="false">IF(NOT(W167=""),W167-AG167,"")</f>
        <v>-70.3333333333333</v>
      </c>
      <c r="AE167" s="66" t="n">
        <f aca="false">IF(NOT(W167=""),W167+AG167,"")</f>
        <v>719.666666666667</v>
      </c>
      <c r="AF167" s="63" t="n">
        <v>44</v>
      </c>
      <c r="AG167" s="63" t="n">
        <v>395</v>
      </c>
      <c r="AH167" s="63"/>
    </row>
    <row r="168" customFormat="false" ht="12.8" hidden="false" customHeight="false" outlineLevel="0" collapsed="false">
      <c r="A168" s="56" t="s">
        <v>49</v>
      </c>
      <c r="B168" s="57" t="n">
        <v>40</v>
      </c>
      <c r="C168" s="56" t="n">
        <v>286</v>
      </c>
      <c r="D168" s="25" t="n">
        <v>272</v>
      </c>
      <c r="E168" s="77" t="n">
        <v>237</v>
      </c>
      <c r="F168" s="0" t="n">
        <v>501</v>
      </c>
      <c r="G168" s="0" t="n">
        <f aca="false">IF(F168="", "", IF(C168="","", F168-C168))</f>
        <v>215</v>
      </c>
      <c r="H168" s="25" t="n">
        <f aca="false">IF(F168="", "", IF(D168="","", F168-D168))</f>
        <v>229</v>
      </c>
      <c r="I168" s="0" t="n">
        <f aca="false">IF(F168="", "", IF(E168="","", F168-E168))</f>
        <v>264</v>
      </c>
      <c r="J168" s="66" t="n">
        <f aca="false">IF(SUM(C168:E168)&gt;0,AVERAGE(G168:I168),"")</f>
        <v>236</v>
      </c>
      <c r="K168" s="66" t="n">
        <f aca="false">IF(NOT(G168=""),(G168-$J168)^2,"")</f>
        <v>441</v>
      </c>
      <c r="L168" s="66" t="n">
        <f aca="false">IF(NOT(H168=""),(H168-$J168)^2,"")</f>
        <v>49</v>
      </c>
      <c r="M168" s="66" t="n">
        <f aca="false">IF(NOT(I168=""),(I168-$J168)^2,"")</f>
        <v>784</v>
      </c>
      <c r="N168" s="66" t="n">
        <f aca="false">IF(COUNT(K168:M168)&gt;0,SUM(K168:M168)/COUNT(K168:M168),"")</f>
        <v>424.666666666667</v>
      </c>
      <c r="O168" s="66" t="n">
        <f aca="false">IF(NOT(N168=""),SQRT(N168),"")</f>
        <v>20.6074420214316</v>
      </c>
      <c r="P168" s="66" t="n">
        <f aca="false">IF(COUNT(K168:M168)&gt;0,VLOOKUP(COUNT(K168:M168),'t values'!$A$3:$C$5,3)*(O168/SQRT(COUNT(K168:M168))),"")</f>
        <v>51.1958555896428</v>
      </c>
      <c r="Q168" s="66" t="n">
        <f aca="false">IF(NOT(P168=""),J168-P168,"")</f>
        <v>184.804144410357</v>
      </c>
      <c r="R168" s="66" t="n">
        <f aca="false">IF(NOT(P168=""),J168+P168,"")</f>
        <v>287.195855589643</v>
      </c>
      <c r="S168" s="0" t="n">
        <v>628</v>
      </c>
      <c r="T168" s="0" t="n">
        <f aca="false">IF(S168="", "", IF(C168="","", S168-C168))</f>
        <v>342</v>
      </c>
      <c r="U168" s="25" t="n">
        <f aca="false">IF($S168="", "", IF(D168="","", $S168-D168))</f>
        <v>356</v>
      </c>
      <c r="V168" s="0" t="n">
        <f aca="false">IF($S168="", "", IF(E168="","", $S168-E168))</f>
        <v>391</v>
      </c>
      <c r="W168" s="66" t="n">
        <f aca="false">IF(SUM($C168:$E168)&gt;0,IF(NOT(S168=""),AVERAGE(T168:V168),""),"")</f>
        <v>363</v>
      </c>
      <c r="X168" s="0" t="n">
        <f aca="false">IF(NOT(T168=""),(T168-$W168)^2,"")</f>
        <v>441</v>
      </c>
      <c r="Y168" s="0" t="n">
        <f aca="false">IF(NOT(U168=""),(U168-$W168)^2,"")</f>
        <v>49</v>
      </c>
      <c r="Z168" s="0" t="n">
        <f aca="false">IF(NOT(V168=""),(V168-$W168)^2,"")</f>
        <v>784</v>
      </c>
      <c r="AA168" s="0" t="n">
        <f aca="false">IF(COUNT(X168:Z168)&gt;0,SUM(X168:Z168)/COUNT(X168:Z168),"")</f>
        <v>424.666666666667</v>
      </c>
      <c r="AB168" s="0" t="n">
        <f aca="false">IF(NOT(AA168=""),SQRT(AA168),"")</f>
        <v>20.6074420214316</v>
      </c>
      <c r="AD168" s="66" t="n">
        <f aca="false">IF(NOT(W168=""),W168-AG168,"")</f>
        <v>143</v>
      </c>
      <c r="AE168" s="66" t="n">
        <f aca="false">IF(NOT(W168=""),W168+AG168,"")</f>
        <v>583</v>
      </c>
      <c r="AF168" s="63" t="n">
        <v>24.5</v>
      </c>
      <c r="AG168" s="63" t="n">
        <v>220</v>
      </c>
      <c r="AH168" s="63"/>
    </row>
    <row r="169" customFormat="false" ht="12.8" hidden="false" customHeight="false" outlineLevel="0" collapsed="false">
      <c r="A169" s="56" t="s">
        <v>49</v>
      </c>
      <c r="B169" s="57" t="n">
        <v>50</v>
      </c>
      <c r="C169" s="56"/>
      <c r="D169" s="25" t="n">
        <v>241</v>
      </c>
      <c r="E169" s="77" t="n">
        <v>290</v>
      </c>
      <c r="F169" s="0" t="n">
        <v>396</v>
      </c>
      <c r="G169" s="0" t="str">
        <f aca="false">IF(F169="", "", IF(C169="","", F169-C169))</f>
        <v/>
      </c>
      <c r="H169" s="25" t="n">
        <f aca="false">IF(F169="", "", IF(D169="","", F169-D169))</f>
        <v>155</v>
      </c>
      <c r="I169" s="0" t="n">
        <f aca="false">IF(F169="", "", IF(E169="","", F169-E169))</f>
        <v>106</v>
      </c>
      <c r="J169" s="66" t="n">
        <f aca="false">IF(SUM(C169:E169)&gt;0,AVERAGE(G169:I169),"")</f>
        <v>130.5</v>
      </c>
      <c r="K169" s="66" t="str">
        <f aca="false">IF(NOT(G169=""),(G169-$J169)^2,"")</f>
        <v/>
      </c>
      <c r="L169" s="66" t="n">
        <f aca="false">IF(NOT(H169=""),(H169-$J169)^2,"")</f>
        <v>600.25</v>
      </c>
      <c r="M169" s="66" t="n">
        <f aca="false">IF(NOT(I169=""),(I169-$J169)^2,"")</f>
        <v>600.25</v>
      </c>
      <c r="N169" s="66" t="n">
        <f aca="false">IF(COUNT(K169:M169)&gt;0,SUM(K169:M169)/COUNT(K169:M169),"")</f>
        <v>600.25</v>
      </c>
      <c r="O169" s="66" t="n">
        <f aca="false">IF(NOT(N169=""),SQRT(N169),"")</f>
        <v>24.5</v>
      </c>
      <c r="P169" s="66" t="n">
        <f aca="false">IF(COUNT(K169:M169)&gt;0,VLOOKUP(COUNT(K169:M169),'t values'!$A$3:$C$5,3)*(O169/SQRT(COUNT(K169:M169))),"")</f>
        <v>220.120219663029</v>
      </c>
      <c r="Q169" s="66" t="n">
        <f aca="false">IF(NOT(P169=""),J169-P169,"")</f>
        <v>-89.6202196630287</v>
      </c>
      <c r="R169" s="66" t="n">
        <f aca="false">IF(NOT(P169=""),J169+P169,"")</f>
        <v>350.620219663029</v>
      </c>
      <c r="S169" s="0" t="n">
        <v>672</v>
      </c>
      <c r="T169" s="0" t="str">
        <f aca="false">IF(S169="", "", IF(C169="","", S169-C169))</f>
        <v/>
      </c>
      <c r="U169" s="25" t="n">
        <f aca="false">IF($S169="", "", IF(D169="","", $S169-D169))</f>
        <v>431</v>
      </c>
      <c r="V169" s="0" t="n">
        <f aca="false">IF($S169="", "", IF(E169="","", $S169-E169))</f>
        <v>382</v>
      </c>
      <c r="W169" s="66" t="n">
        <f aca="false">IF(SUM($C169:$E169)&gt;0,IF(NOT(S169=""),AVERAGE(T169:V169),""),"")</f>
        <v>406.5</v>
      </c>
      <c r="X169" s="0" t="str">
        <f aca="false">IF(NOT(T169=""),(T169-$W169)^2,"")</f>
        <v/>
      </c>
      <c r="Y169" s="0" t="n">
        <f aca="false">IF(NOT(U169=""),(U169-$W169)^2,"")</f>
        <v>600.25</v>
      </c>
      <c r="Z169" s="0" t="n">
        <f aca="false">IF(NOT(V169=""),(V169-$W169)^2,"")</f>
        <v>600.25</v>
      </c>
      <c r="AA169" s="0" t="n">
        <f aca="false">IF(COUNT(X169:Z169)&gt;0,SUM(X169:Z169)/COUNT(X169:Z169),"")</f>
        <v>600.25</v>
      </c>
      <c r="AB169" s="0" t="n">
        <f aca="false">IF(NOT(AA169=""),SQRT(AA169),"")</f>
        <v>24.5</v>
      </c>
      <c r="AD169" s="66" t="n">
        <f aca="false">IF(NOT(W169=""),W169-AG169,"")</f>
        <v>406.5</v>
      </c>
      <c r="AE169" s="66" t="n">
        <f aca="false">IF(NOT(W169=""),W169+AG169,"")</f>
        <v>406.5</v>
      </c>
      <c r="AF169" s="63" t="n">
        <v>0</v>
      </c>
      <c r="AG169" s="63"/>
      <c r="AH169" s="63"/>
    </row>
    <row r="170" customFormat="false" ht="12.8" hidden="false" customHeight="false" outlineLevel="0" collapsed="false">
      <c r="A170" s="56" t="s">
        <v>49</v>
      </c>
      <c r="B170" s="57" t="n">
        <v>64</v>
      </c>
      <c r="C170" s="56" t="n">
        <v>215</v>
      </c>
      <c r="D170" s="25" t="n">
        <v>194</v>
      </c>
      <c r="E170" s="77" t="n">
        <v>264</v>
      </c>
      <c r="F170" s="0" t="n">
        <v>355</v>
      </c>
      <c r="G170" s="0" t="n">
        <f aca="false">IF(F170="", "", IF(C170="","", F170-C170))</f>
        <v>140</v>
      </c>
      <c r="H170" s="25" t="n">
        <f aca="false">IF(F170="", "", IF(D170="","", F170-D170))</f>
        <v>161</v>
      </c>
      <c r="I170" s="0" t="n">
        <f aca="false">IF(F170="", "", IF(E170="","", F170-E170))</f>
        <v>91</v>
      </c>
      <c r="J170" s="66" t="n">
        <f aca="false">IF(SUM(C170:E170)&gt;0,AVERAGE(G170:I170),"")</f>
        <v>130.666666666667</v>
      </c>
      <c r="K170" s="66" t="n">
        <f aca="false">IF(NOT(G170=""),(G170-$J170)^2,"")</f>
        <v>87.1111111111113</v>
      </c>
      <c r="L170" s="66" t="n">
        <f aca="false">IF(NOT(H170=""),(H170-$J170)^2,"")</f>
        <v>920.111111111112</v>
      </c>
      <c r="M170" s="66" t="n">
        <f aca="false">IF(NOT(I170=""),(I170-$J170)^2,"")</f>
        <v>1573.44444444444</v>
      </c>
      <c r="N170" s="66" t="n">
        <f aca="false">IF(COUNT(K170:M170)&gt;0,SUM(K170:M170)/COUNT(K170:M170),"")</f>
        <v>860.222222222222</v>
      </c>
      <c r="O170" s="66" t="n">
        <f aca="false">IF(NOT(N170=""),SQRT(N170),"")</f>
        <v>29.3295452099453</v>
      </c>
      <c r="P170" s="66" t="n">
        <f aca="false">IF(COUNT(K170:M170)&gt;0,VLOOKUP(COUNT(K170:M170),'t values'!$A$3:$C$5,3)*(O170/SQRT(COUNT(K170:M170))),"")</f>
        <v>72.8645097978026</v>
      </c>
      <c r="Q170" s="66" t="n">
        <f aca="false">IF(NOT(P170=""),J170-P170,"")</f>
        <v>57.802156868864</v>
      </c>
      <c r="R170" s="66" t="n">
        <f aca="false">IF(NOT(P170=""),J170+P170,"")</f>
        <v>203.531176464469</v>
      </c>
      <c r="T170" s="0" t="str">
        <f aca="false">IF(S170="", "", IF(C170="","", S170-C170))</f>
        <v/>
      </c>
      <c r="U170" s="0" t="str">
        <f aca="false">IF($S170="", "", IF(D170="","", $S170-D170))</f>
        <v/>
      </c>
      <c r="V170" s="0" t="str">
        <f aca="false">IF($S170="", "", IF(E170="","", $S170-E170))</f>
        <v/>
      </c>
      <c r="W170" s="66" t="str">
        <f aca="false">IF(SUM($C170:$E170)&gt;0,IF(NOT(S170=""),AVERAGE(T170:V170),""),"")</f>
        <v/>
      </c>
      <c r="X170" s="0" t="str">
        <f aca="false">IF(NOT(T170=""),(T170-$W170)^2,"")</f>
        <v/>
      </c>
      <c r="Y170" s="0" t="str">
        <f aca="false">IF(NOT(U170=""),(U170-$W170)^2,"")</f>
        <v/>
      </c>
      <c r="Z170" s="0" t="str">
        <f aca="false">IF(NOT(V170=""),(V170-$W170)^2,"")</f>
        <v/>
      </c>
      <c r="AA170" s="0" t="str">
        <f aca="false">IF(COUNT(X170:Z170)&gt;0,SUM(X170:Z170)/COUNT(X170:Z170),"")</f>
        <v/>
      </c>
      <c r="AB170" s="0" t="str">
        <f aca="false">IF(NOT(AA170=""),SQRT(AA170),"")</f>
        <v/>
      </c>
      <c r="AD170" s="66" t="str">
        <f aca="false">IF(NOT(W170=""),W170-AG170,"")</f>
        <v/>
      </c>
      <c r="AE170" s="66" t="str">
        <f aca="false">IF(NOT(W170=""),W170+AG170,"")</f>
        <v/>
      </c>
      <c r="AF170" s="63" t="n">
        <v>24.5</v>
      </c>
      <c r="AG170" s="63" t="n">
        <v>220</v>
      </c>
      <c r="AH170" s="63"/>
    </row>
    <row r="171" customFormat="false" ht="12.8" hidden="false" customHeight="false" outlineLevel="0" collapsed="false">
      <c r="A171" s="56" t="s">
        <v>49</v>
      </c>
      <c r="B171" s="57" t="n">
        <v>82</v>
      </c>
      <c r="C171" s="56" t="n">
        <v>164</v>
      </c>
      <c r="D171" s="25" t="n">
        <v>154</v>
      </c>
      <c r="E171" s="77" t="n">
        <v>169</v>
      </c>
      <c r="F171" s="0" t="n">
        <v>313</v>
      </c>
      <c r="G171" s="0" t="n">
        <f aca="false">IF(F171="", "", IF(C171="","", F171-C171))</f>
        <v>149</v>
      </c>
      <c r="H171" s="25" t="n">
        <f aca="false">IF(F171="", "", IF(D171="","", F171-D171))</f>
        <v>159</v>
      </c>
      <c r="I171" s="0" t="n">
        <f aca="false">IF(F171="", "", IF(E171="","", F171-E171))</f>
        <v>144</v>
      </c>
      <c r="J171" s="66" t="n">
        <f aca="false">IF(SUM(C171:E171)&gt;0,AVERAGE(G171:I171),"")</f>
        <v>150.666666666667</v>
      </c>
      <c r="K171" s="66" t="n">
        <f aca="false">IF(NOT(G171=""),(G171-$J171)^2,"")</f>
        <v>2.77777777777775</v>
      </c>
      <c r="L171" s="66" t="n">
        <f aca="false">IF(NOT(H171=""),(H171-$J171)^2,"")</f>
        <v>69.4444444444446</v>
      </c>
      <c r="M171" s="66" t="n">
        <f aca="false">IF(NOT(I171=""),(I171-$J171)^2,"")</f>
        <v>44.4444444444443</v>
      </c>
      <c r="N171" s="66" t="n">
        <f aca="false">IF(COUNT(K171:M171)&gt;0,SUM(K171:M171)/COUNT(K171:M171),"")</f>
        <v>38.8888888888889</v>
      </c>
      <c r="O171" s="66" t="n">
        <f aca="false">IF(NOT(N171=""),SQRT(N171),"")</f>
        <v>6.23609564462324</v>
      </c>
      <c r="P171" s="66" t="n">
        <f aca="false">IF(COUNT(K171:M171)&gt;0,VLOOKUP(COUNT(K171:M171),'t values'!$A$3:$C$5,3)*(O171/SQRT(COUNT(K171:M171))),"")</f>
        <v>15.4925706806939</v>
      </c>
      <c r="Q171" s="66" t="n">
        <f aca="false">IF(NOT(P171=""),J171-P171,"")</f>
        <v>135.174095985973</v>
      </c>
      <c r="R171" s="66" t="n">
        <f aca="false">IF(NOT(P171=""),J171+P171,"")</f>
        <v>166.159237347361</v>
      </c>
      <c r="T171" s="0" t="str">
        <f aca="false">IF(S171="", "", IF(C171="","", S171-C171))</f>
        <v/>
      </c>
      <c r="U171" s="0" t="str">
        <f aca="false">IF($S171="", "", IF(D171="","", $S171-D171))</f>
        <v/>
      </c>
      <c r="V171" s="0" t="str">
        <f aca="false">IF($S171="", "", IF(E171="","", $S171-E171))</f>
        <v/>
      </c>
      <c r="W171" s="66" t="str">
        <f aca="false">IF(SUM($C171:$E171)&gt;0,IF(NOT(S171=""),AVERAGE(T171:V171),""),"")</f>
        <v/>
      </c>
      <c r="X171" s="0" t="str">
        <f aca="false">IF(NOT(T171=""),(T171-$W171)^2,"")</f>
        <v/>
      </c>
      <c r="Y171" s="0" t="str">
        <f aca="false">IF(NOT(U171=""),(U171-$W171)^2,"")</f>
        <v/>
      </c>
      <c r="Z171" s="0" t="str">
        <f aca="false">IF(NOT(V171=""),(V171-$W171)^2,"")</f>
        <v/>
      </c>
      <c r="AA171" s="0" t="str">
        <f aca="false">IF(COUNT(X171:Z171)&gt;0,SUM(X171:Z171)/COUNT(X171:Z171),"")</f>
        <v/>
      </c>
      <c r="AB171" s="0" t="str">
        <f aca="false">IF(NOT(AA171=""),SQRT(AA171),"")</f>
        <v/>
      </c>
      <c r="AD171" s="66" t="str">
        <f aca="false">IF(NOT(W171=""),W171-AG171,"")</f>
        <v/>
      </c>
      <c r="AE171" s="66" t="str">
        <f aca="false">IF(NOT(W171=""),W171+AG171,"")</f>
        <v/>
      </c>
      <c r="AF171" s="63" t="n">
        <v>2.5</v>
      </c>
      <c r="AG171" s="63" t="n">
        <v>22</v>
      </c>
      <c r="AH171" s="63"/>
    </row>
    <row r="172" customFormat="false" ht="12.8" hidden="false" customHeight="false" outlineLevel="0" collapsed="false">
      <c r="A172" s="56" t="s">
        <v>49</v>
      </c>
      <c r="B172" s="57" t="n">
        <v>100</v>
      </c>
      <c r="C172" s="56" t="n">
        <v>132</v>
      </c>
      <c r="D172" s="25" t="n">
        <v>145</v>
      </c>
      <c r="E172" s="77" t="n">
        <v>145</v>
      </c>
      <c r="F172" s="0" t="n">
        <v>273</v>
      </c>
      <c r="G172" s="0" t="n">
        <f aca="false">IF(F172="", "", IF(C172="","", F172-C172))</f>
        <v>141</v>
      </c>
      <c r="H172" s="25" t="n">
        <f aca="false">IF(F172="", "", IF(D172="","", F172-D172))</f>
        <v>128</v>
      </c>
      <c r="I172" s="0" t="n">
        <f aca="false">IF(F172="", "", IF(E172="","", F172-E172))</f>
        <v>128</v>
      </c>
      <c r="J172" s="66" t="n">
        <f aca="false">IF(SUM(C172:E172)&gt;0,AVERAGE(G172:I172),"")</f>
        <v>132.333333333333</v>
      </c>
      <c r="K172" s="66" t="n">
        <f aca="false">IF(NOT(G172=""),(G172-$J172)^2,"")</f>
        <v>75.1111111111109</v>
      </c>
      <c r="L172" s="66" t="n">
        <f aca="false">IF(NOT(H172=""),(H172-$J172)^2,"")</f>
        <v>18.7777777777779</v>
      </c>
      <c r="M172" s="66" t="n">
        <f aca="false">IF(NOT(I172=""),(I172-$J172)^2,"")</f>
        <v>18.7777777777779</v>
      </c>
      <c r="N172" s="66" t="n">
        <f aca="false">IF(COUNT(K172:M172)&gt;0,SUM(K172:M172)/COUNT(K172:M172),"")</f>
        <v>37.5555555555556</v>
      </c>
      <c r="O172" s="66" t="n">
        <f aca="false">IF(NOT(N172=""),SQRT(N172),"")</f>
        <v>6.12825877028341</v>
      </c>
      <c r="P172" s="66" t="n">
        <f aca="false">IF(COUNT(K172:M172)&gt;0,VLOOKUP(COUNT(K172:M172),'t values'!$A$3:$C$5,3)*(O172/SQRT(COUNT(K172:M172))),"")</f>
        <v>15.2246674135054</v>
      </c>
      <c r="Q172" s="66" t="n">
        <f aca="false">IF(NOT(P172=""),J172-P172,"")</f>
        <v>117.108665919828</v>
      </c>
      <c r="R172" s="66" t="n">
        <f aca="false">IF(NOT(P172=""),J172+P172,"")</f>
        <v>147.558000746839</v>
      </c>
      <c r="T172" s="0" t="str">
        <f aca="false">IF(S172="", "", IF(C172="","", S172-C172))</f>
        <v/>
      </c>
      <c r="U172" s="0" t="str">
        <f aca="false">IF($S172="", "", IF(D172="","", $S172-D172))</f>
        <v/>
      </c>
      <c r="V172" s="0" t="str">
        <f aca="false">IF($S172="", "", IF(E172="","", $S172-E172))</f>
        <v/>
      </c>
      <c r="W172" s="66" t="str">
        <f aca="false">IF(SUM($C172:$E172)&gt;0,IF(NOT(S172=""),AVERAGE(T172:V172),""),"")</f>
        <v/>
      </c>
      <c r="X172" s="0" t="str">
        <f aca="false">IF(NOT(T172=""),(T172-$W172)^2,"")</f>
        <v/>
      </c>
      <c r="Y172" s="0" t="str">
        <f aca="false">IF(NOT(U172=""),(U172-$W172)^2,"")</f>
        <v/>
      </c>
      <c r="Z172" s="0" t="str">
        <f aca="false">IF(NOT(V172=""),(V172-$W172)^2,"")</f>
        <v/>
      </c>
      <c r="AA172" s="0" t="str">
        <f aca="false">IF(COUNT(X172:Z172)&gt;0,SUM(X172:Z172)/COUNT(X172:Z172),"")</f>
        <v/>
      </c>
      <c r="AB172" s="0" t="str">
        <f aca="false">IF(NOT(AA172=""),SQRT(AA172),"")</f>
        <v/>
      </c>
      <c r="AD172" s="66" t="str">
        <f aca="false">IF(NOT(W172=""),W172-AG172,"")</f>
        <v/>
      </c>
      <c r="AE172" s="66" t="str">
        <f aca="false">IF(NOT(W172=""),W172+AG172,"")</f>
        <v/>
      </c>
      <c r="AF172" s="63" t="n">
        <v>6.5</v>
      </c>
      <c r="AG172" s="63" t="n">
        <v>58</v>
      </c>
      <c r="AH172" s="63"/>
    </row>
    <row r="173" customFormat="false" ht="12.8" hidden="false" customHeight="false" outlineLevel="0" collapsed="false">
      <c r="A173" s="56" t="s">
        <v>50</v>
      </c>
      <c r="B173" s="57" t="n">
        <v>5</v>
      </c>
      <c r="C173" s="56"/>
      <c r="D173" s="25"/>
      <c r="E173" s="77"/>
      <c r="F173" s="0" t="n">
        <v>3579</v>
      </c>
      <c r="G173" s="0" t="str">
        <f aca="false">IF(F173="", "", IF(C173="","", F173-C173))</f>
        <v/>
      </c>
      <c r="H173" s="0" t="str">
        <f aca="false">IF(F173="", "", IF(D173="","", F173-D173))</f>
        <v/>
      </c>
      <c r="I173" s="0" t="str">
        <f aca="false">IF(F173="", "", IF(E173="","", F173-E173))</f>
        <v/>
      </c>
      <c r="J173" s="66" t="str">
        <f aca="false">IF(SUM(C173:E173)&gt;0,AVERAGE(G173:I173),"")</f>
        <v/>
      </c>
      <c r="K173" s="66" t="str">
        <f aca="false">IF(NOT(G173=""),(G173-$J173)^2,"")</f>
        <v/>
      </c>
      <c r="L173" s="66" t="str">
        <f aca="false">IF(NOT(H173=""),(H173-$J173)^2,"")</f>
        <v/>
      </c>
      <c r="M173" s="66" t="str">
        <f aca="false">IF(NOT(I173=""),(I173-$J173)^2,"")</f>
        <v/>
      </c>
      <c r="N173" s="66" t="str">
        <f aca="false">IF(COUNT(K173:M173)&gt;0,SUM(K173:M173)/COUNT(K173:M173),"")</f>
        <v/>
      </c>
      <c r="O173" s="66" t="str">
        <f aca="false">IF(NOT(N173=""),SQRT(N173),"")</f>
        <v/>
      </c>
      <c r="P173" s="66" t="str">
        <f aca="false">IF(COUNT(K173:M173)&gt;0,VLOOKUP(COUNT(K173:M173),'t values'!$A$3:$C$5,3)*(O173/SQRT(COUNT(K173:M173))),"")</f>
        <v/>
      </c>
      <c r="Q173" s="66" t="str">
        <f aca="false">IF(NOT(P173=""),J173-P173,"")</f>
        <v/>
      </c>
      <c r="R173" s="66" t="str">
        <f aca="false">IF(NOT(P173=""),J173+P173,"")</f>
        <v/>
      </c>
      <c r="S173" s="0" t="n">
        <v>2873</v>
      </c>
      <c r="T173" s="0" t="str">
        <f aca="false">IF(S173="", "", IF(C173="","", S173-C173))</f>
        <v/>
      </c>
      <c r="U173" s="0" t="str">
        <f aca="false">IF($S173="", "", IF(D173="","", $S173-D173))</f>
        <v/>
      </c>
      <c r="V173" s="0" t="str">
        <f aca="false">IF($S173="", "", IF(E173="","", $S173-E173))</f>
        <v/>
      </c>
      <c r="W173" s="66" t="str">
        <f aca="false">IF(SUM($C173:$E173)&gt;0,IF(NOT(S173=""),AVERAGE(T173:V173),""),"")</f>
        <v/>
      </c>
      <c r="X173" s="0" t="str">
        <f aca="false">IF(NOT(T173=""),(T173-$W173)^2,"")</f>
        <v/>
      </c>
      <c r="Y173" s="0" t="str">
        <f aca="false">IF(NOT(U173=""),(U173-$W173)^2,"")</f>
        <v/>
      </c>
      <c r="Z173" s="0" t="str">
        <f aca="false">IF(NOT(V173=""),(V173-$W173)^2,"")</f>
        <v/>
      </c>
      <c r="AA173" s="0" t="str">
        <f aca="false">IF(COUNT(X173:Z173)&gt;0,SUM(X173:Z173)/COUNT(X173:Z173),"")</f>
        <v/>
      </c>
      <c r="AB173" s="0" t="str">
        <f aca="false">IF(NOT(AA173=""),SQRT(AA173),"")</f>
        <v/>
      </c>
      <c r="AD173" s="66" t="str">
        <f aca="false">IF(NOT(W173=""),W173-AG173,"")</f>
        <v/>
      </c>
      <c r="AE173" s="66" t="str">
        <f aca="false">IF(NOT(W173=""),W173+AG173,"")</f>
        <v/>
      </c>
      <c r="AF173" s="63"/>
      <c r="AG173" s="63"/>
      <c r="AH173" s="63"/>
    </row>
    <row r="174" customFormat="false" ht="12.8" hidden="false" customHeight="false" outlineLevel="0" collapsed="false">
      <c r="A174" s="56" t="s">
        <v>50</v>
      </c>
      <c r="B174" s="57" t="n">
        <v>10</v>
      </c>
      <c r="C174" s="56" t="n">
        <v>2545</v>
      </c>
      <c r="D174" s="25" t="n">
        <v>2059</v>
      </c>
      <c r="E174" s="77" t="n">
        <v>2038</v>
      </c>
      <c r="F174" s="0" t="n">
        <v>1615</v>
      </c>
      <c r="G174" s="0" t="n">
        <f aca="false">IF(F174="", "", IF(C174="","", F174-C174))</f>
        <v>-930</v>
      </c>
      <c r="H174" s="0" t="n">
        <f aca="false">IF(F174="", "", IF(D174="","", F174-D174))</f>
        <v>-444</v>
      </c>
      <c r="I174" s="0" t="n">
        <f aca="false">IF(F174="", "", IF(E174="","", F174-E174))</f>
        <v>-423</v>
      </c>
      <c r="J174" s="66" t="n">
        <f aca="false">IF(SUM(C174:E174)&gt;0,AVERAGE(G174:I174),"")</f>
        <v>-599</v>
      </c>
      <c r="K174" s="66" t="n">
        <f aca="false">IF(NOT(G174=""),(G174-$J174)^2,"")</f>
        <v>109561</v>
      </c>
      <c r="L174" s="66" t="n">
        <f aca="false">IF(NOT(H174=""),(H174-$J174)^2,"")</f>
        <v>24025</v>
      </c>
      <c r="M174" s="66" t="n">
        <f aca="false">IF(NOT(I174=""),(I174-$J174)^2,"")</f>
        <v>30976</v>
      </c>
      <c r="N174" s="66" t="n">
        <f aca="false">IF(COUNT(K174:M174)&gt;0,SUM(K174:M174)/COUNT(K174:M174),"")</f>
        <v>54854</v>
      </c>
      <c r="O174" s="66" t="n">
        <f aca="false">IF(NOT(N174=""),SQRT(N174),"")</f>
        <v>234.209308098547</v>
      </c>
      <c r="P174" s="66" t="n">
        <f aca="false">IF(COUNT(K174:M174)&gt;0,VLOOKUP(COUNT(K174:M174),'t values'!$A$3:$C$5,3)*(O174/SQRT(COUNT(K174:M174))),"")</f>
        <v>581.855132854104</v>
      </c>
      <c r="Q174" s="66" t="n">
        <f aca="false">IF(NOT(P174=""),J174-P174,"")</f>
        <v>-1180.8551328541</v>
      </c>
      <c r="R174" s="66" t="n">
        <f aca="false">IF(NOT(P174=""),J174+P174,"")</f>
        <v>-17.1448671458963</v>
      </c>
      <c r="S174" s="0" t="n">
        <v>2079</v>
      </c>
      <c r="T174" s="0" t="n">
        <f aca="false">IF(S174="", "", IF(C174="","", S174-C174))</f>
        <v>-466</v>
      </c>
      <c r="U174" s="0" t="n">
        <f aca="false">IF($S174="", "", IF(D174="","", $S174-D174))</f>
        <v>20</v>
      </c>
      <c r="V174" s="0" t="n">
        <f aca="false">IF($S174="", "", IF(E174="","", $S174-E174))</f>
        <v>41</v>
      </c>
      <c r="W174" s="66" t="n">
        <f aca="false">IF(SUM($C174:$E174)&gt;0,IF(NOT(S174=""),AVERAGE(T174:V174),""),"")</f>
        <v>-135</v>
      </c>
      <c r="X174" s="0" t="n">
        <f aca="false">IF(NOT(T174=""),(T174-$W174)^2,"")</f>
        <v>109561</v>
      </c>
      <c r="Y174" s="0" t="n">
        <f aca="false">IF(NOT(U174=""),(U174-$W174)^2,"")</f>
        <v>24025</v>
      </c>
      <c r="Z174" s="0" t="n">
        <f aca="false">IF(NOT(V174=""),(V174-$W174)^2,"")</f>
        <v>30976</v>
      </c>
      <c r="AA174" s="0" t="n">
        <f aca="false">IF(COUNT(X174:Z174)&gt;0,SUM(X174:Z174)/COUNT(X174:Z174),"")</f>
        <v>54854</v>
      </c>
      <c r="AB174" s="0" t="n">
        <f aca="false">IF(NOT(AA174=""),SQRT(AA174),"")</f>
        <v>234.209308098547</v>
      </c>
      <c r="AD174" s="66" t="n">
        <f aca="false">IF(NOT(W174=""),W174-AG174,"")</f>
        <v>-717</v>
      </c>
      <c r="AE174" s="66" t="n">
        <f aca="false">IF(NOT(W174=""),W174+AG174,"")</f>
        <v>447</v>
      </c>
      <c r="AF174" s="63" t="n">
        <v>234.209308098547</v>
      </c>
      <c r="AG174" s="63" t="n">
        <v>582</v>
      </c>
      <c r="AH174" s="63"/>
    </row>
    <row r="175" customFormat="false" ht="12.8" hidden="false" customHeight="false" outlineLevel="0" collapsed="false">
      <c r="A175" s="56" t="s">
        <v>50</v>
      </c>
      <c r="B175" s="57" t="n">
        <v>15</v>
      </c>
      <c r="C175" s="56" t="n">
        <v>1466</v>
      </c>
      <c r="D175" s="25" t="n">
        <v>1391</v>
      </c>
      <c r="E175" s="77"/>
      <c r="F175" s="0" t="n">
        <v>1273</v>
      </c>
      <c r="G175" s="0" t="n">
        <f aca="false">IF(F175="", "", IF(C175="","", F175-C175))</f>
        <v>-193</v>
      </c>
      <c r="H175" s="0" t="n">
        <f aca="false">IF(F175="", "", IF(D175="","", F175-D175))</f>
        <v>-118</v>
      </c>
      <c r="I175" s="0" t="str">
        <f aca="false">IF(F175="", "", IF(E175="","", F175-E175))</f>
        <v/>
      </c>
      <c r="J175" s="66" t="n">
        <f aca="false">IF(SUM(C175:E175)&gt;0,AVERAGE(G175:I175),"")</f>
        <v>-155.5</v>
      </c>
      <c r="K175" s="66" t="n">
        <f aca="false">IF(NOT(G175=""),(G175-$J175)^2,"")</f>
        <v>1406.25</v>
      </c>
      <c r="L175" s="66" t="n">
        <f aca="false">IF(NOT(H175=""),(H175-$J175)^2,"")</f>
        <v>1406.25</v>
      </c>
      <c r="M175" s="66" t="str">
        <f aca="false">IF(NOT(I175=""),(I175-$J175)^2,"")</f>
        <v/>
      </c>
      <c r="N175" s="66" t="n">
        <f aca="false">IF(COUNT(K175:M175)&gt;0,SUM(K175:M175)/COUNT(K175:M175),"")</f>
        <v>1406.25</v>
      </c>
      <c r="O175" s="66" t="n">
        <f aca="false">IF(NOT(N175=""),SQRT(N175),"")</f>
        <v>37.5</v>
      </c>
      <c r="P175" s="66" t="n">
        <f aca="false">IF(COUNT(K175:M175)&gt;0,VLOOKUP(COUNT(K175:M175),'t values'!$A$3:$C$5,3)*(O175/SQRT(COUNT(K175:M175))),"")</f>
        <v>336.91870356586</v>
      </c>
      <c r="Q175" s="66" t="n">
        <f aca="false">IF(NOT(P175=""),J175-P175,"")</f>
        <v>-492.41870356586</v>
      </c>
      <c r="R175" s="66" t="n">
        <f aca="false">IF(NOT(P175=""),J175+P175,"")</f>
        <v>181.41870356586</v>
      </c>
      <c r="S175" s="0" t="n">
        <v>1811</v>
      </c>
      <c r="T175" s="0" t="n">
        <f aca="false">IF(S175="", "", IF(C175="","", S175-C175))</f>
        <v>345</v>
      </c>
      <c r="U175" s="0" t="n">
        <f aca="false">IF($S175="", "", IF(D175="","", $S175-D175))</f>
        <v>420</v>
      </c>
      <c r="V175" s="0" t="str">
        <f aca="false">IF($S175="", "", IF(E175="","", $S175-E175))</f>
        <v/>
      </c>
      <c r="W175" s="66" t="n">
        <f aca="false">IF(SUM($C175:$E175)&gt;0,IF(NOT(S175=""),AVERAGE(T175:V175),""),"")</f>
        <v>382.5</v>
      </c>
      <c r="X175" s="0" t="n">
        <f aca="false">IF(NOT(T175=""),(T175-$W175)^2,"")</f>
        <v>1406.25</v>
      </c>
      <c r="Y175" s="0" t="n">
        <f aca="false">IF(NOT(U175=""),(U175-$W175)^2,"")</f>
        <v>1406.25</v>
      </c>
      <c r="Z175" s="0" t="str">
        <f aca="false">IF(NOT(V175=""),(V175-$W175)^2,"")</f>
        <v/>
      </c>
      <c r="AA175" s="0" t="n">
        <f aca="false">IF(COUNT(X175:Z175)&gt;0,SUM(X175:Z175)/COUNT(X175:Z175),"")</f>
        <v>1406.25</v>
      </c>
      <c r="AB175" s="0" t="n">
        <f aca="false">IF(NOT(AA175=""),SQRT(AA175),"")</f>
        <v>37.5</v>
      </c>
      <c r="AD175" s="66" t="n">
        <f aca="false">IF(NOT(W175=""),W175-AG175,"")</f>
        <v>45.5</v>
      </c>
      <c r="AE175" s="66" t="n">
        <f aca="false">IF(NOT(W175=""),W175+AG175,"")</f>
        <v>719.5</v>
      </c>
      <c r="AF175" s="63" t="n">
        <v>37.5</v>
      </c>
      <c r="AG175" s="63" t="n">
        <v>337</v>
      </c>
      <c r="AH175" s="63"/>
    </row>
    <row r="176" customFormat="false" ht="12.8" hidden="false" customHeight="false" outlineLevel="0" collapsed="false">
      <c r="A176" s="56" t="s">
        <v>50</v>
      </c>
      <c r="B176" s="57" t="n">
        <v>20</v>
      </c>
      <c r="C176" s="56" t="n">
        <v>965</v>
      </c>
      <c r="D176" s="25" t="n">
        <v>1043</v>
      </c>
      <c r="E176" s="77" t="n">
        <v>1225</v>
      </c>
      <c r="F176" s="0" t="n">
        <v>1451</v>
      </c>
      <c r="G176" s="0" t="n">
        <f aca="false">IF(F176="", "", IF(C176="","", F176-C176))</f>
        <v>486</v>
      </c>
      <c r="H176" s="0" t="n">
        <f aca="false">IF(F176="", "", IF(D176="","", F176-D176))</f>
        <v>408</v>
      </c>
      <c r="I176" s="0" t="n">
        <f aca="false">IF(F176="", "", IF(E176="","", F176-E176))</f>
        <v>226</v>
      </c>
      <c r="J176" s="66" t="n">
        <f aca="false">IF(SUM(C176:E176)&gt;0,AVERAGE(G176:I176),"")</f>
        <v>373.333333333333</v>
      </c>
      <c r="K176" s="66" t="n">
        <f aca="false">IF(NOT(G176=""),(G176-$J176)^2,"")</f>
        <v>12693.7777777778</v>
      </c>
      <c r="L176" s="66" t="n">
        <f aca="false">IF(NOT(H176=""),(H176-$J176)^2,"")</f>
        <v>1201.77777777778</v>
      </c>
      <c r="M176" s="66" t="n">
        <f aca="false">IF(NOT(I176=""),(I176-$J176)^2,"")</f>
        <v>21707.1111111111</v>
      </c>
      <c r="N176" s="66" t="n">
        <f aca="false">IF(COUNT(K176:M176)&gt;0,SUM(K176:M176)/COUNT(K176:M176),"")</f>
        <v>11867.5555555556</v>
      </c>
      <c r="O176" s="66" t="n">
        <f aca="false">IF(NOT(N176=""),SQRT(N176),"")</f>
        <v>108.938310779797</v>
      </c>
      <c r="P176" s="66" t="n">
        <f aca="false">IF(COUNT(K176:M176)&gt;0,VLOOKUP(COUNT(K176:M176),'t values'!$A$3:$C$5,3)*(O176/SQRT(COUNT(K176:M176))),"")</f>
        <v>270.63960782041</v>
      </c>
      <c r="Q176" s="66" t="n">
        <f aca="false">IF(NOT(P176=""),J176-P176,"")</f>
        <v>102.693725512924</v>
      </c>
      <c r="R176" s="66" t="n">
        <f aca="false">IF(NOT(P176=""),J176+P176,"")</f>
        <v>643.972941153743</v>
      </c>
      <c r="S176" s="0" t="n">
        <v>1670</v>
      </c>
      <c r="T176" s="0" t="n">
        <f aca="false">IF(S176="", "", IF(C176="","", S176-C176))</f>
        <v>705</v>
      </c>
      <c r="U176" s="0" t="n">
        <f aca="false">IF($S176="", "", IF(D176="","", $S176-D176))</f>
        <v>627</v>
      </c>
      <c r="V176" s="0" t="n">
        <f aca="false">IF($S176="", "", IF(E176="","", $S176-E176))</f>
        <v>445</v>
      </c>
      <c r="W176" s="66" t="n">
        <f aca="false">IF(SUM($C176:$E176)&gt;0,IF(NOT(S176=""),AVERAGE(T176:V176),""),"")</f>
        <v>592.333333333333</v>
      </c>
      <c r="X176" s="0" t="n">
        <f aca="false">IF(NOT(T176=""),(T176-$W176)^2,"")</f>
        <v>12693.7777777778</v>
      </c>
      <c r="Y176" s="0" t="n">
        <f aca="false">IF(NOT(U176=""),(U176-$W176)^2,"")</f>
        <v>1201.77777777778</v>
      </c>
      <c r="Z176" s="0" t="n">
        <f aca="false">IF(NOT(V176=""),(V176-$W176)^2,"")</f>
        <v>21707.1111111111</v>
      </c>
      <c r="AA176" s="0" t="n">
        <f aca="false">IF(COUNT(X176:Z176)&gt;0,SUM(X176:Z176)/COUNT(X176:Z176),"")</f>
        <v>11867.5555555556</v>
      </c>
      <c r="AB176" s="0" t="n">
        <f aca="false">IF(NOT(AA176=""),SQRT(AA176),"")</f>
        <v>108.938310779797</v>
      </c>
      <c r="AD176" s="66" t="n">
        <f aca="false">IF(NOT(W176=""),W176-AG176,"")</f>
        <v>321.333333333333</v>
      </c>
      <c r="AE176" s="66" t="n">
        <f aca="false">IF(NOT(W176=""),W176+AG176,"")</f>
        <v>863.333333333333</v>
      </c>
      <c r="AF176" s="63" t="n">
        <v>108.938310779797</v>
      </c>
      <c r="AG176" s="63" t="n">
        <v>271</v>
      </c>
      <c r="AH176" s="63"/>
    </row>
    <row r="177" customFormat="false" ht="12.8" hidden="false" customHeight="false" outlineLevel="0" collapsed="false">
      <c r="A177" s="56" t="s">
        <v>50</v>
      </c>
      <c r="B177" s="57" t="n">
        <v>30</v>
      </c>
      <c r="C177" s="56" t="n">
        <v>666</v>
      </c>
      <c r="D177" s="25" t="n">
        <v>734</v>
      </c>
      <c r="E177" s="77" t="n">
        <v>750</v>
      </c>
      <c r="F177" s="0" t="n">
        <v>937</v>
      </c>
      <c r="G177" s="0" t="n">
        <f aca="false">IF(F177="", "", IF(C177="","", F177-C177))</f>
        <v>271</v>
      </c>
      <c r="H177" s="0" t="n">
        <f aca="false">IF(F177="", "", IF(D177="","", F177-D177))</f>
        <v>203</v>
      </c>
      <c r="I177" s="0" t="n">
        <f aca="false">IF(F177="", "", IF(E177="","", F177-E177))</f>
        <v>187</v>
      </c>
      <c r="J177" s="66" t="n">
        <f aca="false">IF(SUM(C177:E177)&gt;0,AVERAGE(G177:I177),"")</f>
        <v>220.333333333333</v>
      </c>
      <c r="K177" s="66" t="n">
        <f aca="false">IF(NOT(G177=""),(G177-$J177)^2,"")</f>
        <v>2567.11111111111</v>
      </c>
      <c r="L177" s="66" t="n">
        <f aca="false">IF(NOT(H177=""),(H177-$J177)^2,"")</f>
        <v>300.444444444445</v>
      </c>
      <c r="M177" s="66" t="n">
        <f aca="false">IF(NOT(I177=""),(I177-$J177)^2,"")</f>
        <v>1111.11111111111</v>
      </c>
      <c r="N177" s="66" t="n">
        <f aca="false">IF(COUNT(K177:M177)&gt;0,SUM(K177:M177)/COUNT(K177:M177),"")</f>
        <v>1326.22222222222</v>
      </c>
      <c r="O177" s="66" t="n">
        <f aca="false">IF(NOT(N177=""),SQRT(N177),"")</f>
        <v>36.4173340899938</v>
      </c>
      <c r="P177" s="66" t="n">
        <f aca="false">IF(COUNT(K177:M177)&gt;0,VLOOKUP(COUNT(K177:M177),'t values'!$A$3:$C$5,3)*(O177/SQRT(COUNT(K177:M177))),"")</f>
        <v>90.4729745250338</v>
      </c>
      <c r="Q177" s="66" t="n">
        <f aca="false">IF(NOT(P177=""),J177-P177,"")</f>
        <v>129.8603588083</v>
      </c>
      <c r="R177" s="66" t="n">
        <f aca="false">IF(NOT(P177=""),J177+P177,"")</f>
        <v>310.806307858367</v>
      </c>
      <c r="S177" s="0" t="n">
        <v>1441</v>
      </c>
      <c r="T177" s="0" t="n">
        <f aca="false">IF(S177="", "", IF(C177="","", S177-C177))</f>
        <v>775</v>
      </c>
      <c r="U177" s="0" t="n">
        <f aca="false">IF($S177="", "", IF(D177="","", $S177-D177))</f>
        <v>707</v>
      </c>
      <c r="V177" s="0" t="n">
        <f aca="false">IF($S177="", "", IF(E177="","", $S177-E177))</f>
        <v>691</v>
      </c>
      <c r="W177" s="66" t="n">
        <f aca="false">IF(SUM($C177:$E177)&gt;0,IF(NOT(S177=""),AVERAGE(T177:V177),""),"")</f>
        <v>724.333333333333</v>
      </c>
      <c r="X177" s="0" t="n">
        <f aca="false">IF(NOT(T177=""),(T177-$W177)^2,"")</f>
        <v>2567.11111111111</v>
      </c>
      <c r="Y177" s="0" t="n">
        <f aca="false">IF(NOT(U177=""),(U177-$W177)^2,"")</f>
        <v>300.444444444446</v>
      </c>
      <c r="Z177" s="0" t="n">
        <f aca="false">IF(NOT(V177=""),(V177-$W177)^2,"")</f>
        <v>1111.11111111111</v>
      </c>
      <c r="AA177" s="0" t="n">
        <f aca="false">IF(COUNT(X177:Z177)&gt;0,SUM(X177:Z177)/COUNT(X177:Z177),"")</f>
        <v>1326.22222222222</v>
      </c>
      <c r="AB177" s="0" t="n">
        <f aca="false">IF(NOT(AA177=""),SQRT(AA177),"")</f>
        <v>36.4173340899938</v>
      </c>
      <c r="AD177" s="66" t="n">
        <f aca="false">IF(NOT(W177=""),W177-AG177,"")</f>
        <v>634.333333333333</v>
      </c>
      <c r="AE177" s="66" t="n">
        <f aca="false">IF(NOT(W177=""),W177+AG177,"")</f>
        <v>814.333333333333</v>
      </c>
      <c r="AF177" s="63" t="n">
        <v>36.4173340899938</v>
      </c>
      <c r="AG177" s="63" t="n">
        <v>90</v>
      </c>
      <c r="AH177" s="63"/>
    </row>
    <row r="178" customFormat="false" ht="12.8" hidden="false" customHeight="false" outlineLevel="0" collapsed="false">
      <c r="A178" s="56" t="s">
        <v>50</v>
      </c>
      <c r="B178" s="57" t="n">
        <v>40</v>
      </c>
      <c r="C178" s="56" t="n">
        <v>542</v>
      </c>
      <c r="D178" s="25" t="n">
        <v>673</v>
      </c>
      <c r="E178" s="77" t="n">
        <v>632</v>
      </c>
      <c r="F178" s="0" t="n">
        <v>962</v>
      </c>
      <c r="G178" s="0" t="n">
        <f aca="false">IF(F178="", "", IF(C178="","", F178-C178))</f>
        <v>420</v>
      </c>
      <c r="H178" s="0" t="n">
        <f aca="false">IF(F178="", "", IF(D178="","", F178-D178))</f>
        <v>289</v>
      </c>
      <c r="I178" s="0" t="n">
        <f aca="false">IF(F178="", "", IF(E178="","", F178-E178))</f>
        <v>330</v>
      </c>
      <c r="J178" s="66" t="n">
        <f aca="false">IF(SUM(C178:E178)&gt;0,AVERAGE(G178:I178),"")</f>
        <v>346.333333333333</v>
      </c>
      <c r="K178" s="66" t="n">
        <f aca="false">IF(NOT(G178=""),(G178-$J178)^2,"")</f>
        <v>5426.77777777778</v>
      </c>
      <c r="L178" s="66" t="n">
        <f aca="false">IF(NOT(H178=""),(H178-$J178)^2,"")</f>
        <v>3287.11111111111</v>
      </c>
      <c r="M178" s="66" t="n">
        <f aca="false">IF(NOT(I178=""),(I178-$J178)^2,"")</f>
        <v>266.777777777777</v>
      </c>
      <c r="N178" s="66" t="n">
        <f aca="false">IF(COUNT(K178:M178)&gt;0,SUM(K178:M178)/COUNT(K178:M178),"")</f>
        <v>2993.55555555556</v>
      </c>
      <c r="O178" s="66" t="n">
        <f aca="false">IF(NOT(N178=""),SQRT(N178),"")</f>
        <v>54.7133946630581</v>
      </c>
      <c r="P178" s="66" t="n">
        <f aca="false">IF(COUNT(K178:M178)&gt;0,VLOOKUP(COUNT(K178:M178),'t values'!$A$3:$C$5,3)*(O178/SQRT(COUNT(K178:M178))),"")</f>
        <v>135.926576868489</v>
      </c>
      <c r="Q178" s="66" t="n">
        <f aca="false">IF(NOT(P178=""),J178-P178,"")</f>
        <v>210.406756464845</v>
      </c>
      <c r="R178" s="66" t="n">
        <f aca="false">IF(NOT(P178=""),J178+P178,"")</f>
        <v>482.259910201822</v>
      </c>
      <c r="S178" s="0" t="n">
        <v>1261</v>
      </c>
      <c r="T178" s="0" t="n">
        <f aca="false">IF(S178="", "", IF(C178="","", S178-C178))</f>
        <v>719</v>
      </c>
      <c r="U178" s="0" t="n">
        <f aca="false">IF($S178="", "", IF(D178="","", $S178-D178))</f>
        <v>588</v>
      </c>
      <c r="V178" s="0" t="n">
        <f aca="false">IF($S178="", "", IF(E178="","", $S178-E178))</f>
        <v>629</v>
      </c>
      <c r="W178" s="66" t="n">
        <f aca="false">IF(SUM($C178:$E178)&gt;0,IF(NOT(S178=""),AVERAGE(T178:V178),""),"")</f>
        <v>645.333333333333</v>
      </c>
      <c r="X178" s="0" t="n">
        <f aca="false">IF(NOT(T178=""),(T178-$W178)^2,"")</f>
        <v>5426.77777777777</v>
      </c>
      <c r="Y178" s="0" t="n">
        <f aca="false">IF(NOT(U178=""),(U178-$W178)^2,"")</f>
        <v>3287.11111111112</v>
      </c>
      <c r="Z178" s="0" t="n">
        <f aca="false">IF(NOT(V178=""),(V178-$W178)^2,"")</f>
        <v>266.777777777779</v>
      </c>
      <c r="AA178" s="0" t="n">
        <f aca="false">IF(COUNT(X178:Z178)&gt;0,SUM(X178:Z178)/COUNT(X178:Z178),"")</f>
        <v>2993.55555555556</v>
      </c>
      <c r="AB178" s="0" t="n">
        <f aca="false">IF(NOT(AA178=""),SQRT(AA178),"")</f>
        <v>54.7133946630581</v>
      </c>
      <c r="AD178" s="66" t="n">
        <f aca="false">IF(NOT(W178=""),W178-AG178,"")</f>
        <v>509.333333333333</v>
      </c>
      <c r="AE178" s="66" t="n">
        <f aca="false">IF(NOT(W178=""),W178+AG178,"")</f>
        <v>781.333333333333</v>
      </c>
      <c r="AF178" s="63" t="n">
        <v>54.7133946630581</v>
      </c>
      <c r="AG178" s="63" t="n">
        <v>136</v>
      </c>
      <c r="AH178" s="63"/>
    </row>
    <row r="179" customFormat="false" ht="12.8" hidden="false" customHeight="false" outlineLevel="0" collapsed="false">
      <c r="A179" s="56" t="s">
        <v>50</v>
      </c>
      <c r="B179" s="57" t="n">
        <v>50</v>
      </c>
      <c r="C179" s="56" t="n">
        <v>548</v>
      </c>
      <c r="D179" s="25" t="n">
        <v>468</v>
      </c>
      <c r="E179" s="77" t="n">
        <v>486</v>
      </c>
      <c r="F179" s="0" t="n">
        <v>1010</v>
      </c>
      <c r="G179" s="0" t="n">
        <f aca="false">IF(F179="", "", IF(C179="","", F179-C179))</f>
        <v>462</v>
      </c>
      <c r="H179" s="0" t="n">
        <f aca="false">IF(F179="", "", IF(D179="","", F179-D179))</f>
        <v>542</v>
      </c>
      <c r="I179" s="0" t="n">
        <f aca="false">IF(F179="", "", IF(E179="","", F179-E179))</f>
        <v>524</v>
      </c>
      <c r="J179" s="66" t="n">
        <f aca="false">IF(SUM(C179:E179)&gt;0,AVERAGE(G179:I179),"")</f>
        <v>509.333333333333</v>
      </c>
      <c r="K179" s="66" t="n">
        <f aca="false">IF(NOT(G179=""),(G179-$J179)^2,"")</f>
        <v>2240.44444444444</v>
      </c>
      <c r="L179" s="66" t="n">
        <f aca="false">IF(NOT(H179=""),(H179-$J179)^2,"")</f>
        <v>1067.11111111111</v>
      </c>
      <c r="M179" s="66" t="n">
        <f aca="false">IF(NOT(I179=""),(I179-$J179)^2,"")</f>
        <v>215.111111111112</v>
      </c>
      <c r="N179" s="66" t="n">
        <f aca="false">IF(COUNT(K179:M179)&gt;0,SUM(K179:M179)/COUNT(K179:M179),"")</f>
        <v>1174.22222222222</v>
      </c>
      <c r="O179" s="66" t="n">
        <f aca="false">IF(NOT(N179=""),SQRT(N179),"")</f>
        <v>34.2669260690571</v>
      </c>
      <c r="P179" s="66" t="n">
        <f aca="false">IF(COUNT(K179:M179)&gt;0,VLOOKUP(COUNT(K179:M179),'t values'!$A$3:$C$5,3)*(O179/SQRT(COUNT(K179:M179))),"")</f>
        <v>85.1306337151365</v>
      </c>
      <c r="Q179" s="66" t="n">
        <f aca="false">IF(NOT(P179=""),J179-P179,"")</f>
        <v>424.202699618197</v>
      </c>
      <c r="R179" s="66" t="n">
        <f aca="false">IF(NOT(P179=""),J179+P179,"")</f>
        <v>594.46396704847</v>
      </c>
      <c r="S179" s="0" t="n">
        <v>1290</v>
      </c>
      <c r="T179" s="0" t="n">
        <f aca="false">IF(S179="", "", IF(C179="","", S179-C179))</f>
        <v>742</v>
      </c>
      <c r="U179" s="0" t="n">
        <f aca="false">IF($S179="", "", IF(D179="","", $S179-D179))</f>
        <v>822</v>
      </c>
      <c r="V179" s="0" t="n">
        <f aca="false">IF($S179="", "", IF(E179="","", $S179-E179))</f>
        <v>804</v>
      </c>
      <c r="W179" s="66" t="n">
        <f aca="false">IF(SUM($C179:$E179)&gt;0,IF(NOT(S179=""),AVERAGE(T179:V179),""),"")</f>
        <v>789.333333333333</v>
      </c>
      <c r="X179" s="0" t="n">
        <f aca="false">IF(NOT(T179=""),(T179-$W179)^2,"")</f>
        <v>2240.44444444445</v>
      </c>
      <c r="Y179" s="0" t="n">
        <f aca="false">IF(NOT(U179=""),(U179-$W179)^2,"")</f>
        <v>1067.11111111111</v>
      </c>
      <c r="Z179" s="0" t="n">
        <f aca="false">IF(NOT(V179=""),(V179-$W179)^2,"")</f>
        <v>215.11111111111</v>
      </c>
      <c r="AA179" s="0" t="n">
        <f aca="false">IF(COUNT(X179:Z179)&gt;0,SUM(X179:Z179)/COUNT(X179:Z179),"")</f>
        <v>1174.22222222222</v>
      </c>
      <c r="AB179" s="0" t="n">
        <f aca="false">IF(NOT(AA179=""),SQRT(AA179),"")</f>
        <v>34.2669260690571</v>
      </c>
      <c r="AD179" s="66" t="n">
        <f aca="false">IF(NOT(W179=""),W179-AG179,"")</f>
        <v>704.333333333333</v>
      </c>
      <c r="AE179" s="66" t="n">
        <f aca="false">IF(NOT(W179=""),W179+AG179,"")</f>
        <v>874.333333333333</v>
      </c>
      <c r="AF179" s="63" t="n">
        <v>34.2669260690571</v>
      </c>
      <c r="AG179" s="63" t="n">
        <v>85</v>
      </c>
      <c r="AH179" s="63"/>
    </row>
    <row r="180" customFormat="false" ht="12.8" hidden="false" customHeight="false" outlineLevel="0" collapsed="false">
      <c r="A180" s="56" t="s">
        <v>50</v>
      </c>
      <c r="B180" s="57" t="n">
        <v>64</v>
      </c>
      <c r="C180" s="56" t="n">
        <v>474</v>
      </c>
      <c r="D180" s="25" t="n">
        <v>376</v>
      </c>
      <c r="E180" s="77" t="n">
        <v>356</v>
      </c>
      <c r="F180" s="0" t="n">
        <v>807</v>
      </c>
      <c r="G180" s="0" t="n">
        <f aca="false">IF(F180="", "", IF(C180="","", F180-C180))</f>
        <v>333</v>
      </c>
      <c r="H180" s="0" t="n">
        <f aca="false">IF(F180="", "", IF(D180="","", F180-D180))</f>
        <v>431</v>
      </c>
      <c r="I180" s="0" t="n">
        <f aca="false">IF(F180="", "", IF(E180="","", F180-E180))</f>
        <v>451</v>
      </c>
      <c r="J180" s="66" t="n">
        <f aca="false">IF(SUM(C180:E180)&gt;0,AVERAGE(G180:I180),"")</f>
        <v>405</v>
      </c>
      <c r="K180" s="66" t="n">
        <f aca="false">IF(NOT(G180=""),(G180-$J180)^2,"")</f>
        <v>5184</v>
      </c>
      <c r="L180" s="66" t="n">
        <f aca="false">IF(NOT(H180=""),(H180-$J180)^2,"")</f>
        <v>676</v>
      </c>
      <c r="M180" s="66" t="n">
        <f aca="false">IF(NOT(I180=""),(I180-$J180)^2,"")</f>
        <v>2116</v>
      </c>
      <c r="N180" s="66" t="n">
        <f aca="false">IF(COUNT(K180:M180)&gt;0,SUM(K180:M180)/COUNT(K180:M180),"")</f>
        <v>2658.66666666667</v>
      </c>
      <c r="O180" s="66" t="n">
        <f aca="false">IF(NOT(N180=""),SQRT(N180),"")</f>
        <v>51.562260100452</v>
      </c>
      <c r="P180" s="66" t="n">
        <f aca="false">IF(COUNT(K180:M180)&gt;0,VLOOKUP(COUNT(K180:M180),'t values'!$A$3:$C$5,3)*(O180/SQRT(COUNT(K180:M180))),"")</f>
        <v>128.098092875039</v>
      </c>
      <c r="Q180" s="66" t="n">
        <f aca="false">IF(NOT(P180=""),J180-P180,"")</f>
        <v>276.901907124961</v>
      </c>
      <c r="R180" s="66" t="n">
        <f aca="false">IF(NOT(P180=""),J180+P180,"")</f>
        <v>533.098092875039</v>
      </c>
      <c r="T180" s="0" t="str">
        <f aca="false">IF(S180="", "", IF(C180="","", S180-C180))</f>
        <v/>
      </c>
      <c r="U180" s="0" t="str">
        <f aca="false">IF($S180="", "", IF(D180="","", $S180-D180))</f>
        <v/>
      </c>
      <c r="V180" s="0" t="str">
        <f aca="false">IF($S180="", "", IF(E180="","", $S180-E180))</f>
        <v/>
      </c>
      <c r="W180" s="66" t="str">
        <f aca="false">IF(SUM($C180:$E180)&gt;0,IF(NOT(S180=""),AVERAGE(T180:V180),""),"")</f>
        <v/>
      </c>
      <c r="X180" s="0" t="str">
        <f aca="false">IF(NOT(T180=""),(T180-$W180)^2,"")</f>
        <v/>
      </c>
      <c r="Y180" s="0" t="str">
        <f aca="false">IF(NOT(U180=""),(U180-$W180)^2,"")</f>
        <v/>
      </c>
      <c r="Z180" s="0" t="str">
        <f aca="false">IF(NOT(V180=""),(V180-$W180)^2,"")</f>
        <v/>
      </c>
      <c r="AA180" s="0" t="str">
        <f aca="false">IF(COUNT(X180:Z180)&gt;0,SUM(X180:Z180)/COUNT(X180:Z180),"")</f>
        <v/>
      </c>
      <c r="AB180" s="0" t="str">
        <f aca="false">IF(NOT(AA180=""),SQRT(AA180),"")</f>
        <v/>
      </c>
      <c r="AD180" s="66" t="str">
        <f aca="false">IF(NOT(W180=""),W180-AG180,"")</f>
        <v/>
      </c>
      <c r="AE180" s="66" t="str">
        <f aca="false">IF(NOT(W180=""),W180+AG180,"")</f>
        <v/>
      </c>
      <c r="AF180" s="63" t="n">
        <v>51.562260100452</v>
      </c>
      <c r="AG180" s="63" t="n">
        <v>128</v>
      </c>
      <c r="AH180" s="63"/>
    </row>
    <row r="181" customFormat="false" ht="12.8" hidden="false" customHeight="false" outlineLevel="0" collapsed="false">
      <c r="A181" s="56" t="s">
        <v>50</v>
      </c>
      <c r="B181" s="57" t="n">
        <v>82</v>
      </c>
      <c r="C181" s="56" t="n">
        <v>364</v>
      </c>
      <c r="D181" s="25" t="n">
        <v>298</v>
      </c>
      <c r="E181" s="77" t="n">
        <v>309</v>
      </c>
      <c r="F181" s="0" t="n">
        <v>583</v>
      </c>
      <c r="G181" s="0" t="n">
        <f aca="false">IF(F181="", "", IF(C181="","", F181-C181))</f>
        <v>219</v>
      </c>
      <c r="H181" s="0" t="n">
        <f aca="false">IF(F181="", "", IF(D181="","", F181-D181))</f>
        <v>285</v>
      </c>
      <c r="I181" s="0" t="n">
        <f aca="false">IF(F181="", "", IF(E181="","", F181-E181))</f>
        <v>274</v>
      </c>
      <c r="J181" s="66" t="n">
        <f aca="false">IF(SUM(C181:E181)&gt;0,AVERAGE(G181:I181),"")</f>
        <v>259.333333333333</v>
      </c>
      <c r="K181" s="66" t="n">
        <f aca="false">IF(NOT(G181=""),(G181-$J181)^2,"")</f>
        <v>1626.77777777778</v>
      </c>
      <c r="L181" s="66" t="n">
        <f aca="false">IF(NOT(H181=""),(H181-$J181)^2,"")</f>
        <v>658.777777777779</v>
      </c>
      <c r="M181" s="66" t="n">
        <f aca="false">IF(NOT(I181=""),(I181-$J181)^2,"")</f>
        <v>215.111111111112</v>
      </c>
      <c r="N181" s="66" t="n">
        <f aca="false">IF(COUNT(K181:M181)&gt;0,SUM(K181:M181)/COUNT(K181:M181),"")</f>
        <v>833.555555555556</v>
      </c>
      <c r="O181" s="66" t="n">
        <f aca="false">IF(NOT(N181=""),SQRT(N181),"")</f>
        <v>28.87136220471</v>
      </c>
      <c r="P181" s="66" t="n">
        <f aca="false">IF(COUNT(K181:M181)&gt;0,VLOOKUP(COUNT(K181:M181),'t values'!$A$3:$C$5,3)*(O181/SQRT(COUNT(K181:M181))),"")</f>
        <v>71.7262282514924</v>
      </c>
      <c r="Q181" s="66" t="n">
        <f aca="false">IF(NOT(P181=""),J181-P181,"")</f>
        <v>187.607105081841</v>
      </c>
      <c r="R181" s="66" t="n">
        <f aca="false">IF(NOT(P181=""),J181+P181,"")</f>
        <v>331.059561584826</v>
      </c>
      <c r="T181" s="0" t="str">
        <f aca="false">IF(S181="", "", IF(C181="","", S181-C181))</f>
        <v/>
      </c>
      <c r="U181" s="0" t="str">
        <f aca="false">IF($S181="", "", IF(D181="","", $S181-D181))</f>
        <v/>
      </c>
      <c r="V181" s="0" t="str">
        <f aca="false">IF($S181="", "", IF(E181="","", $S181-E181))</f>
        <v/>
      </c>
      <c r="W181" s="66" t="str">
        <f aca="false">IF(SUM($C181:$E181)&gt;0,IF(NOT(S181=""),AVERAGE(T181:V181),""),"")</f>
        <v/>
      </c>
      <c r="X181" s="0" t="str">
        <f aca="false">IF(NOT(T181=""),(T181-$W181)^2,"")</f>
        <v/>
      </c>
      <c r="Y181" s="0" t="str">
        <f aca="false">IF(NOT(U181=""),(U181-$W181)^2,"")</f>
        <v/>
      </c>
      <c r="Z181" s="0" t="str">
        <f aca="false">IF(NOT(V181=""),(V181-$W181)^2,"")</f>
        <v/>
      </c>
      <c r="AA181" s="0" t="str">
        <f aca="false">IF(COUNT(X181:Z181)&gt;0,SUM(X181:Z181)/COUNT(X181:Z181),"")</f>
        <v/>
      </c>
      <c r="AB181" s="0" t="str">
        <f aca="false">IF(NOT(AA181=""),SQRT(AA181),"")</f>
        <v/>
      </c>
      <c r="AD181" s="66" t="str">
        <f aca="false">IF(NOT(W181=""),W181-AG181,"")</f>
        <v/>
      </c>
      <c r="AE181" s="66" t="str">
        <f aca="false">IF(NOT(W181=""),W181+AG181,"")</f>
        <v/>
      </c>
      <c r="AF181" s="63" t="n">
        <v>28.87136220471</v>
      </c>
      <c r="AG181" s="63" t="n">
        <v>72</v>
      </c>
      <c r="AH181" s="63"/>
    </row>
    <row r="182" customFormat="false" ht="12.8" hidden="false" customHeight="false" outlineLevel="0" collapsed="false">
      <c r="A182" s="77" t="s">
        <v>50</v>
      </c>
      <c r="B182" s="77" t="n">
        <v>100</v>
      </c>
      <c r="C182" s="77" t="n">
        <v>328</v>
      </c>
      <c r="D182" s="91" t="n">
        <v>229</v>
      </c>
      <c r="E182" s="77" t="n">
        <v>297</v>
      </c>
      <c r="F182" s="0" t="n">
        <v>621</v>
      </c>
      <c r="G182" s="0" t="n">
        <f aca="false">IF(F182="", "", IF(C182="","", F182-C182))</f>
        <v>293</v>
      </c>
      <c r="H182" s="0" t="n">
        <f aca="false">IF(F182="", "", IF(D182="","", F182-D182))</f>
        <v>392</v>
      </c>
      <c r="I182" s="0" t="n">
        <f aca="false">IF(F182="", "", IF(E182="","", F182-E182))</f>
        <v>324</v>
      </c>
      <c r="J182" s="66" t="n">
        <f aca="false">IF(SUM(C182:E182)&gt;0,AVERAGE(G182:I182),"")</f>
        <v>336.333333333333</v>
      </c>
      <c r="K182" s="66" t="n">
        <f aca="false">IF(NOT(G182=""),(G182-$J182)^2,"")</f>
        <v>1877.77777777778</v>
      </c>
      <c r="L182" s="66" t="n">
        <f aca="false">IF(NOT(H182=""),(H182-$J182)^2,"")</f>
        <v>3098.77777777778</v>
      </c>
      <c r="M182" s="66" t="n">
        <f aca="false">IF(NOT(I182=""),(I182-$J182)^2,"")</f>
        <v>152.111111111111</v>
      </c>
      <c r="N182" s="66" t="n">
        <f aca="false">IF(COUNT(K182:M182)&gt;0,SUM(K182:M182)/COUNT(K182:M182),"")</f>
        <v>1709.55555555556</v>
      </c>
      <c r="O182" s="66" t="n">
        <f aca="false">IF(NOT(N182=""),SQRT(N182),"")</f>
        <v>41.3467720088952</v>
      </c>
      <c r="P182" s="66" t="n">
        <f aca="false">IF(COUNT(K182:M182)&gt;0,VLOOKUP(COUNT(K182:M182),'t values'!$A$3:$C$5,3)*(O182/SQRT(COUNT(K182:M182))),"")</f>
        <v>102.719365492516</v>
      </c>
      <c r="Q182" s="66" t="n">
        <f aca="false">IF(NOT(P182=""),J182-P182,"")</f>
        <v>233.613967840817</v>
      </c>
      <c r="R182" s="66" t="n">
        <f aca="false">IF(NOT(P182=""),J182+P182,"")</f>
        <v>439.05269882585</v>
      </c>
      <c r="S182" s="0" t="n">
        <v>1042</v>
      </c>
      <c r="T182" s="0" t="n">
        <f aca="false">IF(S182="", "", IF(C182="","", S182-C182))</f>
        <v>714</v>
      </c>
      <c r="U182" s="0" t="n">
        <f aca="false">IF($S182="", "", IF(D182="","", $S182-D182))</f>
        <v>813</v>
      </c>
      <c r="V182" s="0" t="n">
        <f aca="false">IF($S182="", "", IF(E182="","", $S182-E182))</f>
        <v>745</v>
      </c>
      <c r="W182" s="66" t="n">
        <f aca="false">IF(SUM($C182:$E182)&gt;0,IF(NOT(S182=""),AVERAGE(T182:V182),""),"")</f>
        <v>757.333333333333</v>
      </c>
      <c r="X182" s="0" t="n">
        <f aca="false">IF(NOT(T182=""),(T182-$W182)^2,"")</f>
        <v>1877.77777777778</v>
      </c>
      <c r="Y182" s="0" t="n">
        <f aca="false">IF(NOT(U182=""),(U182-$W182)^2,"")</f>
        <v>3098.77777777777</v>
      </c>
      <c r="Z182" s="0" t="n">
        <f aca="false">IF(NOT(V182=""),(V182-$W182)^2,"")</f>
        <v>152.111111111112</v>
      </c>
      <c r="AA182" s="0" t="n">
        <f aca="false">IF(COUNT(X182:Z182)&gt;0,SUM(X182:Z182)/COUNT(X182:Z182),"")</f>
        <v>1709.55555555555</v>
      </c>
      <c r="AB182" s="0" t="n">
        <f aca="false">IF(NOT(AA182=""),SQRT(AA182),"")</f>
        <v>41.3467720088951</v>
      </c>
      <c r="AD182" s="66" t="n">
        <f aca="false">IF(NOT(W182=""),W182-AG182,"")</f>
        <v>654.333333333333</v>
      </c>
      <c r="AE182" s="66" t="n">
        <f aca="false">IF(NOT(W182=""),W182+AG182,"")</f>
        <v>860.333333333333</v>
      </c>
      <c r="AF182" s="75" t="n">
        <v>41.3467720088952</v>
      </c>
      <c r="AG182" s="75" t="n">
        <v>103</v>
      </c>
      <c r="AH182" s="75"/>
    </row>
  </sheetData>
  <mergeCells count="16">
    <mergeCell ref="A1:A2"/>
    <mergeCell ref="B1:B2"/>
    <mergeCell ref="C1:E2"/>
    <mergeCell ref="F1:R1"/>
    <mergeCell ref="S1:AE1"/>
    <mergeCell ref="AF1:AF2"/>
    <mergeCell ref="AG1:AH1"/>
    <mergeCell ref="AK1:AN1"/>
    <mergeCell ref="AO1:AT1"/>
    <mergeCell ref="AU1:AZ1"/>
    <mergeCell ref="G2:I2"/>
    <mergeCell ref="K2:M2"/>
    <mergeCell ref="T2:V2"/>
    <mergeCell ref="X2:Z2"/>
    <mergeCell ref="AO2:AQ2"/>
    <mergeCell ref="AU2:AW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2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L22" activeCellId="0" sqref="L22"/>
    </sheetView>
  </sheetViews>
  <sheetFormatPr defaultColWidth="11.23046875" defaultRowHeight="12.8" customHeight="false" zeroHeight="false" outlineLevelRow="0" outlineLevelCol="0"/>
  <cols>
    <col collapsed="false" customWidth="true" hidden="false" outlineLevel="0" max="1" min="1" style="0" width="18.39"/>
    <col collapsed="false" customWidth="true" hidden="false" outlineLevel="0" max="7" min="7" style="0" width="18.39"/>
    <col collapsed="false" customWidth="true" hidden="false" outlineLevel="0" max="12" min="12" style="0" width="18.39"/>
    <col collapsed="false" customWidth="true" hidden="false" outlineLevel="0" max="13" min="13" style="0" width="10.08"/>
    <col collapsed="false" customWidth="true" hidden="false" outlineLevel="0" max="14" min="14" style="0" width="10.21"/>
    <col collapsed="false" customWidth="true" hidden="false" outlineLevel="0" max="16" min="16" style="0" width="18.39"/>
    <col collapsed="false" customWidth="true" hidden="false" outlineLevel="0" max="17" min="17" style="0" width="7.9"/>
  </cols>
  <sheetData>
    <row r="1" customFormat="false" ht="12.8" hidden="false" customHeight="false" outlineLevel="0" collapsed="false">
      <c r="A1" s="18" t="s">
        <v>17</v>
      </c>
      <c r="B1" s="18"/>
      <c r="C1" s="18"/>
      <c r="D1" s="18"/>
      <c r="G1" s="19" t="s">
        <v>18</v>
      </c>
      <c r="H1" s="19"/>
      <c r="I1" s="19"/>
      <c r="J1" s="19"/>
      <c r="L1" s="18" t="s">
        <v>116</v>
      </c>
      <c r="M1" s="18"/>
      <c r="N1" s="18"/>
      <c r="P1" s="18" t="s">
        <v>19</v>
      </c>
      <c r="Q1" s="18"/>
      <c r="R1" s="18"/>
      <c r="S1" s="18"/>
    </row>
    <row r="2" customFormat="false" ht="12.8" hidden="false" customHeight="false" outlineLevel="0" collapsed="false">
      <c r="A2" s="44" t="s">
        <v>21</v>
      </c>
      <c r="B2" s="44" t="s">
        <v>27</v>
      </c>
      <c r="C2" s="44" t="s">
        <v>117</v>
      </c>
      <c r="D2" s="44" t="s">
        <v>118</v>
      </c>
      <c r="E2" s="44" t="s">
        <v>119</v>
      </c>
      <c r="F2" s="44"/>
      <c r="G2" s="44" t="s">
        <v>21</v>
      </c>
      <c r="H2" s="44" t="s">
        <v>27</v>
      </c>
      <c r="I2" s="44" t="s">
        <v>117</v>
      </c>
      <c r="J2" s="44" t="s">
        <v>118</v>
      </c>
      <c r="K2" s="44"/>
      <c r="L2" s="44" t="s">
        <v>21</v>
      </c>
      <c r="M2" s="44" t="s">
        <v>117</v>
      </c>
      <c r="N2" s="44" t="s">
        <v>118</v>
      </c>
      <c r="O2" s="44"/>
      <c r="P2" s="44" t="s">
        <v>21</v>
      </c>
      <c r="Q2" s="44" t="s">
        <v>27</v>
      </c>
      <c r="R2" s="44" t="s">
        <v>117</v>
      </c>
      <c r="S2" s="44" t="s">
        <v>118</v>
      </c>
    </row>
    <row r="3" customFormat="false" ht="12.8" hidden="false" customHeight="false" outlineLevel="0" collapsed="false">
      <c r="A3" s="0" t="s">
        <v>31</v>
      </c>
      <c r="B3" s="0" t="n">
        <v>5</v>
      </c>
      <c r="C3" s="0" t="n">
        <v>4949.82</v>
      </c>
      <c r="D3" s="0" t="n">
        <f aca="false">C3/1000</f>
        <v>4.94982</v>
      </c>
      <c r="E3" s="92" t="n">
        <f aca="false">D3/60</f>
        <v>0.082497</v>
      </c>
      <c r="G3" s="0" t="s">
        <v>31</v>
      </c>
      <c r="H3" s="0" t="n">
        <v>5</v>
      </c>
      <c r="I3" s="0" t="n">
        <v>1442.47</v>
      </c>
      <c r="J3" s="0" t="n">
        <f aca="false">I3/1000</f>
        <v>1.44247</v>
      </c>
      <c r="L3" s="0" t="s">
        <v>31</v>
      </c>
      <c r="M3" s="0" t="n">
        <v>127.108</v>
      </c>
      <c r="N3" s="0" t="n">
        <f aca="false">M3/1000</f>
        <v>0.127108</v>
      </c>
      <c r="P3" s="0" t="s">
        <v>31</v>
      </c>
      <c r="Q3" s="0" t="n">
        <v>5</v>
      </c>
      <c r="R3" s="0" t="n">
        <v>63513.9</v>
      </c>
      <c r="S3" s="0" t="n">
        <f aca="false">R3/1000</f>
        <v>63.5139</v>
      </c>
    </row>
    <row r="4" customFormat="false" ht="12.8" hidden="false" customHeight="false" outlineLevel="0" collapsed="false">
      <c r="A4" s="0" t="s">
        <v>31</v>
      </c>
      <c r="B4" s="0" t="n">
        <v>10</v>
      </c>
      <c r="C4" s="0" t="n">
        <v>33786.3</v>
      </c>
      <c r="D4" s="0" t="n">
        <f aca="false">C4/1000</f>
        <v>33.7863</v>
      </c>
      <c r="E4" s="92" t="n">
        <f aca="false">D4/60</f>
        <v>0.563105</v>
      </c>
      <c r="G4" s="0" t="s">
        <v>31</v>
      </c>
      <c r="H4" s="0" t="n">
        <v>10</v>
      </c>
      <c r="I4" s="0" t="n">
        <v>2281.57</v>
      </c>
      <c r="J4" s="0" t="n">
        <f aca="false">I4/1000</f>
        <v>2.28157</v>
      </c>
      <c r="L4" s="0" t="s">
        <v>32</v>
      </c>
      <c r="M4" s="0" t="n">
        <v>376.031</v>
      </c>
      <c r="N4" s="0" t="n">
        <f aca="false">M4/1000</f>
        <v>0.376031</v>
      </c>
      <c r="P4" s="0" t="s">
        <v>31</v>
      </c>
      <c r="Q4" s="0" t="n">
        <v>10</v>
      </c>
      <c r="R4" s="0" t="n">
        <v>144645</v>
      </c>
      <c r="S4" s="0" t="n">
        <f aca="false">R4/1000</f>
        <v>144.645</v>
      </c>
    </row>
    <row r="5" customFormat="false" ht="12.8" hidden="false" customHeight="false" outlineLevel="0" collapsed="false">
      <c r="A5" s="0" t="s">
        <v>31</v>
      </c>
      <c r="B5" s="0" t="n">
        <v>15</v>
      </c>
      <c r="C5" s="0" t="n">
        <v>31540.5</v>
      </c>
      <c r="D5" s="0" t="n">
        <f aca="false">C5/1000</f>
        <v>31.5405</v>
      </c>
      <c r="E5" s="92" t="n">
        <f aca="false">D5/60</f>
        <v>0.525675</v>
      </c>
      <c r="G5" s="0" t="s">
        <v>31</v>
      </c>
      <c r="H5" s="0" t="n">
        <v>15</v>
      </c>
      <c r="I5" s="0" t="n">
        <v>2073.53</v>
      </c>
      <c r="J5" s="0" t="n">
        <f aca="false">I5/1000</f>
        <v>2.07353</v>
      </c>
      <c r="L5" s="0" t="s">
        <v>33</v>
      </c>
      <c r="M5" s="0" t="n">
        <v>736.589</v>
      </c>
      <c r="N5" s="0" t="n">
        <f aca="false">M5/1000</f>
        <v>0.736589</v>
      </c>
      <c r="P5" s="0" t="s">
        <v>31</v>
      </c>
      <c r="Q5" s="0" t="n">
        <v>15</v>
      </c>
      <c r="R5" s="0" t="n">
        <v>127639</v>
      </c>
      <c r="S5" s="0" t="n">
        <f aca="false">R5/1000</f>
        <v>127.639</v>
      </c>
    </row>
    <row r="6" customFormat="false" ht="12.8" hidden="false" customHeight="false" outlineLevel="0" collapsed="false">
      <c r="A6" s="0" t="s">
        <v>31</v>
      </c>
      <c r="B6" s="0" t="n">
        <v>20</v>
      </c>
      <c r="C6" s="0" t="n">
        <v>44617.4</v>
      </c>
      <c r="D6" s="0" t="n">
        <f aca="false">C6/1000</f>
        <v>44.6174</v>
      </c>
      <c r="E6" s="92" t="n">
        <f aca="false">D6/60</f>
        <v>0.743623333333333</v>
      </c>
      <c r="G6" s="0" t="s">
        <v>31</v>
      </c>
      <c r="H6" s="0" t="n">
        <v>20</v>
      </c>
      <c r="I6" s="0" t="n">
        <v>2610.92</v>
      </c>
      <c r="J6" s="0" t="n">
        <f aca="false">I6/1000</f>
        <v>2.61092</v>
      </c>
      <c r="L6" s="0" t="s">
        <v>34</v>
      </c>
      <c r="M6" s="0" t="n">
        <v>387.323</v>
      </c>
      <c r="N6" s="0" t="n">
        <f aca="false">M6/1000</f>
        <v>0.387323</v>
      </c>
      <c r="P6" s="0" t="s">
        <v>31</v>
      </c>
      <c r="Q6" s="0" t="n">
        <v>20</v>
      </c>
      <c r="R6" s="0" t="n">
        <v>209073</v>
      </c>
      <c r="S6" s="0" t="n">
        <f aca="false">R6/1000</f>
        <v>209.073</v>
      </c>
    </row>
    <row r="7" customFormat="false" ht="12.8" hidden="false" customHeight="false" outlineLevel="0" collapsed="false">
      <c r="A7" s="0" t="s">
        <v>31</v>
      </c>
      <c r="B7" s="0" t="n">
        <v>30</v>
      </c>
      <c r="C7" s="0" t="n">
        <v>150474</v>
      </c>
      <c r="D7" s="0" t="n">
        <f aca="false">C7/1000</f>
        <v>150.474</v>
      </c>
      <c r="E7" s="92" t="n">
        <f aca="false">D7/60</f>
        <v>2.5079</v>
      </c>
      <c r="G7" s="0" t="s">
        <v>31</v>
      </c>
      <c r="H7" s="0" t="n">
        <v>30</v>
      </c>
      <c r="I7" s="0" t="n">
        <v>3825.17</v>
      </c>
      <c r="J7" s="0" t="n">
        <f aca="false">I7/1000</f>
        <v>3.82517</v>
      </c>
      <c r="L7" s="0" t="s">
        <v>36</v>
      </c>
      <c r="M7" s="0" t="n">
        <v>380.213</v>
      </c>
      <c r="N7" s="0" t="n">
        <f aca="false">M7/1000</f>
        <v>0.380213</v>
      </c>
      <c r="P7" s="0" t="s">
        <v>31</v>
      </c>
      <c r="Q7" s="0" t="n">
        <v>30</v>
      </c>
      <c r="R7" s="0" t="n">
        <v>377915</v>
      </c>
      <c r="S7" s="0" t="n">
        <f aca="false">R7/1000</f>
        <v>377.915</v>
      </c>
    </row>
    <row r="8" customFormat="false" ht="12.8" hidden="false" customHeight="false" outlineLevel="0" collapsed="false">
      <c r="A8" s="0" t="s">
        <v>31</v>
      </c>
      <c r="B8" s="0" t="n">
        <v>40</v>
      </c>
      <c r="C8" s="0" t="n">
        <v>226540</v>
      </c>
      <c r="D8" s="0" t="n">
        <f aca="false">C8/1000</f>
        <v>226.54</v>
      </c>
      <c r="E8" s="92" t="n">
        <f aca="false">D8/60</f>
        <v>3.77566666666667</v>
      </c>
      <c r="G8" s="0" t="s">
        <v>31</v>
      </c>
      <c r="H8" s="0" t="n">
        <v>40</v>
      </c>
      <c r="I8" s="0" t="n">
        <v>4583.63</v>
      </c>
      <c r="J8" s="0" t="n">
        <f aca="false">I8/1000</f>
        <v>4.58363</v>
      </c>
      <c r="L8" s="0" t="s">
        <v>37</v>
      </c>
      <c r="M8" s="0" t="n">
        <v>855.095</v>
      </c>
      <c r="N8" s="0" t="n">
        <f aca="false">M8/1000</f>
        <v>0.855095</v>
      </c>
      <c r="P8" s="0" t="s">
        <v>31</v>
      </c>
      <c r="Q8" s="0" t="n">
        <v>40</v>
      </c>
      <c r="R8" s="0" t="n">
        <v>356105</v>
      </c>
      <c r="S8" s="0" t="n">
        <f aca="false">R8/1000</f>
        <v>356.105</v>
      </c>
    </row>
    <row r="9" customFormat="false" ht="12.8" hidden="false" customHeight="false" outlineLevel="0" collapsed="false">
      <c r="A9" s="0" t="s">
        <v>31</v>
      </c>
      <c r="B9" s="0" t="n">
        <v>50</v>
      </c>
      <c r="C9" s="0" t="n">
        <v>321153</v>
      </c>
      <c r="D9" s="0" t="n">
        <f aca="false">C9/1000</f>
        <v>321.153</v>
      </c>
      <c r="E9" s="92" t="n">
        <f aca="false">D9/60</f>
        <v>5.35255</v>
      </c>
      <c r="G9" s="0" t="s">
        <v>31</v>
      </c>
      <c r="H9" s="0" t="n">
        <v>50</v>
      </c>
      <c r="I9" s="0" t="n">
        <v>7754.08</v>
      </c>
      <c r="J9" s="0" t="n">
        <f aca="false">I9/1000</f>
        <v>7.75408</v>
      </c>
      <c r="L9" s="0" t="s">
        <v>38</v>
      </c>
      <c r="M9" s="0" t="n">
        <v>521.182</v>
      </c>
      <c r="N9" s="0" t="n">
        <f aca="false">M9/1000</f>
        <v>0.521182</v>
      </c>
      <c r="P9" s="0" t="s">
        <v>31</v>
      </c>
      <c r="Q9" s="0" t="n">
        <v>50</v>
      </c>
      <c r="R9" s="0" t="n">
        <v>428681</v>
      </c>
      <c r="S9" s="0" t="n">
        <f aca="false">R9/1000</f>
        <v>428.681</v>
      </c>
    </row>
    <row r="10" customFormat="false" ht="12.8" hidden="false" customHeight="false" outlineLevel="0" collapsed="false">
      <c r="A10" s="0" t="s">
        <v>31</v>
      </c>
      <c r="B10" s="0" t="n">
        <v>64</v>
      </c>
      <c r="C10" s="0" t="n">
        <v>516962</v>
      </c>
      <c r="D10" s="0" t="n">
        <f aca="false">C10/1000</f>
        <v>516.962</v>
      </c>
      <c r="E10" s="92" t="n">
        <f aca="false">D10/60</f>
        <v>8.61603333333333</v>
      </c>
      <c r="G10" s="0" t="s">
        <v>31</v>
      </c>
      <c r="H10" s="0" t="n">
        <v>64</v>
      </c>
      <c r="I10" s="0" t="n">
        <v>4518.97</v>
      </c>
      <c r="J10" s="0" t="n">
        <f aca="false">I10/1000</f>
        <v>4.51897</v>
      </c>
      <c r="L10" s="0" t="s">
        <v>39</v>
      </c>
      <c r="M10" s="0" t="n">
        <v>166.625</v>
      </c>
      <c r="N10" s="0" t="n">
        <f aca="false">M10/1000</f>
        <v>0.166625</v>
      </c>
      <c r="P10" s="0" t="s">
        <v>31</v>
      </c>
      <c r="Q10" s="0" t="n">
        <v>64</v>
      </c>
      <c r="R10" s="0" t="n">
        <v>512990</v>
      </c>
      <c r="S10" s="0" t="n">
        <f aca="false">R10/1000</f>
        <v>512.99</v>
      </c>
    </row>
    <row r="11" customFormat="false" ht="12.8" hidden="false" customHeight="false" outlineLevel="0" collapsed="false">
      <c r="A11" s="0" t="s">
        <v>31</v>
      </c>
      <c r="B11" s="0" t="n">
        <v>82</v>
      </c>
      <c r="C11" s="0" t="n">
        <v>758257</v>
      </c>
      <c r="D11" s="0" t="n">
        <f aca="false">C11/1000</f>
        <v>758.257</v>
      </c>
      <c r="E11" s="92" t="n">
        <f aca="false">D11/60</f>
        <v>12.6376166666667</v>
      </c>
      <c r="G11" s="0" t="s">
        <v>31</v>
      </c>
      <c r="H11" s="0" t="n">
        <v>82</v>
      </c>
      <c r="I11" s="0" t="n">
        <v>5110.63</v>
      </c>
      <c r="J11" s="0" t="n">
        <f aca="false">I11/1000</f>
        <v>5.11063</v>
      </c>
      <c r="L11" s="0" t="s">
        <v>41</v>
      </c>
      <c r="M11" s="0" t="n">
        <v>5938.25</v>
      </c>
      <c r="N11" s="0" t="n">
        <f aca="false">M11/1000</f>
        <v>5.93825</v>
      </c>
      <c r="P11" s="0" t="s">
        <v>31</v>
      </c>
      <c r="Q11" s="0" t="n">
        <v>82</v>
      </c>
      <c r="R11" s="0" t="n">
        <v>769941</v>
      </c>
      <c r="S11" s="0" t="n">
        <f aca="false">R11/1000</f>
        <v>769.941</v>
      </c>
    </row>
    <row r="12" customFormat="false" ht="12.8" hidden="false" customHeight="false" outlineLevel="0" collapsed="false">
      <c r="A12" s="0" t="s">
        <v>31</v>
      </c>
      <c r="B12" s="0" t="n">
        <v>100</v>
      </c>
      <c r="C12" s="0" t="n">
        <v>986876</v>
      </c>
      <c r="D12" s="0" t="n">
        <f aca="false">C12/1000</f>
        <v>986.876</v>
      </c>
      <c r="E12" s="92" t="n">
        <f aca="false">D12/60</f>
        <v>16.4479333333333</v>
      </c>
      <c r="G12" s="0" t="s">
        <v>31</v>
      </c>
      <c r="H12" s="0" t="n">
        <v>100</v>
      </c>
      <c r="I12" s="0" t="n">
        <v>15413.4</v>
      </c>
      <c r="J12" s="0" t="n">
        <f aca="false">I12/1000</f>
        <v>15.4134</v>
      </c>
      <c r="L12" s="0" t="s">
        <v>42</v>
      </c>
      <c r="M12" s="0" t="n">
        <v>180.379</v>
      </c>
      <c r="N12" s="0" t="n">
        <f aca="false">M12/1000</f>
        <v>0.180379</v>
      </c>
      <c r="P12" s="0" t="s">
        <v>31</v>
      </c>
      <c r="Q12" s="0" t="n">
        <v>100</v>
      </c>
      <c r="R12" s="0" t="n">
        <v>807858</v>
      </c>
      <c r="S12" s="0" t="n">
        <f aca="false">R12/1000</f>
        <v>807.858</v>
      </c>
    </row>
    <row r="13" customFormat="false" ht="12.8" hidden="false" customHeight="false" outlineLevel="0" collapsed="false">
      <c r="A13" s="0" t="s">
        <v>32</v>
      </c>
      <c r="B13" s="0" t="n">
        <v>5</v>
      </c>
      <c r="C13" s="0" t="n">
        <v>2224.34</v>
      </c>
      <c r="D13" s="0" t="n">
        <f aca="false">C13/1000</f>
        <v>2.22434</v>
      </c>
      <c r="E13" s="92" t="n">
        <f aca="false">D13/60</f>
        <v>0.0370723333333333</v>
      </c>
      <c r="G13" s="0" t="s">
        <v>32</v>
      </c>
      <c r="H13" s="0" t="n">
        <v>5</v>
      </c>
      <c r="I13" s="0" t="n">
        <v>759.622</v>
      </c>
      <c r="J13" s="0" t="n">
        <f aca="false">I13/1000</f>
        <v>0.759622</v>
      </c>
      <c r="L13" s="0" t="s">
        <v>43</v>
      </c>
      <c r="M13" s="0" t="n">
        <v>8039.39</v>
      </c>
      <c r="N13" s="0" t="n">
        <f aca="false">M13/1000</f>
        <v>8.03939</v>
      </c>
      <c r="P13" s="0" t="s">
        <v>32</v>
      </c>
      <c r="Q13" s="0" t="n">
        <v>5</v>
      </c>
      <c r="R13" s="0" t="n">
        <v>50238.8</v>
      </c>
      <c r="S13" s="0" t="n">
        <f aca="false">R13/1000</f>
        <v>50.2388</v>
      </c>
    </row>
    <row r="14" customFormat="false" ht="12.8" hidden="false" customHeight="false" outlineLevel="0" collapsed="false">
      <c r="A14" s="0" t="s">
        <v>32</v>
      </c>
      <c r="B14" s="0" t="n">
        <v>10</v>
      </c>
      <c r="C14" s="0" t="n">
        <v>13028.6</v>
      </c>
      <c r="D14" s="0" t="n">
        <f aca="false">C14/1000</f>
        <v>13.0286</v>
      </c>
      <c r="E14" s="92" t="n">
        <f aca="false">D14/60</f>
        <v>0.217143333333333</v>
      </c>
      <c r="G14" s="0" t="s">
        <v>32</v>
      </c>
      <c r="H14" s="0" t="n">
        <v>10</v>
      </c>
      <c r="I14" s="0" t="n">
        <v>1331.6</v>
      </c>
      <c r="J14" s="0" t="n">
        <f aca="false">I14/1000</f>
        <v>1.3316</v>
      </c>
      <c r="L14" s="0" t="s">
        <v>44</v>
      </c>
      <c r="M14" s="0" t="n">
        <v>11753.5</v>
      </c>
      <c r="N14" s="0" t="n">
        <f aca="false">M14/1000</f>
        <v>11.7535</v>
      </c>
      <c r="P14" s="0" t="s">
        <v>32</v>
      </c>
      <c r="Q14" s="0" t="n">
        <v>10</v>
      </c>
      <c r="R14" s="0" t="n">
        <v>75661.7</v>
      </c>
      <c r="S14" s="0" t="n">
        <f aca="false">R14/1000</f>
        <v>75.6617</v>
      </c>
    </row>
    <row r="15" customFormat="false" ht="12.8" hidden="false" customHeight="false" outlineLevel="0" collapsed="false">
      <c r="A15" s="0" t="s">
        <v>32</v>
      </c>
      <c r="B15" s="0" t="n">
        <v>15</v>
      </c>
      <c r="C15" s="0" t="n">
        <v>45638.8</v>
      </c>
      <c r="D15" s="0" t="n">
        <f aca="false">C15/1000</f>
        <v>45.6388</v>
      </c>
      <c r="E15" s="92" t="n">
        <f aca="false">D15/60</f>
        <v>0.760646666666667</v>
      </c>
      <c r="G15" s="0" t="s">
        <v>32</v>
      </c>
      <c r="H15" s="0" t="n">
        <v>15</v>
      </c>
      <c r="I15" s="0" t="n">
        <v>1601.14</v>
      </c>
      <c r="J15" s="0" t="n">
        <f aca="false">I15/1000</f>
        <v>1.60114</v>
      </c>
      <c r="L15" s="0" t="s">
        <v>46</v>
      </c>
      <c r="M15" s="0" t="n">
        <v>146.215</v>
      </c>
      <c r="N15" s="0" t="n">
        <f aca="false">M15/1000</f>
        <v>0.146215</v>
      </c>
      <c r="P15" s="0" t="s">
        <v>32</v>
      </c>
      <c r="Q15" s="0" t="n">
        <v>15</v>
      </c>
      <c r="R15" s="0" t="n">
        <v>116290</v>
      </c>
      <c r="S15" s="0" t="n">
        <f aca="false">R15/1000</f>
        <v>116.29</v>
      </c>
    </row>
    <row r="16" customFormat="false" ht="12.8" hidden="false" customHeight="false" outlineLevel="0" collapsed="false">
      <c r="A16" s="0" t="s">
        <v>32</v>
      </c>
      <c r="B16" s="0" t="n">
        <v>20</v>
      </c>
      <c r="C16" s="0" t="n">
        <v>22611.4</v>
      </c>
      <c r="D16" s="0" t="n">
        <f aca="false">C16/1000</f>
        <v>22.6114</v>
      </c>
      <c r="E16" s="92" t="n">
        <f aca="false">D16/60</f>
        <v>0.376856666666667</v>
      </c>
      <c r="G16" s="0" t="s">
        <v>32</v>
      </c>
      <c r="H16" s="0" t="n">
        <v>20</v>
      </c>
      <c r="I16" s="0" t="n">
        <v>1935.45</v>
      </c>
      <c r="J16" s="0" t="n">
        <f aca="false">I16/1000</f>
        <v>1.93545</v>
      </c>
      <c r="L16" s="0" t="s">
        <v>47</v>
      </c>
      <c r="M16" s="0" t="n">
        <v>181.147</v>
      </c>
      <c r="N16" s="0" t="n">
        <f aca="false">M16/1000</f>
        <v>0.181147</v>
      </c>
      <c r="P16" s="0" t="s">
        <v>32</v>
      </c>
      <c r="Q16" s="0" t="n">
        <v>20</v>
      </c>
      <c r="R16" s="0" t="n">
        <v>154889</v>
      </c>
      <c r="S16" s="0" t="n">
        <f aca="false">R16/1000</f>
        <v>154.889</v>
      </c>
    </row>
    <row r="17" customFormat="false" ht="12.8" hidden="false" customHeight="false" outlineLevel="0" collapsed="false">
      <c r="A17" s="0" t="s">
        <v>32</v>
      </c>
      <c r="B17" s="0" t="n">
        <v>30</v>
      </c>
      <c r="C17" s="0" t="n">
        <v>69811.8</v>
      </c>
      <c r="D17" s="0" t="n">
        <f aca="false">C17/1000</f>
        <v>69.8118</v>
      </c>
      <c r="E17" s="92" t="n">
        <f aca="false">D17/60</f>
        <v>1.16353</v>
      </c>
      <c r="G17" s="0" t="s">
        <v>32</v>
      </c>
      <c r="H17" s="0" t="n">
        <v>30</v>
      </c>
      <c r="I17" s="0" t="n">
        <v>2051.09</v>
      </c>
      <c r="J17" s="0" t="n">
        <f aca="false">I17/1000</f>
        <v>2.05109</v>
      </c>
      <c r="L17" s="0" t="s">
        <v>48</v>
      </c>
      <c r="M17" s="0" t="n">
        <v>1462.67</v>
      </c>
      <c r="N17" s="0" t="n">
        <f aca="false">M17/1000</f>
        <v>1.46267</v>
      </c>
      <c r="P17" s="0" t="s">
        <v>32</v>
      </c>
      <c r="Q17" s="0" t="n">
        <v>30</v>
      </c>
      <c r="R17" s="0" t="n">
        <v>183179</v>
      </c>
      <c r="S17" s="0" t="n">
        <f aca="false">R17/1000</f>
        <v>183.179</v>
      </c>
    </row>
    <row r="18" customFormat="false" ht="12.8" hidden="false" customHeight="false" outlineLevel="0" collapsed="false">
      <c r="A18" s="0" t="s">
        <v>32</v>
      </c>
      <c r="B18" s="0" t="n">
        <v>40</v>
      </c>
      <c r="C18" s="0" t="n">
        <v>142683</v>
      </c>
      <c r="D18" s="0" t="n">
        <f aca="false">C18/1000</f>
        <v>142.683</v>
      </c>
      <c r="E18" s="92" t="n">
        <f aca="false">D18/60</f>
        <v>2.37805</v>
      </c>
      <c r="G18" s="0" t="s">
        <v>32</v>
      </c>
      <c r="H18" s="0" t="n">
        <v>40</v>
      </c>
      <c r="I18" s="0" t="n">
        <v>2485.15</v>
      </c>
      <c r="J18" s="0" t="n">
        <f aca="false">I18/1000</f>
        <v>2.48515</v>
      </c>
      <c r="L18" s="0" t="s">
        <v>49</v>
      </c>
      <c r="M18" s="0" t="n">
        <v>3252.64</v>
      </c>
      <c r="N18" s="0" t="n">
        <f aca="false">M18/1000</f>
        <v>3.25264</v>
      </c>
      <c r="P18" s="0" t="s">
        <v>32</v>
      </c>
      <c r="Q18" s="0" t="n">
        <v>40</v>
      </c>
      <c r="R18" s="0" t="n">
        <v>252664</v>
      </c>
      <c r="S18" s="0" t="n">
        <f aca="false">R18/1000</f>
        <v>252.664</v>
      </c>
    </row>
    <row r="19" customFormat="false" ht="12.8" hidden="false" customHeight="false" outlineLevel="0" collapsed="false">
      <c r="A19" s="0" t="s">
        <v>32</v>
      </c>
      <c r="B19" s="0" t="n">
        <v>50</v>
      </c>
      <c r="C19" s="0" t="n">
        <v>226004</v>
      </c>
      <c r="D19" s="0" t="n">
        <f aca="false">C19/1000</f>
        <v>226.004</v>
      </c>
      <c r="E19" s="92" t="n">
        <f aca="false">D19/60</f>
        <v>3.76673333333333</v>
      </c>
      <c r="G19" s="0" t="s">
        <v>32</v>
      </c>
      <c r="H19" s="0" t="n">
        <v>50</v>
      </c>
      <c r="I19" s="0" t="n">
        <v>2399.17</v>
      </c>
      <c r="J19" s="0" t="n">
        <f aca="false">I19/1000</f>
        <v>2.39917</v>
      </c>
      <c r="L19" s="0" t="s">
        <v>50</v>
      </c>
      <c r="M19" s="0" t="n">
        <v>567.116</v>
      </c>
      <c r="N19" s="0" t="n">
        <f aca="false">M19/1000</f>
        <v>0.567116</v>
      </c>
      <c r="P19" s="0" t="s">
        <v>32</v>
      </c>
      <c r="Q19" s="0" t="n">
        <v>50</v>
      </c>
      <c r="R19" s="0" t="n">
        <v>281001</v>
      </c>
      <c r="S19" s="0" t="n">
        <f aca="false">R19/1000</f>
        <v>281.001</v>
      </c>
    </row>
    <row r="20" customFormat="false" ht="12.8" hidden="false" customHeight="false" outlineLevel="0" collapsed="false">
      <c r="A20" s="0" t="s">
        <v>32</v>
      </c>
      <c r="B20" s="0" t="n">
        <v>64</v>
      </c>
      <c r="C20" s="0" t="n">
        <v>345206</v>
      </c>
      <c r="D20" s="0" t="n">
        <f aca="false">C20/1000</f>
        <v>345.206</v>
      </c>
      <c r="E20" s="92" t="n">
        <f aca="false">D20/60</f>
        <v>5.75343333333333</v>
      </c>
      <c r="G20" s="0" t="s">
        <v>32</v>
      </c>
      <c r="H20" s="0" t="n">
        <v>64</v>
      </c>
      <c r="I20" s="0" t="n">
        <v>4809.01</v>
      </c>
      <c r="J20" s="0" t="n">
        <f aca="false">I20/1000</f>
        <v>4.80901</v>
      </c>
      <c r="P20" s="0" t="s">
        <v>32</v>
      </c>
      <c r="Q20" s="0" t="n">
        <v>64</v>
      </c>
      <c r="R20" s="0" t="n">
        <v>332588</v>
      </c>
      <c r="S20" s="0" t="n">
        <f aca="false">R20/1000</f>
        <v>332.588</v>
      </c>
    </row>
    <row r="21" customFormat="false" ht="12.8" hidden="false" customHeight="false" outlineLevel="0" collapsed="false">
      <c r="A21" s="0" t="s">
        <v>32</v>
      </c>
      <c r="B21" s="0" t="n">
        <v>82</v>
      </c>
      <c r="C21" s="0" t="n">
        <v>510023</v>
      </c>
      <c r="D21" s="0" t="n">
        <f aca="false">C21/1000</f>
        <v>510.023</v>
      </c>
      <c r="E21" s="92" t="n">
        <f aca="false">D21/60</f>
        <v>8.50038333333333</v>
      </c>
      <c r="G21" s="0" t="s">
        <v>32</v>
      </c>
      <c r="H21" s="0" t="n">
        <v>82</v>
      </c>
      <c r="I21" s="0" t="n">
        <v>6132.09</v>
      </c>
      <c r="J21" s="0" t="n">
        <f aca="false">I21/1000</f>
        <v>6.13209</v>
      </c>
      <c r="P21" s="0" t="s">
        <v>32</v>
      </c>
      <c r="Q21" s="0" t="n">
        <v>82</v>
      </c>
      <c r="R21" s="0" t="n">
        <v>464450</v>
      </c>
      <c r="S21" s="0" t="n">
        <f aca="false">R21/1000</f>
        <v>464.45</v>
      </c>
    </row>
    <row r="22" customFormat="false" ht="12.8" hidden="false" customHeight="false" outlineLevel="0" collapsed="false">
      <c r="A22" s="0" t="s">
        <v>32</v>
      </c>
      <c r="B22" s="0" t="n">
        <v>100</v>
      </c>
      <c r="C22" s="0" t="n">
        <v>715631</v>
      </c>
      <c r="D22" s="0" t="n">
        <f aca="false">C22/1000</f>
        <v>715.631</v>
      </c>
      <c r="E22" s="92" t="n">
        <f aca="false">D22/60</f>
        <v>11.9271833333333</v>
      </c>
      <c r="G22" s="0" t="s">
        <v>32</v>
      </c>
      <c r="H22" s="0" t="n">
        <v>100</v>
      </c>
      <c r="I22" s="0" t="n">
        <v>6095.85</v>
      </c>
      <c r="J22" s="0" t="n">
        <f aca="false">I22/1000</f>
        <v>6.09585</v>
      </c>
      <c r="P22" s="0" t="s">
        <v>32</v>
      </c>
      <c r="Q22" s="0" t="n">
        <v>100</v>
      </c>
      <c r="R22" s="0" t="n">
        <v>493573</v>
      </c>
      <c r="S22" s="0" t="n">
        <f aca="false">R22/1000</f>
        <v>493.573</v>
      </c>
    </row>
    <row r="23" customFormat="false" ht="12.8" hidden="false" customHeight="false" outlineLevel="0" collapsed="false">
      <c r="A23" s="0" t="s">
        <v>33</v>
      </c>
      <c r="B23" s="0" t="n">
        <v>5</v>
      </c>
      <c r="C23" s="0" t="n">
        <v>4569.35</v>
      </c>
      <c r="D23" s="0" t="n">
        <f aca="false">C23/1000</f>
        <v>4.56935</v>
      </c>
      <c r="E23" s="92" t="n">
        <f aca="false">D23/60</f>
        <v>0.0761558333333333</v>
      </c>
      <c r="G23" s="0" t="s">
        <v>33</v>
      </c>
      <c r="H23" s="0" t="n">
        <v>5</v>
      </c>
      <c r="I23" s="0" t="n">
        <v>1576.97</v>
      </c>
      <c r="J23" s="0" t="n">
        <f aca="false">I23/1000</f>
        <v>1.57697</v>
      </c>
      <c r="P23" s="0" t="s">
        <v>33</v>
      </c>
      <c r="Q23" s="0" t="n">
        <v>5</v>
      </c>
      <c r="R23" s="0" t="n">
        <v>56770.7</v>
      </c>
      <c r="S23" s="0" t="n">
        <f aca="false">R23/1000</f>
        <v>56.7707</v>
      </c>
    </row>
    <row r="24" customFormat="false" ht="12.8" hidden="false" customHeight="false" outlineLevel="0" collapsed="false">
      <c r="A24" s="0" t="s">
        <v>33</v>
      </c>
      <c r="B24" s="0" t="n">
        <v>10</v>
      </c>
      <c r="C24" s="0" t="n">
        <v>17776.4</v>
      </c>
      <c r="D24" s="0" t="n">
        <f aca="false">C24/1000</f>
        <v>17.7764</v>
      </c>
      <c r="E24" s="92" t="n">
        <f aca="false">D24/60</f>
        <v>0.296273333333333</v>
      </c>
      <c r="G24" s="0" t="s">
        <v>33</v>
      </c>
      <c r="H24" s="0" t="n">
        <v>10</v>
      </c>
      <c r="I24" s="0" t="n">
        <v>2104.58</v>
      </c>
      <c r="J24" s="0" t="n">
        <f aca="false">I24/1000</f>
        <v>2.10458</v>
      </c>
      <c r="P24" s="0" t="s">
        <v>33</v>
      </c>
      <c r="Q24" s="0" t="n">
        <v>10</v>
      </c>
      <c r="R24" s="0" t="n">
        <v>103214</v>
      </c>
      <c r="S24" s="0" t="n">
        <f aca="false">R24/1000</f>
        <v>103.214</v>
      </c>
    </row>
    <row r="25" customFormat="false" ht="12.8" hidden="false" customHeight="false" outlineLevel="0" collapsed="false">
      <c r="A25" s="0" t="s">
        <v>33</v>
      </c>
      <c r="B25" s="0" t="n">
        <v>15</v>
      </c>
      <c r="C25" s="0" t="n">
        <v>38803.6</v>
      </c>
      <c r="D25" s="0" t="n">
        <f aca="false">C25/1000</f>
        <v>38.8036</v>
      </c>
      <c r="E25" s="92" t="n">
        <f aca="false">D25/60</f>
        <v>0.646726666666667</v>
      </c>
      <c r="G25" s="0" t="s">
        <v>33</v>
      </c>
      <c r="H25" s="0" t="n">
        <v>15</v>
      </c>
      <c r="I25" s="0" t="n">
        <v>2324.61</v>
      </c>
      <c r="J25" s="0" t="n">
        <f aca="false">I25/1000</f>
        <v>2.32461</v>
      </c>
      <c r="P25" s="0" t="s">
        <v>33</v>
      </c>
      <c r="Q25" s="0" t="n">
        <v>15</v>
      </c>
      <c r="R25" s="0" t="n">
        <v>175572</v>
      </c>
      <c r="S25" s="0" t="n">
        <f aca="false">R25/1000</f>
        <v>175.572</v>
      </c>
    </row>
    <row r="26" customFormat="false" ht="12.8" hidden="false" customHeight="false" outlineLevel="0" collapsed="false">
      <c r="A26" s="0" t="s">
        <v>33</v>
      </c>
      <c r="B26" s="0" t="n">
        <v>20</v>
      </c>
      <c r="C26" s="0" t="n">
        <v>62676.2</v>
      </c>
      <c r="D26" s="0" t="n">
        <f aca="false">C26/1000</f>
        <v>62.6762</v>
      </c>
      <c r="E26" s="92" t="n">
        <f aca="false">D26/60</f>
        <v>1.04460333333333</v>
      </c>
      <c r="G26" s="0" t="s">
        <v>33</v>
      </c>
      <c r="H26" s="0" t="n">
        <v>20</v>
      </c>
      <c r="I26" s="0" t="n">
        <v>3051.8</v>
      </c>
      <c r="J26" s="0" t="n">
        <f aca="false">I26/1000</f>
        <v>3.0518</v>
      </c>
      <c r="P26" s="0" t="s">
        <v>33</v>
      </c>
      <c r="Q26" s="0" t="n">
        <v>20</v>
      </c>
      <c r="R26" s="0" t="n">
        <v>193324</v>
      </c>
      <c r="S26" s="0" t="n">
        <f aca="false">R26/1000</f>
        <v>193.324</v>
      </c>
    </row>
    <row r="27" customFormat="false" ht="12.8" hidden="false" customHeight="false" outlineLevel="0" collapsed="false">
      <c r="A27" s="0" t="s">
        <v>33</v>
      </c>
      <c r="B27" s="0" t="n">
        <v>30</v>
      </c>
      <c r="C27" s="0" t="n">
        <v>137034</v>
      </c>
      <c r="D27" s="0" t="n">
        <f aca="false">C27/1000</f>
        <v>137.034</v>
      </c>
      <c r="E27" s="92" t="n">
        <f aca="false">D27/60</f>
        <v>2.2839</v>
      </c>
      <c r="G27" s="0" t="s">
        <v>33</v>
      </c>
      <c r="H27" s="0" t="n">
        <v>30</v>
      </c>
      <c r="I27" s="0" t="n">
        <v>3206.82</v>
      </c>
      <c r="J27" s="0" t="n">
        <f aca="false">I27/1000</f>
        <v>3.20682</v>
      </c>
      <c r="P27" s="0" t="s">
        <v>33</v>
      </c>
      <c r="Q27" s="0" t="n">
        <v>30</v>
      </c>
      <c r="R27" s="0" t="n">
        <v>267054</v>
      </c>
      <c r="S27" s="0" t="n">
        <f aca="false">R27/1000</f>
        <v>267.054</v>
      </c>
    </row>
    <row r="28" customFormat="false" ht="12.8" hidden="false" customHeight="false" outlineLevel="0" collapsed="false">
      <c r="A28" s="0" t="s">
        <v>33</v>
      </c>
      <c r="B28" s="0" t="n">
        <v>40</v>
      </c>
      <c r="C28" s="0" t="n">
        <v>256511</v>
      </c>
      <c r="D28" s="0" t="n">
        <f aca="false">C28/1000</f>
        <v>256.511</v>
      </c>
      <c r="E28" s="92" t="n">
        <f aca="false">D28/60</f>
        <v>4.27518333333333</v>
      </c>
      <c r="G28" s="0" t="s">
        <v>33</v>
      </c>
      <c r="H28" s="0" t="n">
        <v>40</v>
      </c>
      <c r="I28" s="0" t="n">
        <v>2879.6</v>
      </c>
      <c r="J28" s="0" t="n">
        <f aca="false">I28/1000</f>
        <v>2.8796</v>
      </c>
      <c r="P28" s="0" t="s">
        <v>33</v>
      </c>
      <c r="Q28" s="0" t="n">
        <v>40</v>
      </c>
      <c r="R28" s="0" t="n">
        <v>408125</v>
      </c>
      <c r="S28" s="0" t="n">
        <f aca="false">R28/1000</f>
        <v>408.125</v>
      </c>
    </row>
    <row r="29" customFormat="false" ht="12.8" hidden="false" customHeight="false" outlineLevel="0" collapsed="false">
      <c r="A29" s="0" t="s">
        <v>33</v>
      </c>
      <c r="B29" s="0" t="n">
        <v>50</v>
      </c>
      <c r="C29" s="0" t="n">
        <v>389931</v>
      </c>
      <c r="D29" s="0" t="n">
        <f aca="false">C29/1000</f>
        <v>389.931</v>
      </c>
      <c r="E29" s="92" t="n">
        <f aca="false">D29/60</f>
        <v>6.49885</v>
      </c>
      <c r="G29" s="0" t="s">
        <v>33</v>
      </c>
      <c r="H29" s="0" t="n">
        <v>50</v>
      </c>
      <c r="I29" s="0" t="n">
        <v>3792.14</v>
      </c>
      <c r="J29" s="0" t="n">
        <f aca="false">I29/1000</f>
        <v>3.79214</v>
      </c>
      <c r="P29" s="0" t="s">
        <v>33</v>
      </c>
      <c r="Q29" s="0" t="n">
        <v>50</v>
      </c>
      <c r="R29" s="0" t="n">
        <v>501556</v>
      </c>
      <c r="S29" s="0" t="n">
        <f aca="false">R29/1000</f>
        <v>501.556</v>
      </c>
    </row>
    <row r="30" customFormat="false" ht="12.8" hidden="false" customHeight="false" outlineLevel="0" collapsed="false">
      <c r="A30" s="0" t="s">
        <v>33</v>
      </c>
      <c r="B30" s="0" t="n">
        <v>64</v>
      </c>
      <c r="C30" s="0" t="n">
        <v>576930</v>
      </c>
      <c r="D30" s="0" t="n">
        <f aca="false">C30/1000</f>
        <v>576.93</v>
      </c>
      <c r="E30" s="92" t="n">
        <f aca="false">D30/60</f>
        <v>9.6155</v>
      </c>
      <c r="G30" s="0" t="s">
        <v>33</v>
      </c>
      <c r="H30" s="0" t="n">
        <v>64</v>
      </c>
      <c r="I30" s="0" t="n">
        <v>7945.31</v>
      </c>
      <c r="J30" s="0" t="n">
        <f aca="false">I30/1000</f>
        <v>7.94531</v>
      </c>
      <c r="P30" s="0" t="s">
        <v>33</v>
      </c>
      <c r="Q30" s="0" t="n">
        <v>64</v>
      </c>
      <c r="R30" s="0" t="n">
        <v>615631</v>
      </c>
      <c r="S30" s="0" t="n">
        <f aca="false">R30/1000</f>
        <v>615.631</v>
      </c>
    </row>
    <row r="31" customFormat="false" ht="12.8" hidden="false" customHeight="false" outlineLevel="0" collapsed="false">
      <c r="A31" s="0" t="s">
        <v>33</v>
      </c>
      <c r="B31" s="0" t="n">
        <v>82</v>
      </c>
      <c r="C31" s="0" t="n">
        <v>832337</v>
      </c>
      <c r="D31" s="0" t="n">
        <f aca="false">C31/1000</f>
        <v>832.337</v>
      </c>
      <c r="E31" s="92" t="n">
        <f aca="false">D31/60</f>
        <v>13.8722833333333</v>
      </c>
      <c r="G31" s="0" t="s">
        <v>33</v>
      </c>
      <c r="H31" s="0" t="n">
        <v>82</v>
      </c>
      <c r="I31" s="0" t="n">
        <v>9205.58</v>
      </c>
      <c r="J31" s="0" t="n">
        <f aca="false">I31/1000</f>
        <v>9.20558</v>
      </c>
      <c r="P31" s="0" t="s">
        <v>33</v>
      </c>
      <c r="Q31" s="0" t="n">
        <v>82</v>
      </c>
      <c r="R31" s="0" t="n">
        <v>972033</v>
      </c>
      <c r="S31" s="0" t="n">
        <f aca="false">R31/1000</f>
        <v>972.033</v>
      </c>
    </row>
    <row r="32" customFormat="false" ht="12.8" hidden="false" customHeight="false" outlineLevel="0" collapsed="false">
      <c r="A32" s="0" t="s">
        <v>33</v>
      </c>
      <c r="B32" s="0" t="n">
        <v>100</v>
      </c>
      <c r="C32" s="0" t="n">
        <v>1140690</v>
      </c>
      <c r="D32" s="0" t="n">
        <f aca="false">C32/1000</f>
        <v>1140.69</v>
      </c>
      <c r="E32" s="92" t="n">
        <f aca="false">D32/60</f>
        <v>19.0115</v>
      </c>
      <c r="G32" s="0" t="s">
        <v>33</v>
      </c>
      <c r="H32" s="0" t="n">
        <v>100</v>
      </c>
      <c r="I32" s="0" t="n">
        <v>8435.9</v>
      </c>
      <c r="J32" s="0" t="n">
        <f aca="false">I32/1000</f>
        <v>8.4359</v>
      </c>
      <c r="P32" s="0" t="s">
        <v>33</v>
      </c>
      <c r="Q32" s="0" t="n">
        <v>100</v>
      </c>
      <c r="R32" s="0" t="n">
        <v>1048050</v>
      </c>
      <c r="S32" s="0" t="n">
        <f aca="false">R32/1000</f>
        <v>1048.05</v>
      </c>
    </row>
    <row r="33" customFormat="false" ht="12.8" hidden="false" customHeight="false" outlineLevel="0" collapsed="false">
      <c r="A33" s="0" t="s">
        <v>34</v>
      </c>
      <c r="B33" s="0" t="n">
        <v>5</v>
      </c>
      <c r="C33" s="0" t="n">
        <v>17640.7</v>
      </c>
      <c r="D33" s="0" t="n">
        <f aca="false">C33/1000</f>
        <v>17.6407</v>
      </c>
      <c r="E33" s="92" t="n">
        <f aca="false">D33/60</f>
        <v>0.294011666666667</v>
      </c>
      <c r="G33" s="0" t="s">
        <v>34</v>
      </c>
      <c r="H33" s="0" t="n">
        <v>5</v>
      </c>
      <c r="I33" s="0" t="n">
        <v>5357.61</v>
      </c>
      <c r="J33" s="0" t="n">
        <f aca="false">I33/1000</f>
        <v>5.35761</v>
      </c>
      <c r="P33" s="0" t="s">
        <v>34</v>
      </c>
      <c r="Q33" s="0" t="n">
        <v>5</v>
      </c>
      <c r="R33" s="0" t="n">
        <v>255805</v>
      </c>
      <c r="S33" s="0" t="n">
        <f aca="false">R33/1000</f>
        <v>255.805</v>
      </c>
    </row>
    <row r="34" customFormat="false" ht="12.8" hidden="false" customHeight="false" outlineLevel="0" collapsed="false">
      <c r="A34" s="0" t="s">
        <v>34</v>
      </c>
      <c r="B34" s="0" t="n">
        <v>10</v>
      </c>
      <c r="C34" s="0" t="n">
        <v>57843.1</v>
      </c>
      <c r="D34" s="0" t="n">
        <f aca="false">C34/1000</f>
        <v>57.8431</v>
      </c>
      <c r="E34" s="92" t="n">
        <f aca="false">D34/60</f>
        <v>0.964051666666667</v>
      </c>
      <c r="G34" s="0" t="s">
        <v>34</v>
      </c>
      <c r="H34" s="0" t="n">
        <v>10</v>
      </c>
      <c r="I34" s="0" t="n">
        <v>7095.3</v>
      </c>
      <c r="J34" s="0" t="n">
        <f aca="false">I34/1000</f>
        <v>7.0953</v>
      </c>
      <c r="P34" s="0" t="s">
        <v>34</v>
      </c>
      <c r="Q34" s="0" t="n">
        <v>10</v>
      </c>
      <c r="R34" s="0" t="n">
        <v>359512</v>
      </c>
      <c r="S34" s="0" t="n">
        <f aca="false">R34/1000</f>
        <v>359.512</v>
      </c>
    </row>
    <row r="35" customFormat="false" ht="12.8" hidden="false" customHeight="false" outlineLevel="0" collapsed="false">
      <c r="A35" s="0" t="s">
        <v>34</v>
      </c>
      <c r="B35" s="0" t="n">
        <v>15</v>
      </c>
      <c r="C35" s="0" t="n">
        <v>11835.2</v>
      </c>
      <c r="D35" s="0" t="n">
        <f aca="false">C35/1000</f>
        <v>11.8352</v>
      </c>
      <c r="E35" s="92" t="n">
        <f aca="false">D35/60</f>
        <v>0.197253333333333</v>
      </c>
      <c r="G35" s="0" t="s">
        <v>34</v>
      </c>
      <c r="H35" s="0" t="n">
        <v>15</v>
      </c>
      <c r="I35" s="0" t="n">
        <v>8474.48</v>
      </c>
      <c r="J35" s="0" t="n">
        <f aca="false">I35/1000</f>
        <v>8.47448</v>
      </c>
      <c r="P35" s="0" t="s">
        <v>34</v>
      </c>
      <c r="Q35" s="0" t="n">
        <v>15</v>
      </c>
      <c r="R35" s="0" t="n">
        <v>374690</v>
      </c>
      <c r="S35" s="0" t="n">
        <f aca="false">R35/1000</f>
        <v>374.69</v>
      </c>
    </row>
    <row r="36" customFormat="false" ht="12.8" hidden="false" customHeight="false" outlineLevel="0" collapsed="false">
      <c r="A36" s="0" t="s">
        <v>34</v>
      </c>
      <c r="B36" s="0" t="n">
        <v>20</v>
      </c>
      <c r="C36" s="0" t="n">
        <v>87632.4</v>
      </c>
      <c r="D36" s="0" t="n">
        <f aca="false">C36/1000</f>
        <v>87.6324</v>
      </c>
      <c r="E36" s="92" t="n">
        <f aca="false">D36/60</f>
        <v>1.46054</v>
      </c>
      <c r="G36" s="0" t="s">
        <v>34</v>
      </c>
      <c r="H36" s="0" t="n">
        <v>20</v>
      </c>
      <c r="I36" s="0" t="n">
        <v>8666.85</v>
      </c>
      <c r="J36" s="0" t="n">
        <f aca="false">I36/1000</f>
        <v>8.66685</v>
      </c>
      <c r="P36" s="0" t="s">
        <v>34</v>
      </c>
      <c r="Q36" s="0" t="n">
        <v>20</v>
      </c>
      <c r="R36" s="0" t="n">
        <v>394563</v>
      </c>
      <c r="S36" s="0" t="n">
        <f aca="false">R36/1000</f>
        <v>394.563</v>
      </c>
    </row>
    <row r="37" customFormat="false" ht="12.8" hidden="false" customHeight="false" outlineLevel="0" collapsed="false">
      <c r="A37" s="0" t="s">
        <v>34</v>
      </c>
      <c r="B37" s="0" t="n">
        <v>30</v>
      </c>
      <c r="C37" s="0" t="n">
        <v>189625</v>
      </c>
      <c r="D37" s="0" t="n">
        <f aca="false">C37/1000</f>
        <v>189.625</v>
      </c>
      <c r="E37" s="92" t="n">
        <f aca="false">D37/60</f>
        <v>3.16041666666667</v>
      </c>
      <c r="G37" s="0" t="s">
        <v>34</v>
      </c>
      <c r="H37" s="0" t="n">
        <v>30</v>
      </c>
      <c r="I37" s="0" t="n">
        <v>9220.98</v>
      </c>
      <c r="J37" s="0" t="n">
        <f aca="false">I37/1000</f>
        <v>9.22098</v>
      </c>
      <c r="P37" s="0" t="s">
        <v>34</v>
      </c>
      <c r="Q37" s="0" t="n">
        <v>30</v>
      </c>
      <c r="R37" s="0" t="n">
        <v>594173</v>
      </c>
      <c r="S37" s="0" t="n">
        <f aca="false">R37/1000</f>
        <v>594.173</v>
      </c>
    </row>
    <row r="38" customFormat="false" ht="12.8" hidden="false" customHeight="false" outlineLevel="0" collapsed="false">
      <c r="A38" s="0" t="s">
        <v>34</v>
      </c>
      <c r="B38" s="0" t="n">
        <v>40</v>
      </c>
      <c r="C38" s="0" t="n">
        <v>353857</v>
      </c>
      <c r="D38" s="0" t="n">
        <f aca="false">C38/1000</f>
        <v>353.857</v>
      </c>
      <c r="E38" s="92" t="n">
        <f aca="false">D38/60</f>
        <v>5.89761666666667</v>
      </c>
      <c r="G38" s="0" t="s">
        <v>34</v>
      </c>
      <c r="H38" s="0" t="n">
        <v>40</v>
      </c>
      <c r="I38" s="0" t="n">
        <v>11173.7</v>
      </c>
      <c r="J38" s="0" t="n">
        <f aca="false">I38/1000</f>
        <v>11.1737</v>
      </c>
      <c r="P38" s="0" t="s">
        <v>34</v>
      </c>
      <c r="Q38" s="0" t="n">
        <v>40</v>
      </c>
      <c r="R38" s="0" t="n">
        <v>646963</v>
      </c>
      <c r="S38" s="0" t="n">
        <f aca="false">R38/1000</f>
        <v>646.963</v>
      </c>
    </row>
    <row r="39" customFormat="false" ht="12.8" hidden="false" customHeight="false" outlineLevel="0" collapsed="false">
      <c r="A39" s="0" t="s">
        <v>34</v>
      </c>
      <c r="B39" s="0" t="n">
        <v>50</v>
      </c>
      <c r="C39" s="0" t="n">
        <v>473099</v>
      </c>
      <c r="D39" s="0" t="n">
        <f aca="false">C39/1000</f>
        <v>473.099</v>
      </c>
      <c r="E39" s="92" t="n">
        <f aca="false">D39/60</f>
        <v>7.88498333333333</v>
      </c>
      <c r="G39" s="0" t="s">
        <v>34</v>
      </c>
      <c r="H39" s="0" t="n">
        <v>50</v>
      </c>
      <c r="I39" s="0" t="n">
        <v>10566.6</v>
      </c>
      <c r="J39" s="0" t="n">
        <f aca="false">I39/1000</f>
        <v>10.5666</v>
      </c>
      <c r="P39" s="0" t="s">
        <v>34</v>
      </c>
      <c r="Q39" s="0" t="n">
        <v>50</v>
      </c>
      <c r="R39" s="0" t="n">
        <v>731461</v>
      </c>
      <c r="S39" s="0" t="n">
        <f aca="false">R39/1000</f>
        <v>731.461</v>
      </c>
    </row>
    <row r="40" customFormat="false" ht="12.8" hidden="false" customHeight="false" outlineLevel="0" collapsed="false">
      <c r="A40" s="0" t="s">
        <v>34</v>
      </c>
      <c r="B40" s="0" t="n">
        <v>64</v>
      </c>
      <c r="C40" s="0" t="n">
        <v>732588</v>
      </c>
      <c r="D40" s="0" t="n">
        <f aca="false">C40/1000</f>
        <v>732.588</v>
      </c>
      <c r="E40" s="92" t="n">
        <f aca="false">D40/60</f>
        <v>12.2098</v>
      </c>
      <c r="G40" s="0" t="s">
        <v>34</v>
      </c>
      <c r="H40" s="0" t="n">
        <v>64</v>
      </c>
      <c r="I40" s="0" t="n">
        <v>13192.5</v>
      </c>
      <c r="J40" s="0" t="n">
        <f aca="false">I40/1000</f>
        <v>13.1925</v>
      </c>
      <c r="P40" s="0" t="s">
        <v>34</v>
      </c>
      <c r="Q40" s="0" t="n">
        <v>64</v>
      </c>
      <c r="R40" s="0" t="n">
        <v>825960</v>
      </c>
      <c r="S40" s="0" t="n">
        <f aca="false">R40/1000</f>
        <v>825.96</v>
      </c>
    </row>
    <row r="41" customFormat="false" ht="12.8" hidden="false" customHeight="false" outlineLevel="0" collapsed="false">
      <c r="A41" s="0" t="s">
        <v>34</v>
      </c>
      <c r="B41" s="0" t="n">
        <v>82</v>
      </c>
      <c r="C41" s="0" t="n">
        <v>1249120</v>
      </c>
      <c r="D41" s="0" t="n">
        <f aca="false">C41/1000</f>
        <v>1249.12</v>
      </c>
      <c r="E41" s="92" t="n">
        <f aca="false">D41/60</f>
        <v>20.8186666666667</v>
      </c>
      <c r="G41" s="0" t="s">
        <v>34</v>
      </c>
      <c r="H41" s="0" t="n">
        <v>82</v>
      </c>
      <c r="I41" s="0" t="n">
        <v>16662.4</v>
      </c>
      <c r="J41" s="0" t="n">
        <f aca="false">I41/1000</f>
        <v>16.6624</v>
      </c>
      <c r="P41" s="0" t="s">
        <v>34</v>
      </c>
      <c r="Q41" s="0" t="n">
        <v>82</v>
      </c>
      <c r="R41" s="0" t="n">
        <v>966852</v>
      </c>
      <c r="S41" s="0" t="n">
        <f aca="false">R41/1000</f>
        <v>966.852</v>
      </c>
    </row>
    <row r="42" customFormat="false" ht="12.8" hidden="false" customHeight="false" outlineLevel="0" collapsed="false">
      <c r="A42" s="0" t="s">
        <v>34</v>
      </c>
      <c r="B42" s="0" t="n">
        <v>100</v>
      </c>
      <c r="C42" s="0" t="n">
        <v>1720160</v>
      </c>
      <c r="D42" s="0" t="n">
        <f aca="false">C42/1000</f>
        <v>1720.16</v>
      </c>
      <c r="E42" s="92" t="n">
        <f aca="false">D42/60</f>
        <v>28.6693333333333</v>
      </c>
      <c r="G42" s="0" t="s">
        <v>34</v>
      </c>
      <c r="H42" s="0" t="n">
        <v>100</v>
      </c>
      <c r="I42" s="0" t="n">
        <v>15513</v>
      </c>
      <c r="J42" s="0" t="n">
        <f aca="false">I42/1000</f>
        <v>15.513</v>
      </c>
      <c r="P42" s="0" t="s">
        <v>34</v>
      </c>
      <c r="Q42" s="0" t="n">
        <v>100</v>
      </c>
      <c r="R42" s="0" t="n">
        <v>999969</v>
      </c>
      <c r="S42" s="0" t="n">
        <f aca="false">R42/1000</f>
        <v>999.969</v>
      </c>
    </row>
    <row r="43" customFormat="false" ht="12.8" hidden="false" customHeight="false" outlineLevel="0" collapsed="false">
      <c r="A43" s="0" t="s">
        <v>36</v>
      </c>
      <c r="B43" s="0" t="n">
        <v>5</v>
      </c>
      <c r="C43" s="0" t="n">
        <v>32540.1</v>
      </c>
      <c r="D43" s="0" t="n">
        <f aca="false">C43/1000</f>
        <v>32.5401</v>
      </c>
      <c r="E43" s="92" t="n">
        <f aca="false">D43/60</f>
        <v>0.542335</v>
      </c>
      <c r="G43" s="0" t="s">
        <v>36</v>
      </c>
      <c r="H43" s="0" t="n">
        <v>5</v>
      </c>
      <c r="I43" s="0" t="n">
        <v>5711.52</v>
      </c>
      <c r="J43" s="0" t="n">
        <f aca="false">I43/1000</f>
        <v>5.71152</v>
      </c>
      <c r="P43" s="0" t="s">
        <v>36</v>
      </c>
      <c r="Q43" s="0" t="n">
        <v>5</v>
      </c>
      <c r="R43" s="0" t="n">
        <v>373619</v>
      </c>
      <c r="S43" s="0" t="n">
        <f aca="false">R43/1000</f>
        <v>373.619</v>
      </c>
    </row>
    <row r="44" customFormat="false" ht="12.8" hidden="false" customHeight="false" outlineLevel="0" collapsed="false">
      <c r="A44" s="0" t="s">
        <v>36</v>
      </c>
      <c r="B44" s="0" t="n">
        <v>10</v>
      </c>
      <c r="C44" s="0" t="n">
        <v>70009.4</v>
      </c>
      <c r="D44" s="0" t="n">
        <f aca="false">C44/1000</f>
        <v>70.0094</v>
      </c>
      <c r="E44" s="92" t="n">
        <f aca="false">D44/60</f>
        <v>1.16682333333333</v>
      </c>
      <c r="G44" s="0" t="s">
        <v>36</v>
      </c>
      <c r="H44" s="0" t="n">
        <v>10</v>
      </c>
      <c r="I44" s="0" t="n">
        <v>7362.28</v>
      </c>
      <c r="J44" s="0" t="n">
        <f aca="false">I44/1000</f>
        <v>7.36228</v>
      </c>
      <c r="P44" s="0" t="s">
        <v>36</v>
      </c>
      <c r="Q44" s="0" t="n">
        <v>10</v>
      </c>
      <c r="R44" s="0" t="n">
        <v>510621</v>
      </c>
      <c r="S44" s="0" t="n">
        <f aca="false">R44/1000</f>
        <v>510.621</v>
      </c>
    </row>
    <row r="45" customFormat="false" ht="12.8" hidden="false" customHeight="false" outlineLevel="0" collapsed="false">
      <c r="A45" s="0" t="s">
        <v>36</v>
      </c>
      <c r="B45" s="0" t="n">
        <v>15</v>
      </c>
      <c r="C45" s="0" t="n">
        <v>118103</v>
      </c>
      <c r="D45" s="0" t="n">
        <f aca="false">C45/1000</f>
        <v>118.103</v>
      </c>
      <c r="E45" s="92" t="n">
        <f aca="false">D45/60</f>
        <v>1.96838333333333</v>
      </c>
      <c r="G45" s="0" t="s">
        <v>36</v>
      </c>
      <c r="H45" s="0" t="n">
        <v>15</v>
      </c>
      <c r="I45" s="0" t="n">
        <v>8774.45</v>
      </c>
      <c r="J45" s="0" t="n">
        <f aca="false">I45/1000</f>
        <v>8.77445</v>
      </c>
      <c r="P45" s="0" t="s">
        <v>36</v>
      </c>
      <c r="Q45" s="0" t="n">
        <v>15</v>
      </c>
      <c r="R45" s="0" t="n">
        <v>548318</v>
      </c>
      <c r="S45" s="0" t="n">
        <f aca="false">R45/1000</f>
        <v>548.318</v>
      </c>
    </row>
    <row r="46" customFormat="false" ht="12.8" hidden="false" customHeight="false" outlineLevel="0" collapsed="false">
      <c r="A46" s="0" t="s">
        <v>36</v>
      </c>
      <c r="B46" s="0" t="n">
        <v>20</v>
      </c>
      <c r="C46" s="0" t="n">
        <v>156990</v>
      </c>
      <c r="D46" s="0" t="n">
        <f aca="false">C46/1000</f>
        <v>156.99</v>
      </c>
      <c r="E46" s="92" t="n">
        <f aca="false">D46/60</f>
        <v>2.6165</v>
      </c>
      <c r="G46" s="0" t="s">
        <v>36</v>
      </c>
      <c r="H46" s="0" t="n">
        <v>20</v>
      </c>
      <c r="I46" s="0" t="n">
        <v>9443.09</v>
      </c>
      <c r="J46" s="0" t="n">
        <f aca="false">I46/1000</f>
        <v>9.44309</v>
      </c>
      <c r="P46" s="0" t="s">
        <v>36</v>
      </c>
      <c r="Q46" s="0" t="n">
        <v>20</v>
      </c>
      <c r="R46" s="0" t="n">
        <v>632196</v>
      </c>
      <c r="S46" s="0" t="n">
        <f aca="false">R46/1000</f>
        <v>632.196</v>
      </c>
    </row>
    <row r="47" customFormat="false" ht="12.8" hidden="false" customHeight="false" outlineLevel="0" collapsed="false">
      <c r="A47" s="0" t="s">
        <v>36</v>
      </c>
      <c r="B47" s="0" t="n">
        <v>30</v>
      </c>
      <c r="C47" s="0" t="n">
        <v>267161</v>
      </c>
      <c r="D47" s="0" t="n">
        <f aca="false">C47/1000</f>
        <v>267.161</v>
      </c>
      <c r="E47" s="92" t="n">
        <f aca="false">D47/60</f>
        <v>4.45268333333333</v>
      </c>
      <c r="G47" s="0" t="s">
        <v>36</v>
      </c>
      <c r="H47" s="0" t="n">
        <v>30</v>
      </c>
      <c r="I47" s="0" t="n">
        <v>9976.51</v>
      </c>
      <c r="J47" s="0" t="n">
        <f aca="false">I47/1000</f>
        <v>9.97651</v>
      </c>
      <c r="P47" s="0" t="s">
        <v>36</v>
      </c>
      <c r="Q47" s="0" t="n">
        <v>30</v>
      </c>
      <c r="R47" s="0" t="n">
        <v>890404</v>
      </c>
      <c r="S47" s="0" t="n">
        <f aca="false">R47/1000</f>
        <v>890.404</v>
      </c>
    </row>
    <row r="48" customFormat="false" ht="12.8" hidden="false" customHeight="false" outlineLevel="0" collapsed="false">
      <c r="A48" s="0" t="s">
        <v>36</v>
      </c>
      <c r="B48" s="0" t="n">
        <v>40</v>
      </c>
      <c r="C48" s="0" t="n">
        <v>377659</v>
      </c>
      <c r="D48" s="0" t="n">
        <f aca="false">C48/1000</f>
        <v>377.659</v>
      </c>
      <c r="E48" s="92" t="n">
        <f aca="false">D48/60</f>
        <v>6.29431666666667</v>
      </c>
      <c r="G48" s="0" t="s">
        <v>36</v>
      </c>
      <c r="H48" s="0" t="n">
        <v>40</v>
      </c>
      <c r="I48" s="0" t="n">
        <v>11485.4</v>
      </c>
      <c r="J48" s="0" t="n">
        <f aca="false">I48/1000</f>
        <v>11.4854</v>
      </c>
      <c r="P48" s="0" t="s">
        <v>36</v>
      </c>
      <c r="Q48" s="0" t="n">
        <v>40</v>
      </c>
      <c r="R48" s="0" t="n">
        <v>909231</v>
      </c>
      <c r="S48" s="0" t="n">
        <f aca="false">R48/1000</f>
        <v>909.231</v>
      </c>
    </row>
    <row r="49" customFormat="false" ht="12.8" hidden="false" customHeight="false" outlineLevel="0" collapsed="false">
      <c r="A49" s="0" t="s">
        <v>36</v>
      </c>
      <c r="B49" s="0" t="n">
        <v>50</v>
      </c>
      <c r="C49" s="0" t="n">
        <v>751399</v>
      </c>
      <c r="D49" s="0" t="n">
        <f aca="false">C49/1000</f>
        <v>751.399</v>
      </c>
      <c r="E49" s="92" t="n">
        <f aca="false">D49/60</f>
        <v>12.5233166666667</v>
      </c>
      <c r="G49" s="0" t="s">
        <v>36</v>
      </c>
      <c r="H49" s="0" t="n">
        <v>50</v>
      </c>
      <c r="I49" s="0" t="n">
        <v>10424.2</v>
      </c>
      <c r="J49" s="0" t="n">
        <f aca="false">I49/1000</f>
        <v>10.4242</v>
      </c>
      <c r="P49" s="0" t="s">
        <v>36</v>
      </c>
      <c r="Q49" s="0" t="n">
        <v>50</v>
      </c>
      <c r="R49" s="0" t="n">
        <v>951234</v>
      </c>
      <c r="S49" s="0" t="n">
        <f aca="false">R49/1000</f>
        <v>951.234</v>
      </c>
    </row>
    <row r="50" customFormat="false" ht="12.8" hidden="false" customHeight="false" outlineLevel="0" collapsed="false">
      <c r="A50" s="0" t="s">
        <v>36</v>
      </c>
      <c r="B50" s="0" t="n">
        <v>64</v>
      </c>
      <c r="C50" s="0" t="n">
        <v>452165</v>
      </c>
      <c r="D50" s="0" t="n">
        <f aca="false">C50/1000</f>
        <v>452.165</v>
      </c>
      <c r="E50" s="92" t="n">
        <f aca="false">D50/60</f>
        <v>7.53608333333333</v>
      </c>
      <c r="G50" s="0" t="s">
        <v>36</v>
      </c>
      <c r="H50" s="0" t="n">
        <v>64</v>
      </c>
      <c r="I50" s="0" t="n">
        <v>12989.8</v>
      </c>
      <c r="J50" s="0" t="n">
        <f aca="false">I50/1000</f>
        <v>12.9898</v>
      </c>
      <c r="P50" s="0" t="s">
        <v>36</v>
      </c>
      <c r="Q50" s="0" t="n">
        <v>64</v>
      </c>
      <c r="R50" s="0" t="n">
        <v>980992</v>
      </c>
      <c r="S50" s="0" t="n">
        <f aca="false">R50/1000</f>
        <v>980.992</v>
      </c>
    </row>
    <row r="51" customFormat="false" ht="12.8" hidden="false" customHeight="false" outlineLevel="0" collapsed="false">
      <c r="A51" s="0" t="s">
        <v>36</v>
      </c>
      <c r="B51" s="0" t="n">
        <v>82</v>
      </c>
      <c r="C51" s="0" t="n">
        <v>1238430</v>
      </c>
      <c r="D51" s="0" t="n">
        <f aca="false">C51/1000</f>
        <v>1238.43</v>
      </c>
      <c r="E51" s="92" t="n">
        <f aca="false">D51/60</f>
        <v>20.6405</v>
      </c>
      <c r="G51" s="0" t="s">
        <v>36</v>
      </c>
      <c r="H51" s="0" t="n">
        <v>82</v>
      </c>
      <c r="I51" s="0" t="n">
        <v>11888.8</v>
      </c>
      <c r="J51" s="0" t="n">
        <f aca="false">I51/1000</f>
        <v>11.8888</v>
      </c>
      <c r="P51" s="0" t="s">
        <v>36</v>
      </c>
      <c r="Q51" s="0" t="n">
        <v>82</v>
      </c>
      <c r="R51" s="0" t="n">
        <v>1245420</v>
      </c>
      <c r="S51" s="0" t="n">
        <f aca="false">R51/1000</f>
        <v>1245.42</v>
      </c>
    </row>
    <row r="52" customFormat="false" ht="12.8" hidden="false" customHeight="false" outlineLevel="0" collapsed="false">
      <c r="A52" s="0" t="s">
        <v>36</v>
      </c>
      <c r="B52" s="0" t="n">
        <v>100</v>
      </c>
      <c r="C52" s="0" t="n">
        <v>1926090</v>
      </c>
      <c r="D52" s="0" t="n">
        <f aca="false">C52/1000</f>
        <v>1926.09</v>
      </c>
      <c r="E52" s="92" t="n">
        <f aca="false">D52/60</f>
        <v>32.1015</v>
      </c>
      <c r="G52" s="0" t="s">
        <v>36</v>
      </c>
      <c r="H52" s="0" t="n">
        <v>100</v>
      </c>
      <c r="I52" s="0" t="n">
        <v>16124.9</v>
      </c>
      <c r="J52" s="0" t="n">
        <f aca="false">I52/1000</f>
        <v>16.1249</v>
      </c>
      <c r="P52" s="0" t="s">
        <v>36</v>
      </c>
      <c r="Q52" s="0" t="n">
        <v>100</v>
      </c>
      <c r="R52" s="0" t="n">
        <v>1274280</v>
      </c>
      <c r="S52" s="0" t="n">
        <f aca="false">R52/1000</f>
        <v>1274.28</v>
      </c>
    </row>
    <row r="53" customFormat="false" ht="12.8" hidden="false" customHeight="false" outlineLevel="0" collapsed="false">
      <c r="A53" s="0" t="s">
        <v>37</v>
      </c>
      <c r="B53" s="0" t="n">
        <v>5</v>
      </c>
      <c r="C53" s="0" t="n">
        <v>27556.2</v>
      </c>
      <c r="D53" s="0" t="n">
        <f aca="false">C53/1000</f>
        <v>27.5562</v>
      </c>
      <c r="E53" s="92" t="n">
        <f aca="false">D53/60</f>
        <v>0.45927</v>
      </c>
      <c r="G53" s="0" t="s">
        <v>37</v>
      </c>
      <c r="H53" s="0" t="n">
        <v>5</v>
      </c>
      <c r="I53" s="0" t="n">
        <v>5535.58</v>
      </c>
      <c r="J53" s="0" t="n">
        <f aca="false">I53/1000</f>
        <v>5.53558</v>
      </c>
      <c r="P53" s="0" t="s">
        <v>37</v>
      </c>
      <c r="Q53" s="0" t="n">
        <v>5</v>
      </c>
      <c r="R53" s="0" t="n">
        <v>119785</v>
      </c>
      <c r="S53" s="0" t="n">
        <f aca="false">R53/1000</f>
        <v>119.785</v>
      </c>
    </row>
    <row r="54" customFormat="false" ht="12.8" hidden="false" customHeight="false" outlineLevel="0" collapsed="false">
      <c r="A54" s="0" t="s">
        <v>37</v>
      </c>
      <c r="B54" s="0" t="n">
        <v>10</v>
      </c>
      <c r="C54" s="0" t="n">
        <v>45403.7</v>
      </c>
      <c r="D54" s="0" t="n">
        <f aca="false">C54/1000</f>
        <v>45.4037</v>
      </c>
      <c r="E54" s="92" t="n">
        <f aca="false">D54/60</f>
        <v>0.756728333333333</v>
      </c>
      <c r="G54" s="0" t="s">
        <v>37</v>
      </c>
      <c r="H54" s="0" t="n">
        <v>10</v>
      </c>
      <c r="I54" s="0" t="n">
        <v>7805.33</v>
      </c>
      <c r="J54" s="0" t="n">
        <f aca="false">I54/1000</f>
        <v>7.80533</v>
      </c>
      <c r="P54" s="0" t="s">
        <v>37</v>
      </c>
      <c r="Q54" s="0" t="n">
        <v>10</v>
      </c>
      <c r="R54" s="0" t="n">
        <v>221408</v>
      </c>
      <c r="S54" s="0" t="n">
        <f aca="false">R54/1000</f>
        <v>221.408</v>
      </c>
    </row>
    <row r="55" customFormat="false" ht="12.8" hidden="false" customHeight="false" outlineLevel="0" collapsed="false">
      <c r="A55" s="0" t="s">
        <v>37</v>
      </c>
      <c r="B55" s="0" t="n">
        <v>15</v>
      </c>
      <c r="C55" s="0" t="n">
        <v>65231.1</v>
      </c>
      <c r="D55" s="0" t="n">
        <f aca="false">C55/1000</f>
        <v>65.2311</v>
      </c>
      <c r="E55" s="92" t="n">
        <f aca="false">D55/60</f>
        <v>1.087185</v>
      </c>
      <c r="G55" s="0" t="s">
        <v>37</v>
      </c>
      <c r="H55" s="0" t="n">
        <v>15</v>
      </c>
      <c r="I55" s="0" t="n">
        <v>8497.22</v>
      </c>
      <c r="J55" s="0" t="n">
        <f aca="false">I55/1000</f>
        <v>8.49722</v>
      </c>
      <c r="P55" s="0" t="s">
        <v>37</v>
      </c>
      <c r="Q55" s="0" t="n">
        <v>15</v>
      </c>
      <c r="R55" s="0" t="n">
        <v>289080</v>
      </c>
      <c r="S55" s="0" t="n">
        <f aca="false">R55/1000</f>
        <v>289.08</v>
      </c>
    </row>
    <row r="56" customFormat="false" ht="12.8" hidden="false" customHeight="false" outlineLevel="0" collapsed="false">
      <c r="A56" s="0" t="s">
        <v>37</v>
      </c>
      <c r="B56" s="0" t="n">
        <v>20</v>
      </c>
      <c r="C56" s="0" t="n">
        <v>110999</v>
      </c>
      <c r="D56" s="0" t="n">
        <f aca="false">C56/1000</f>
        <v>110.999</v>
      </c>
      <c r="E56" s="92" t="n">
        <f aca="false">D56/60</f>
        <v>1.84998333333333</v>
      </c>
      <c r="G56" s="0" t="s">
        <v>37</v>
      </c>
      <c r="H56" s="0" t="n">
        <v>20</v>
      </c>
      <c r="I56" s="0" t="n">
        <v>9380.08</v>
      </c>
      <c r="J56" s="0" t="n">
        <f aca="false">I56/1000</f>
        <v>9.38008</v>
      </c>
      <c r="P56" s="0" t="s">
        <v>37</v>
      </c>
      <c r="Q56" s="0" t="n">
        <v>20</v>
      </c>
      <c r="R56" s="0" t="n">
        <v>290034</v>
      </c>
      <c r="S56" s="0" t="n">
        <f aca="false">R56/1000</f>
        <v>290.034</v>
      </c>
    </row>
    <row r="57" customFormat="false" ht="12.8" hidden="false" customHeight="false" outlineLevel="0" collapsed="false">
      <c r="A57" s="0" t="s">
        <v>37</v>
      </c>
      <c r="B57" s="0" t="n">
        <v>30</v>
      </c>
      <c r="C57" s="0" t="n">
        <v>189975</v>
      </c>
      <c r="D57" s="0" t="n">
        <f aca="false">C57/1000</f>
        <v>189.975</v>
      </c>
      <c r="E57" s="92" t="n">
        <f aca="false">D57/60</f>
        <v>3.16625</v>
      </c>
      <c r="G57" s="0" t="s">
        <v>37</v>
      </c>
      <c r="H57" s="0" t="n">
        <v>30</v>
      </c>
      <c r="I57" s="0" t="n">
        <v>10351.9</v>
      </c>
      <c r="J57" s="0" t="n">
        <f aca="false">I57/1000</f>
        <v>10.3519</v>
      </c>
      <c r="P57" s="0" t="s">
        <v>37</v>
      </c>
      <c r="Q57" s="0" t="n">
        <v>30</v>
      </c>
      <c r="R57" s="0" t="n">
        <v>365629</v>
      </c>
      <c r="S57" s="0" t="n">
        <f aca="false">R57/1000</f>
        <v>365.629</v>
      </c>
    </row>
    <row r="58" customFormat="false" ht="12.8" hidden="false" customHeight="false" outlineLevel="0" collapsed="false">
      <c r="A58" s="0" t="s">
        <v>37</v>
      </c>
      <c r="B58" s="0" t="n">
        <v>40</v>
      </c>
      <c r="C58" s="0" t="n">
        <v>343301</v>
      </c>
      <c r="D58" s="0" t="n">
        <f aca="false">C58/1000</f>
        <v>343.301</v>
      </c>
      <c r="E58" s="92" t="n">
        <f aca="false">D58/60</f>
        <v>5.72168333333333</v>
      </c>
      <c r="G58" s="0" t="s">
        <v>37</v>
      </c>
      <c r="H58" s="0" t="n">
        <v>40</v>
      </c>
      <c r="I58" s="0" t="n">
        <v>16278.2</v>
      </c>
      <c r="J58" s="0" t="n">
        <f aca="false">I58/1000</f>
        <v>16.2782</v>
      </c>
      <c r="P58" s="0" t="s">
        <v>37</v>
      </c>
      <c r="Q58" s="0" t="n">
        <v>40</v>
      </c>
      <c r="R58" s="0" t="n">
        <v>475456</v>
      </c>
      <c r="S58" s="0" t="n">
        <f aca="false">R58/1000</f>
        <v>475.456</v>
      </c>
    </row>
    <row r="59" customFormat="false" ht="12.8" hidden="false" customHeight="false" outlineLevel="0" collapsed="false">
      <c r="A59" s="0" t="s">
        <v>37</v>
      </c>
      <c r="B59" s="0" t="n">
        <v>50</v>
      </c>
      <c r="C59" s="0" t="n">
        <v>459570</v>
      </c>
      <c r="D59" s="0" t="n">
        <f aca="false">C59/1000</f>
        <v>459.57</v>
      </c>
      <c r="E59" s="92" t="n">
        <f aca="false">D59/60</f>
        <v>7.6595</v>
      </c>
      <c r="G59" s="0" t="s">
        <v>37</v>
      </c>
      <c r="H59" s="0" t="n">
        <v>50</v>
      </c>
      <c r="I59" s="0" t="n">
        <v>11211.3</v>
      </c>
      <c r="J59" s="0" t="n">
        <f aca="false">I59/1000</f>
        <v>11.2113</v>
      </c>
      <c r="P59" s="0" t="s">
        <v>37</v>
      </c>
      <c r="Q59" s="0" t="n">
        <v>50</v>
      </c>
      <c r="R59" s="0" t="n">
        <v>550606</v>
      </c>
      <c r="S59" s="0" t="n">
        <f aca="false">R59/1000</f>
        <v>550.606</v>
      </c>
    </row>
    <row r="60" customFormat="false" ht="12.8" hidden="false" customHeight="false" outlineLevel="0" collapsed="false">
      <c r="A60" s="0" t="s">
        <v>37</v>
      </c>
      <c r="B60" s="0" t="n">
        <v>64</v>
      </c>
      <c r="C60" s="0" t="n">
        <v>570512</v>
      </c>
      <c r="D60" s="0" t="n">
        <f aca="false">C60/1000</f>
        <v>570.512</v>
      </c>
      <c r="E60" s="92" t="n">
        <f aca="false">D60/60</f>
        <v>9.50853333333333</v>
      </c>
      <c r="G60" s="0" t="s">
        <v>37</v>
      </c>
      <c r="H60" s="0" t="n">
        <v>64</v>
      </c>
      <c r="I60" s="0" t="n">
        <v>19882.3</v>
      </c>
      <c r="J60" s="0" t="n">
        <f aca="false">I60/1000</f>
        <v>19.8823</v>
      </c>
      <c r="P60" s="0" t="s">
        <v>37</v>
      </c>
      <c r="Q60" s="0" t="n">
        <v>64</v>
      </c>
      <c r="R60" s="0" t="n">
        <v>591595</v>
      </c>
      <c r="S60" s="0" t="n">
        <f aca="false">R60/1000</f>
        <v>591.595</v>
      </c>
    </row>
    <row r="61" customFormat="false" ht="12.8" hidden="false" customHeight="false" outlineLevel="0" collapsed="false">
      <c r="A61" s="0" t="s">
        <v>37</v>
      </c>
      <c r="B61" s="0" t="n">
        <v>82</v>
      </c>
      <c r="C61" s="0" t="n">
        <v>1048360</v>
      </c>
      <c r="D61" s="0" t="n">
        <f aca="false">C61/1000</f>
        <v>1048.36</v>
      </c>
      <c r="E61" s="92" t="n">
        <f aca="false">D61/60</f>
        <v>17.4726666666667</v>
      </c>
      <c r="G61" s="0" t="s">
        <v>37</v>
      </c>
      <c r="H61" s="0" t="n">
        <v>82</v>
      </c>
      <c r="I61" s="0" t="n">
        <v>24725.8</v>
      </c>
      <c r="J61" s="0" t="n">
        <f aca="false">I61/1000</f>
        <v>24.7258</v>
      </c>
      <c r="P61" s="0" t="s">
        <v>37</v>
      </c>
      <c r="Q61" s="0" t="n">
        <v>82</v>
      </c>
      <c r="R61" s="0" t="n">
        <v>761371</v>
      </c>
      <c r="S61" s="0" t="n">
        <f aca="false">R61/1000</f>
        <v>761.371</v>
      </c>
    </row>
    <row r="62" customFormat="false" ht="12.8" hidden="false" customHeight="false" outlineLevel="0" collapsed="false">
      <c r="A62" s="0" t="s">
        <v>37</v>
      </c>
      <c r="B62" s="0" t="n">
        <v>100</v>
      </c>
      <c r="C62" s="0" t="n">
        <v>1219730</v>
      </c>
      <c r="D62" s="0" t="n">
        <f aca="false">C62/1000</f>
        <v>1219.73</v>
      </c>
      <c r="E62" s="92" t="n">
        <f aca="false">D62/60</f>
        <v>20.3288333333333</v>
      </c>
      <c r="G62" s="0" t="s">
        <v>37</v>
      </c>
      <c r="H62" s="0" t="n">
        <v>100</v>
      </c>
      <c r="I62" s="0" t="n">
        <v>18555.6</v>
      </c>
      <c r="J62" s="0" t="n">
        <f aca="false">I62/1000</f>
        <v>18.5556</v>
      </c>
      <c r="P62" s="0" t="s">
        <v>37</v>
      </c>
      <c r="Q62" s="0" t="n">
        <v>100</v>
      </c>
      <c r="R62" s="0" t="n">
        <v>791754</v>
      </c>
      <c r="S62" s="0" t="n">
        <f aca="false">R62/1000</f>
        <v>791.754</v>
      </c>
    </row>
    <row r="63" customFormat="false" ht="12.8" hidden="false" customHeight="false" outlineLevel="0" collapsed="false">
      <c r="A63" s="0" t="s">
        <v>38</v>
      </c>
      <c r="B63" s="0" t="n">
        <v>5</v>
      </c>
      <c r="C63" s="0" t="n">
        <v>20755.2</v>
      </c>
      <c r="D63" s="0" t="n">
        <f aca="false">C63/1000</f>
        <v>20.7552</v>
      </c>
      <c r="E63" s="92" t="n">
        <f aca="false">D63/60</f>
        <v>0.34592</v>
      </c>
      <c r="G63" s="0" t="s">
        <v>38</v>
      </c>
      <c r="H63" s="0" t="n">
        <v>5</v>
      </c>
      <c r="I63" s="0" t="n">
        <v>9741.75</v>
      </c>
      <c r="J63" s="0" t="n">
        <f aca="false">I63/1000</f>
        <v>9.74175</v>
      </c>
      <c r="P63" s="0" t="s">
        <v>38</v>
      </c>
      <c r="Q63" s="0" t="n">
        <v>5</v>
      </c>
      <c r="R63" s="0" t="n">
        <v>331007</v>
      </c>
      <c r="S63" s="0" t="n">
        <f aca="false">R63/1000</f>
        <v>331.007</v>
      </c>
    </row>
    <row r="64" customFormat="false" ht="12.8" hidden="false" customHeight="false" outlineLevel="0" collapsed="false">
      <c r="A64" s="0" t="s">
        <v>38</v>
      </c>
      <c r="B64" s="0" t="n">
        <v>10</v>
      </c>
      <c r="C64" s="0" t="n">
        <v>46422</v>
      </c>
      <c r="D64" s="0" t="n">
        <f aca="false">C64/1000</f>
        <v>46.422</v>
      </c>
      <c r="E64" s="92" t="n">
        <f aca="false">D64/60</f>
        <v>0.7737</v>
      </c>
      <c r="G64" s="0" t="s">
        <v>38</v>
      </c>
      <c r="H64" s="0" t="n">
        <v>10</v>
      </c>
      <c r="I64" s="0" t="n">
        <v>14334.3</v>
      </c>
      <c r="J64" s="0" t="n">
        <f aca="false">I64/1000</f>
        <v>14.3343</v>
      </c>
      <c r="P64" s="0" t="s">
        <v>38</v>
      </c>
      <c r="Q64" s="0" t="n">
        <v>10</v>
      </c>
      <c r="R64" s="0" t="n">
        <v>393853</v>
      </c>
      <c r="S64" s="0" t="n">
        <f aca="false">R64/1000</f>
        <v>393.853</v>
      </c>
    </row>
    <row r="65" customFormat="false" ht="12.8" hidden="false" customHeight="false" outlineLevel="0" collapsed="false">
      <c r="A65" s="0" t="s">
        <v>38</v>
      </c>
      <c r="B65" s="0" t="n">
        <v>15</v>
      </c>
      <c r="C65" s="0" t="n">
        <v>64297.5</v>
      </c>
      <c r="D65" s="0" t="n">
        <f aca="false">C65/1000</f>
        <v>64.2975</v>
      </c>
      <c r="E65" s="92" t="n">
        <f aca="false">D65/60</f>
        <v>1.071625</v>
      </c>
      <c r="G65" s="0" t="s">
        <v>38</v>
      </c>
      <c r="H65" s="0" t="n">
        <v>15</v>
      </c>
      <c r="I65" s="0" t="n">
        <v>14743.2</v>
      </c>
      <c r="J65" s="0" t="n">
        <f aca="false">I65/1000</f>
        <v>14.7432</v>
      </c>
      <c r="P65" s="0" t="s">
        <v>38</v>
      </c>
      <c r="Q65" s="0" t="n">
        <v>15</v>
      </c>
      <c r="R65" s="0" t="n">
        <v>424440</v>
      </c>
      <c r="S65" s="0" t="n">
        <f aca="false">R65/1000</f>
        <v>424.44</v>
      </c>
    </row>
    <row r="66" customFormat="false" ht="12.8" hidden="false" customHeight="false" outlineLevel="0" collapsed="false">
      <c r="A66" s="0" t="s">
        <v>38</v>
      </c>
      <c r="B66" s="0" t="n">
        <v>20</v>
      </c>
      <c r="C66" s="0" t="n">
        <v>110783</v>
      </c>
      <c r="D66" s="0" t="n">
        <f aca="false">C66/1000</f>
        <v>110.783</v>
      </c>
      <c r="E66" s="92" t="n">
        <f aca="false">D66/60</f>
        <v>1.84638333333333</v>
      </c>
      <c r="G66" s="0" t="s">
        <v>38</v>
      </c>
      <c r="H66" s="0" t="n">
        <v>20</v>
      </c>
      <c r="I66" s="0" t="n">
        <v>15177.2</v>
      </c>
      <c r="J66" s="0" t="n">
        <f aca="false">I66/1000</f>
        <v>15.1772</v>
      </c>
      <c r="P66" s="0" t="s">
        <v>38</v>
      </c>
      <c r="Q66" s="0" t="n">
        <v>20</v>
      </c>
      <c r="R66" s="0" t="n">
        <v>467177</v>
      </c>
      <c r="S66" s="0" t="n">
        <f aca="false">R66/1000</f>
        <v>467.177</v>
      </c>
    </row>
    <row r="67" customFormat="false" ht="12.8" hidden="false" customHeight="false" outlineLevel="0" collapsed="false">
      <c r="A67" s="0" t="s">
        <v>38</v>
      </c>
      <c r="B67" s="0" t="n">
        <v>30</v>
      </c>
      <c r="C67" s="0" t="n">
        <v>168883</v>
      </c>
      <c r="D67" s="0" t="n">
        <f aca="false">C67/1000</f>
        <v>168.883</v>
      </c>
      <c r="E67" s="92" t="n">
        <f aca="false">D67/60</f>
        <v>2.81471666666667</v>
      </c>
      <c r="G67" s="0" t="s">
        <v>38</v>
      </c>
      <c r="H67" s="0" t="n">
        <v>30</v>
      </c>
      <c r="I67" s="0" t="n">
        <v>16364.8</v>
      </c>
      <c r="J67" s="0" t="n">
        <f aca="false">I67/1000</f>
        <v>16.3648</v>
      </c>
      <c r="P67" s="0" t="s">
        <v>38</v>
      </c>
      <c r="Q67" s="0" t="n">
        <v>30</v>
      </c>
      <c r="R67" s="0" t="n">
        <v>509766</v>
      </c>
      <c r="S67" s="0" t="n">
        <f aca="false">R67/1000</f>
        <v>509.766</v>
      </c>
    </row>
    <row r="68" customFormat="false" ht="12.8" hidden="false" customHeight="false" outlineLevel="0" collapsed="false">
      <c r="A68" s="0" t="s">
        <v>38</v>
      </c>
      <c r="B68" s="0" t="n">
        <v>40</v>
      </c>
      <c r="C68" s="0" t="n">
        <v>238697</v>
      </c>
      <c r="D68" s="0" t="n">
        <f aca="false">C68/1000</f>
        <v>238.697</v>
      </c>
      <c r="E68" s="92" t="n">
        <f aca="false">D68/60</f>
        <v>3.97828333333333</v>
      </c>
      <c r="G68" s="0" t="s">
        <v>38</v>
      </c>
      <c r="H68" s="0" t="n">
        <v>40</v>
      </c>
      <c r="I68" s="0" t="n">
        <v>16553.1</v>
      </c>
      <c r="J68" s="0" t="n">
        <f aca="false">I68/1000</f>
        <v>16.5531</v>
      </c>
      <c r="P68" s="0" t="s">
        <v>38</v>
      </c>
      <c r="Q68" s="0" t="n">
        <v>40</v>
      </c>
      <c r="R68" s="0" t="n">
        <v>575253</v>
      </c>
      <c r="S68" s="0" t="n">
        <f aca="false">R68/1000</f>
        <v>575.253</v>
      </c>
    </row>
    <row r="69" customFormat="false" ht="12.8" hidden="false" customHeight="false" outlineLevel="0" collapsed="false">
      <c r="A69" s="0" t="s">
        <v>38</v>
      </c>
      <c r="B69" s="0" t="n">
        <v>50</v>
      </c>
      <c r="C69" s="0" t="n">
        <v>332908</v>
      </c>
      <c r="D69" s="0" t="n">
        <f aca="false">C69/1000</f>
        <v>332.908</v>
      </c>
      <c r="E69" s="92" t="n">
        <f aca="false">D69/60</f>
        <v>5.54846666666667</v>
      </c>
      <c r="G69" s="0" t="s">
        <v>38</v>
      </c>
      <c r="H69" s="0" t="n">
        <v>50</v>
      </c>
      <c r="I69" s="0" t="n">
        <v>17813.3</v>
      </c>
      <c r="J69" s="0" t="n">
        <f aca="false">I69/1000</f>
        <v>17.8133</v>
      </c>
      <c r="P69" s="0" t="s">
        <v>38</v>
      </c>
      <c r="Q69" s="0" t="n">
        <v>50</v>
      </c>
      <c r="R69" s="0" t="n">
        <v>602880</v>
      </c>
      <c r="S69" s="0" t="n">
        <f aca="false">R69/1000</f>
        <v>602.88</v>
      </c>
    </row>
    <row r="70" customFormat="false" ht="12.8" hidden="false" customHeight="false" outlineLevel="0" collapsed="false">
      <c r="A70" s="0" t="s">
        <v>38</v>
      </c>
      <c r="B70" s="0" t="n">
        <v>64</v>
      </c>
      <c r="C70" s="0" t="n">
        <v>466258</v>
      </c>
      <c r="D70" s="0" t="n">
        <f aca="false">C70/1000</f>
        <v>466.258</v>
      </c>
      <c r="E70" s="92" t="n">
        <f aca="false">D70/60</f>
        <v>7.77096666666667</v>
      </c>
      <c r="G70" s="0" t="s">
        <v>38</v>
      </c>
      <c r="H70" s="0" t="n">
        <v>64</v>
      </c>
      <c r="I70" s="0" t="n">
        <v>20263.7</v>
      </c>
      <c r="J70" s="0" t="n">
        <f aca="false">I70/1000</f>
        <v>20.2637</v>
      </c>
      <c r="P70" s="0" t="s">
        <v>38</v>
      </c>
      <c r="Q70" s="0" t="n">
        <v>64</v>
      </c>
      <c r="R70" s="0" t="n">
        <v>653556</v>
      </c>
      <c r="S70" s="0" t="n">
        <f aca="false">R70/1000</f>
        <v>653.556</v>
      </c>
    </row>
    <row r="71" customFormat="false" ht="12.8" hidden="false" customHeight="false" outlineLevel="0" collapsed="false">
      <c r="A71" s="0" t="s">
        <v>38</v>
      </c>
      <c r="B71" s="0" t="n">
        <v>82</v>
      </c>
      <c r="C71" s="0" t="n">
        <v>658462</v>
      </c>
      <c r="D71" s="0" t="n">
        <f aca="false">C71/1000</f>
        <v>658.462</v>
      </c>
      <c r="E71" s="92" t="n">
        <f aca="false">D71/60</f>
        <v>10.9743666666667</v>
      </c>
      <c r="G71" s="0" t="s">
        <v>38</v>
      </c>
      <c r="H71" s="0" t="n">
        <v>82</v>
      </c>
      <c r="I71" s="0" t="n">
        <v>22982.4</v>
      </c>
      <c r="J71" s="0" t="n">
        <f aca="false">I71/1000</f>
        <v>22.9824</v>
      </c>
      <c r="P71" s="0" t="s">
        <v>38</v>
      </c>
      <c r="Q71" s="0" t="n">
        <v>82</v>
      </c>
      <c r="R71" s="0" t="n">
        <v>734175</v>
      </c>
      <c r="S71" s="0" t="n">
        <f aca="false">R71/1000</f>
        <v>734.175</v>
      </c>
    </row>
    <row r="72" customFormat="false" ht="12.8" hidden="false" customHeight="false" outlineLevel="0" collapsed="false">
      <c r="A72" s="0" t="s">
        <v>38</v>
      </c>
      <c r="B72" s="0" t="n">
        <v>100</v>
      </c>
      <c r="C72" s="0" t="n">
        <v>960987</v>
      </c>
      <c r="D72" s="0" t="n">
        <f aca="false">C72/1000</f>
        <v>960.987</v>
      </c>
      <c r="E72" s="92" t="n">
        <f aca="false">D72/60</f>
        <v>16.01645</v>
      </c>
      <c r="G72" s="0" t="s">
        <v>38</v>
      </c>
      <c r="H72" s="0" t="n">
        <v>100</v>
      </c>
      <c r="I72" s="0" t="n">
        <v>20621</v>
      </c>
      <c r="J72" s="0" t="n">
        <f aca="false">I72/1000</f>
        <v>20.621</v>
      </c>
      <c r="P72" s="0" t="s">
        <v>38</v>
      </c>
      <c r="Q72" s="0" t="n">
        <v>100</v>
      </c>
      <c r="R72" s="0" t="n">
        <v>782054</v>
      </c>
      <c r="S72" s="0" t="n">
        <f aca="false">R72/1000</f>
        <v>782.054</v>
      </c>
    </row>
    <row r="73" customFormat="false" ht="12.8" hidden="false" customHeight="false" outlineLevel="0" collapsed="false">
      <c r="A73" s="0" t="s">
        <v>39</v>
      </c>
      <c r="B73" s="0" t="n">
        <v>5</v>
      </c>
      <c r="C73" s="0" t="n">
        <v>235832</v>
      </c>
      <c r="D73" s="0" t="n">
        <f aca="false">C73/1000</f>
        <v>235.832</v>
      </c>
      <c r="E73" s="92" t="n">
        <f aca="false">D73/60</f>
        <v>3.93053333333333</v>
      </c>
      <c r="G73" s="0" t="s">
        <v>39</v>
      </c>
      <c r="H73" s="0" t="n">
        <v>5</v>
      </c>
      <c r="I73" s="0" t="n">
        <v>271759</v>
      </c>
      <c r="J73" s="0" t="n">
        <f aca="false">I73/1000</f>
        <v>271.759</v>
      </c>
      <c r="P73" s="0" t="s">
        <v>39</v>
      </c>
      <c r="Q73" s="0" t="n">
        <v>5</v>
      </c>
      <c r="R73" s="0" t="n">
        <v>6769280</v>
      </c>
      <c r="S73" s="0" t="n">
        <f aca="false">R73/1000</f>
        <v>6769.28</v>
      </c>
    </row>
    <row r="74" customFormat="false" ht="12.8" hidden="false" customHeight="false" outlineLevel="0" collapsed="false">
      <c r="A74" s="0" t="s">
        <v>39</v>
      </c>
      <c r="B74" s="0" t="n">
        <v>10</v>
      </c>
      <c r="C74" s="0" t="n">
        <v>512946</v>
      </c>
      <c r="D74" s="0" t="n">
        <f aca="false">C74/1000</f>
        <v>512.946</v>
      </c>
      <c r="E74" s="92" t="n">
        <f aca="false">D74/60</f>
        <v>8.5491</v>
      </c>
      <c r="G74" s="0" t="s">
        <v>39</v>
      </c>
      <c r="H74" s="0" t="n">
        <v>10</v>
      </c>
      <c r="I74" s="0" t="n">
        <v>332799</v>
      </c>
      <c r="J74" s="0" t="n">
        <f aca="false">I74/1000</f>
        <v>332.799</v>
      </c>
      <c r="P74" s="0" t="s">
        <v>39</v>
      </c>
      <c r="Q74" s="0" t="n">
        <v>10</v>
      </c>
      <c r="R74" s="0" t="n">
        <v>9140980</v>
      </c>
      <c r="S74" s="0" t="n">
        <f aca="false">R74/1000</f>
        <v>9140.98</v>
      </c>
    </row>
    <row r="75" customFormat="false" ht="12.8" hidden="false" customHeight="false" outlineLevel="0" collapsed="false">
      <c r="A75" s="0" t="s">
        <v>39</v>
      </c>
      <c r="B75" s="0" t="n">
        <v>15</v>
      </c>
      <c r="C75" s="0" t="n">
        <v>873224</v>
      </c>
      <c r="D75" s="0" t="n">
        <f aca="false">C75/1000</f>
        <v>873.224</v>
      </c>
      <c r="E75" s="92" t="n">
        <f aca="false">D75/60</f>
        <v>14.5537333333333</v>
      </c>
      <c r="G75" s="0" t="s">
        <v>39</v>
      </c>
      <c r="H75" s="0" t="n">
        <v>15</v>
      </c>
      <c r="I75" s="0" t="n">
        <v>345562</v>
      </c>
      <c r="J75" s="0" t="n">
        <f aca="false">I75/1000</f>
        <v>345.562</v>
      </c>
      <c r="P75" s="0" t="s">
        <v>39</v>
      </c>
      <c r="Q75" s="0" t="n">
        <v>15</v>
      </c>
      <c r="R75" s="0" t="n">
        <v>11803000</v>
      </c>
      <c r="S75" s="0" t="n">
        <f aca="false">R75/1000</f>
        <v>11803</v>
      </c>
    </row>
    <row r="76" customFormat="false" ht="12.8" hidden="false" customHeight="false" outlineLevel="0" collapsed="false">
      <c r="A76" s="0" t="s">
        <v>39</v>
      </c>
      <c r="B76" s="0" t="n">
        <v>20</v>
      </c>
      <c r="C76" s="0" t="n">
        <v>1407010</v>
      </c>
      <c r="D76" s="0" t="n">
        <f aca="false">C76/1000</f>
        <v>1407.01</v>
      </c>
      <c r="E76" s="92" t="n">
        <f aca="false">D76/60</f>
        <v>23.4501666666667</v>
      </c>
      <c r="G76" s="0" t="s">
        <v>39</v>
      </c>
      <c r="H76" s="0" t="n">
        <v>20</v>
      </c>
      <c r="I76" s="0" t="n">
        <v>361403</v>
      </c>
      <c r="J76" s="0" t="n">
        <f aca="false">I76/1000</f>
        <v>361.403</v>
      </c>
      <c r="P76" s="0" t="s">
        <v>39</v>
      </c>
      <c r="Q76" s="0" t="n">
        <v>20</v>
      </c>
      <c r="R76" s="0" t="n">
        <v>14018900</v>
      </c>
      <c r="S76" s="0" t="n">
        <f aca="false">R76/1000</f>
        <v>14018.9</v>
      </c>
    </row>
    <row r="77" customFormat="false" ht="12.8" hidden="false" customHeight="false" outlineLevel="0" collapsed="false">
      <c r="A77" s="0" t="s">
        <v>39</v>
      </c>
      <c r="B77" s="0" t="n">
        <v>30</v>
      </c>
      <c r="C77" s="0" t="n">
        <v>2348630</v>
      </c>
      <c r="D77" s="0" t="n">
        <f aca="false">C77/1000</f>
        <v>2348.63</v>
      </c>
      <c r="E77" s="92" t="n">
        <f aca="false">D77/60</f>
        <v>39.1438333333333</v>
      </c>
      <c r="G77" s="0" t="s">
        <v>39</v>
      </c>
      <c r="H77" s="0" t="n">
        <v>30</v>
      </c>
      <c r="I77" s="0" t="n">
        <v>373628</v>
      </c>
      <c r="J77" s="0" t="n">
        <f aca="false">I77/1000</f>
        <v>373.628</v>
      </c>
      <c r="P77" s="0" t="s">
        <v>39</v>
      </c>
      <c r="Q77" s="0" t="n">
        <v>30</v>
      </c>
      <c r="R77" s="0" t="n">
        <v>11218100</v>
      </c>
      <c r="S77" s="0" t="n">
        <f aca="false">R77/1000</f>
        <v>11218.1</v>
      </c>
    </row>
    <row r="78" customFormat="false" ht="12.8" hidden="false" customHeight="false" outlineLevel="0" collapsed="false">
      <c r="A78" s="0" t="s">
        <v>39</v>
      </c>
      <c r="B78" s="0" t="n">
        <v>40</v>
      </c>
      <c r="C78" s="0" t="n">
        <v>3445170</v>
      </c>
      <c r="D78" s="0" t="n">
        <f aca="false">C78/1000</f>
        <v>3445.17</v>
      </c>
      <c r="E78" s="92" t="n">
        <f aca="false">D78/60</f>
        <v>57.4195</v>
      </c>
      <c r="G78" s="0" t="s">
        <v>39</v>
      </c>
      <c r="H78" s="0" t="n">
        <v>40</v>
      </c>
      <c r="I78" s="0" t="n">
        <v>401482</v>
      </c>
      <c r="J78" s="0" t="n">
        <f aca="false">I78/1000</f>
        <v>401.482</v>
      </c>
      <c r="P78" s="0" t="s">
        <v>39</v>
      </c>
      <c r="Q78" s="0" t="n">
        <v>40</v>
      </c>
      <c r="R78" s="0" t="n">
        <v>11858300</v>
      </c>
      <c r="S78" s="0" t="n">
        <f aca="false">R78/1000</f>
        <v>11858.3</v>
      </c>
    </row>
    <row r="79" customFormat="false" ht="12.8" hidden="false" customHeight="false" outlineLevel="0" collapsed="false">
      <c r="A79" s="0" t="s">
        <v>39</v>
      </c>
      <c r="B79" s="0" t="n">
        <v>50</v>
      </c>
      <c r="C79" s="0" t="n">
        <v>4702520</v>
      </c>
      <c r="D79" s="0" t="n">
        <f aca="false">C79/1000</f>
        <v>4702.52</v>
      </c>
      <c r="E79" s="92" t="n">
        <f aca="false">D79/60</f>
        <v>78.3753333333333</v>
      </c>
      <c r="G79" s="0" t="s">
        <v>39</v>
      </c>
      <c r="H79" s="0" t="n">
        <v>50</v>
      </c>
      <c r="I79" s="0" t="n">
        <v>417582</v>
      </c>
      <c r="J79" s="0" t="n">
        <f aca="false">I79/1000</f>
        <v>417.582</v>
      </c>
      <c r="P79" s="0" t="s">
        <v>39</v>
      </c>
      <c r="Q79" s="0" t="n">
        <v>50</v>
      </c>
      <c r="R79" s="0" t="n">
        <v>17417700</v>
      </c>
      <c r="S79" s="0" t="n">
        <f aca="false">R79/1000</f>
        <v>17417.7</v>
      </c>
    </row>
    <row r="80" customFormat="false" ht="12.8" hidden="false" customHeight="false" outlineLevel="0" collapsed="false">
      <c r="A80" s="0" t="s">
        <v>39</v>
      </c>
      <c r="B80" s="0" t="n">
        <v>64</v>
      </c>
      <c r="C80" s="0" t="n">
        <v>6563850</v>
      </c>
      <c r="D80" s="0" t="n">
        <f aca="false">C80/1000</f>
        <v>6563.85</v>
      </c>
      <c r="E80" s="92" t="n">
        <f aca="false">D80/60</f>
        <v>109.3975</v>
      </c>
      <c r="G80" s="0" t="s">
        <v>39</v>
      </c>
      <c r="H80" s="0" t="n">
        <v>64</v>
      </c>
      <c r="I80" s="0" t="n">
        <v>441342</v>
      </c>
      <c r="J80" s="0" t="n">
        <f aca="false">I80/1000</f>
        <v>441.342</v>
      </c>
      <c r="P80" s="0" t="s">
        <v>39</v>
      </c>
      <c r="Q80" s="0" t="n">
        <v>64</v>
      </c>
      <c r="R80" s="0" t="n">
        <v>13518400</v>
      </c>
      <c r="S80" s="0" t="n">
        <f aca="false">R80/1000</f>
        <v>13518.4</v>
      </c>
    </row>
    <row r="81" customFormat="false" ht="12.8" hidden="false" customHeight="false" outlineLevel="0" collapsed="false">
      <c r="A81" s="0" t="s">
        <v>39</v>
      </c>
      <c r="B81" s="0" t="n">
        <v>82</v>
      </c>
      <c r="C81" s="0" t="n">
        <v>8861000</v>
      </c>
      <c r="D81" s="0" t="n">
        <f aca="false">C81/1000</f>
        <v>8861</v>
      </c>
      <c r="E81" s="92" t="n">
        <f aca="false">D81/60</f>
        <v>147.683333333333</v>
      </c>
      <c r="G81" s="0" t="s">
        <v>39</v>
      </c>
      <c r="H81" s="0" t="n">
        <v>82</v>
      </c>
      <c r="I81" s="0" t="n">
        <v>491691</v>
      </c>
      <c r="J81" s="0" t="n">
        <f aca="false">I81/1000</f>
        <v>491.691</v>
      </c>
      <c r="P81" s="0" t="s">
        <v>39</v>
      </c>
      <c r="Q81" s="0" t="n">
        <v>82</v>
      </c>
      <c r="R81" s="0" t="n">
        <v>16300600</v>
      </c>
      <c r="S81" s="0" t="n">
        <f aca="false">R81/1000</f>
        <v>16300.6</v>
      </c>
    </row>
    <row r="82" customFormat="false" ht="12.8" hidden="false" customHeight="false" outlineLevel="0" collapsed="false">
      <c r="A82" s="0" t="s">
        <v>39</v>
      </c>
      <c r="B82" s="0" t="n">
        <v>100</v>
      </c>
      <c r="C82" s="0" t="n">
        <v>12134500</v>
      </c>
      <c r="D82" s="0" t="n">
        <f aca="false">C82/1000</f>
        <v>12134.5</v>
      </c>
      <c r="E82" s="92" t="n">
        <f aca="false">D82/60</f>
        <v>202.241666666667</v>
      </c>
      <c r="G82" s="0" t="s">
        <v>39</v>
      </c>
      <c r="H82" s="0" t="n">
        <v>100</v>
      </c>
      <c r="I82" s="0" t="n">
        <v>533365</v>
      </c>
      <c r="J82" s="0" t="n">
        <f aca="false">I82/1000</f>
        <v>533.365</v>
      </c>
      <c r="P82" s="0" t="s">
        <v>39</v>
      </c>
      <c r="Q82" s="0" t="n">
        <v>100</v>
      </c>
      <c r="R82" s="0" t="n">
        <v>16119900</v>
      </c>
      <c r="S82" s="0" t="n">
        <f aca="false">R82/1000</f>
        <v>16119.9</v>
      </c>
    </row>
    <row r="83" customFormat="false" ht="12.8" hidden="false" customHeight="false" outlineLevel="0" collapsed="false">
      <c r="A83" s="0" t="s">
        <v>41</v>
      </c>
      <c r="B83" s="0" t="n">
        <v>5</v>
      </c>
      <c r="C83" s="0" t="n">
        <v>6964.6</v>
      </c>
      <c r="D83" s="0" t="n">
        <f aca="false">C83/1000</f>
        <v>6.9646</v>
      </c>
      <c r="E83" s="92" t="n">
        <f aca="false">D83/60</f>
        <v>0.116076666666667</v>
      </c>
      <c r="G83" s="0" t="s">
        <v>41</v>
      </c>
      <c r="H83" s="0" t="n">
        <v>5</v>
      </c>
      <c r="I83" s="0" t="n">
        <v>2347.64</v>
      </c>
      <c r="J83" s="0" t="n">
        <f aca="false">I83/1000</f>
        <v>2.34764</v>
      </c>
      <c r="P83" s="0" t="s">
        <v>41</v>
      </c>
      <c r="Q83" s="0" t="n">
        <v>5</v>
      </c>
      <c r="R83" s="0" t="n">
        <v>46967.8</v>
      </c>
      <c r="S83" s="0" t="n">
        <f aca="false">R83/1000</f>
        <v>46.9678</v>
      </c>
    </row>
    <row r="84" customFormat="false" ht="12.8" hidden="false" customHeight="false" outlineLevel="0" collapsed="false">
      <c r="A84" s="0" t="s">
        <v>41</v>
      </c>
      <c r="B84" s="0" t="n">
        <v>10</v>
      </c>
      <c r="C84" s="0" t="n">
        <v>18529.9</v>
      </c>
      <c r="D84" s="0" t="n">
        <f aca="false">C84/1000</f>
        <v>18.5299</v>
      </c>
      <c r="E84" s="92" t="n">
        <f aca="false">D84/60</f>
        <v>0.308831666666667</v>
      </c>
      <c r="G84" s="0" t="s">
        <v>41</v>
      </c>
      <c r="H84" s="0" t="n">
        <v>10</v>
      </c>
      <c r="I84" s="0" t="n">
        <v>3145.72</v>
      </c>
      <c r="J84" s="0" t="n">
        <f aca="false">I84/1000</f>
        <v>3.14572</v>
      </c>
      <c r="P84" s="0" t="s">
        <v>41</v>
      </c>
      <c r="Q84" s="0" t="n">
        <v>10</v>
      </c>
      <c r="R84" s="0" t="n">
        <v>81904.9</v>
      </c>
      <c r="S84" s="0" t="n">
        <f aca="false">R84/1000</f>
        <v>81.9049</v>
      </c>
    </row>
    <row r="85" customFormat="false" ht="12.8" hidden="false" customHeight="false" outlineLevel="0" collapsed="false">
      <c r="A85" s="0" t="s">
        <v>41</v>
      </c>
      <c r="B85" s="0" t="n">
        <v>15</v>
      </c>
      <c r="C85" s="0" t="n">
        <v>33133.8</v>
      </c>
      <c r="D85" s="0" t="n">
        <f aca="false">C85/1000</f>
        <v>33.1338</v>
      </c>
      <c r="E85" s="92" t="n">
        <f aca="false">D85/60</f>
        <v>0.55223</v>
      </c>
      <c r="G85" s="0" t="s">
        <v>41</v>
      </c>
      <c r="H85" s="0" t="n">
        <v>15</v>
      </c>
      <c r="I85" s="0" t="n">
        <v>3350.21</v>
      </c>
      <c r="J85" s="0" t="n">
        <f aca="false">I85/1000</f>
        <v>3.35021</v>
      </c>
      <c r="P85" s="0" t="s">
        <v>41</v>
      </c>
      <c r="Q85" s="0" t="n">
        <v>15</v>
      </c>
      <c r="R85" s="0" t="n">
        <v>116335</v>
      </c>
      <c r="S85" s="0" t="n">
        <f aca="false">R85/1000</f>
        <v>116.335</v>
      </c>
    </row>
    <row r="86" customFormat="false" ht="12.8" hidden="false" customHeight="false" outlineLevel="0" collapsed="false">
      <c r="A86" s="0" t="s">
        <v>41</v>
      </c>
      <c r="B86" s="0" t="n">
        <v>20</v>
      </c>
      <c r="C86" s="0" t="n">
        <v>53666.9</v>
      </c>
      <c r="D86" s="0" t="n">
        <f aca="false">C86/1000</f>
        <v>53.6669</v>
      </c>
      <c r="E86" s="92" t="n">
        <f aca="false">D86/60</f>
        <v>0.894448333333333</v>
      </c>
      <c r="G86" s="0" t="s">
        <v>41</v>
      </c>
      <c r="H86" s="0" t="n">
        <v>20</v>
      </c>
      <c r="I86" s="0" t="n">
        <v>4157.21</v>
      </c>
      <c r="J86" s="0" t="n">
        <f aca="false">I86/1000</f>
        <v>4.15721</v>
      </c>
      <c r="P86" s="0" t="s">
        <v>41</v>
      </c>
      <c r="Q86" s="0" t="n">
        <v>20</v>
      </c>
      <c r="R86" s="0" t="n">
        <v>143603</v>
      </c>
      <c r="S86" s="0" t="n">
        <f aca="false">R86/1000</f>
        <v>143.603</v>
      </c>
    </row>
    <row r="87" customFormat="false" ht="12.8" hidden="false" customHeight="false" outlineLevel="0" collapsed="false">
      <c r="A87" s="0" t="s">
        <v>41</v>
      </c>
      <c r="B87" s="0" t="n">
        <v>30</v>
      </c>
      <c r="C87" s="0" t="n">
        <v>90256.7</v>
      </c>
      <c r="D87" s="0" t="n">
        <f aca="false">C87/1000</f>
        <v>90.2567</v>
      </c>
      <c r="E87" s="92" t="n">
        <f aca="false">D87/60</f>
        <v>1.50427833333333</v>
      </c>
      <c r="G87" s="0" t="s">
        <v>41</v>
      </c>
      <c r="H87" s="0" t="n">
        <v>30</v>
      </c>
      <c r="I87" s="0" t="n">
        <v>5805.23</v>
      </c>
      <c r="J87" s="0" t="n">
        <f aca="false">I87/1000</f>
        <v>5.80523</v>
      </c>
      <c r="P87" s="0" t="s">
        <v>41</v>
      </c>
      <c r="Q87" s="0" t="n">
        <v>30</v>
      </c>
      <c r="R87" s="0" t="n">
        <v>202489</v>
      </c>
      <c r="S87" s="0" t="n">
        <f aca="false">R87/1000</f>
        <v>202.489</v>
      </c>
    </row>
    <row r="88" customFormat="false" ht="12.8" hidden="false" customHeight="false" outlineLevel="0" collapsed="false">
      <c r="A88" s="0" t="s">
        <v>41</v>
      </c>
      <c r="B88" s="0" t="n">
        <v>40</v>
      </c>
      <c r="C88" s="0" t="n">
        <v>119297</v>
      </c>
      <c r="D88" s="0" t="n">
        <f aca="false">C88/1000</f>
        <v>119.297</v>
      </c>
      <c r="E88" s="92" t="n">
        <f aca="false">D88/60</f>
        <v>1.98828333333333</v>
      </c>
      <c r="G88" s="0" t="s">
        <v>41</v>
      </c>
      <c r="H88" s="0" t="n">
        <v>40</v>
      </c>
      <c r="I88" s="0" t="n">
        <v>5887.03</v>
      </c>
      <c r="J88" s="0" t="n">
        <f aca="false">I88/1000</f>
        <v>5.88703</v>
      </c>
      <c r="P88" s="0" t="s">
        <v>41</v>
      </c>
      <c r="Q88" s="0" t="n">
        <v>40</v>
      </c>
      <c r="R88" s="0" t="n">
        <v>256084</v>
      </c>
      <c r="S88" s="0" t="n">
        <f aca="false">R88/1000</f>
        <v>256.084</v>
      </c>
    </row>
    <row r="89" customFormat="false" ht="12.8" hidden="false" customHeight="false" outlineLevel="0" collapsed="false">
      <c r="A89" s="0" t="s">
        <v>41</v>
      </c>
      <c r="B89" s="0" t="n">
        <v>50</v>
      </c>
      <c r="C89" s="0" t="n">
        <v>185264</v>
      </c>
      <c r="D89" s="0" t="n">
        <f aca="false">C89/1000</f>
        <v>185.264</v>
      </c>
      <c r="E89" s="92" t="n">
        <f aca="false">D89/60</f>
        <v>3.08773333333333</v>
      </c>
      <c r="G89" s="0" t="s">
        <v>41</v>
      </c>
      <c r="H89" s="0" t="n">
        <v>50</v>
      </c>
      <c r="I89" s="0" t="n">
        <v>8397.61</v>
      </c>
      <c r="J89" s="0" t="n">
        <f aca="false">I89/1000</f>
        <v>8.39761</v>
      </c>
      <c r="P89" s="0" t="s">
        <v>41</v>
      </c>
      <c r="Q89" s="0" t="n">
        <v>50</v>
      </c>
      <c r="R89" s="0" t="n">
        <v>268173</v>
      </c>
      <c r="S89" s="0" t="n">
        <f aca="false">R89/1000</f>
        <v>268.173</v>
      </c>
    </row>
    <row r="90" customFormat="false" ht="12.8" hidden="false" customHeight="false" outlineLevel="0" collapsed="false">
      <c r="A90" s="0" t="s">
        <v>41</v>
      </c>
      <c r="B90" s="0" t="n">
        <v>64</v>
      </c>
      <c r="C90" s="0" t="n">
        <v>277494</v>
      </c>
      <c r="D90" s="0" t="n">
        <f aca="false">C90/1000</f>
        <v>277.494</v>
      </c>
      <c r="E90" s="92" t="n">
        <f aca="false">D90/60</f>
        <v>4.6249</v>
      </c>
      <c r="G90" s="0" t="s">
        <v>41</v>
      </c>
      <c r="H90" s="0" t="n">
        <v>64</v>
      </c>
      <c r="I90" s="0" t="n">
        <v>13624.1</v>
      </c>
      <c r="J90" s="0" t="n">
        <f aca="false">I90/1000</f>
        <v>13.6241</v>
      </c>
      <c r="P90" s="0" t="s">
        <v>41</v>
      </c>
      <c r="Q90" s="0" t="n">
        <v>64</v>
      </c>
      <c r="R90" s="0" t="n">
        <v>354280</v>
      </c>
      <c r="S90" s="0" t="n">
        <f aca="false">R90/1000</f>
        <v>354.28</v>
      </c>
    </row>
    <row r="91" customFormat="false" ht="12.8" hidden="false" customHeight="false" outlineLevel="0" collapsed="false">
      <c r="A91" s="0" t="s">
        <v>41</v>
      </c>
      <c r="B91" s="0" t="n">
        <v>82</v>
      </c>
      <c r="C91" s="0" t="n">
        <v>442186</v>
      </c>
      <c r="D91" s="0" t="n">
        <f aca="false">C91/1000</f>
        <v>442.186</v>
      </c>
      <c r="E91" s="92" t="n">
        <f aca="false">D91/60</f>
        <v>7.36976666666667</v>
      </c>
      <c r="G91" s="0" t="s">
        <v>41</v>
      </c>
      <c r="H91" s="0" t="n">
        <v>82</v>
      </c>
      <c r="I91" s="0" t="n">
        <v>12373.6</v>
      </c>
      <c r="J91" s="0" t="n">
        <f aca="false">I91/1000</f>
        <v>12.3736</v>
      </c>
      <c r="P91" s="0" t="s">
        <v>41</v>
      </c>
      <c r="Q91" s="0" t="n">
        <v>82</v>
      </c>
      <c r="R91" s="0" t="n">
        <v>405932</v>
      </c>
      <c r="S91" s="0" t="n">
        <f aca="false">R91/1000</f>
        <v>405.932</v>
      </c>
    </row>
    <row r="92" customFormat="false" ht="12.8" hidden="false" customHeight="false" outlineLevel="0" collapsed="false">
      <c r="A92" s="0" t="s">
        <v>41</v>
      </c>
      <c r="B92" s="0" t="n">
        <v>100</v>
      </c>
      <c r="C92" s="0" t="n">
        <v>592880</v>
      </c>
      <c r="D92" s="0" t="n">
        <f aca="false">C92/1000</f>
        <v>592.88</v>
      </c>
      <c r="E92" s="92" t="n">
        <f aca="false">D92/60</f>
        <v>9.88133333333333</v>
      </c>
      <c r="G92" s="0" t="s">
        <v>41</v>
      </c>
      <c r="H92" s="0" t="n">
        <v>100</v>
      </c>
      <c r="I92" s="0" t="n">
        <v>20925.1</v>
      </c>
      <c r="J92" s="0" t="n">
        <f aca="false">I92/1000</f>
        <v>20.9251</v>
      </c>
      <c r="P92" s="0" t="s">
        <v>41</v>
      </c>
      <c r="Q92" s="0" t="n">
        <v>100</v>
      </c>
      <c r="R92" s="0" t="n">
        <v>534797</v>
      </c>
      <c r="S92" s="0" t="n">
        <f aca="false">R92/1000</f>
        <v>534.797</v>
      </c>
    </row>
    <row r="93" customFormat="false" ht="12.8" hidden="false" customHeight="false" outlineLevel="0" collapsed="false">
      <c r="A93" s="0" t="s">
        <v>42</v>
      </c>
      <c r="B93" s="0" t="n">
        <v>5</v>
      </c>
      <c r="C93" s="0" t="n">
        <v>3128.58</v>
      </c>
      <c r="D93" s="0" t="n">
        <f aca="false">C93/1000</f>
        <v>3.12858</v>
      </c>
      <c r="E93" s="92" t="n">
        <f aca="false">D93/60</f>
        <v>0.052143</v>
      </c>
      <c r="G93" s="0" t="s">
        <v>42</v>
      </c>
      <c r="H93" s="0" t="n">
        <v>5</v>
      </c>
      <c r="I93" s="0" t="n">
        <v>1824.46</v>
      </c>
      <c r="J93" s="0" t="n">
        <f aca="false">I93/1000</f>
        <v>1.82446</v>
      </c>
      <c r="P93" s="0" t="s">
        <v>42</v>
      </c>
      <c r="Q93" s="0" t="n">
        <v>5</v>
      </c>
      <c r="R93" s="0" t="n">
        <v>95605.4</v>
      </c>
      <c r="S93" s="0" t="n">
        <f aca="false">R93/1000</f>
        <v>95.6054</v>
      </c>
    </row>
    <row r="94" customFormat="false" ht="12.8" hidden="false" customHeight="false" outlineLevel="0" collapsed="false">
      <c r="A94" s="0" t="s">
        <v>42</v>
      </c>
      <c r="B94" s="0" t="n">
        <v>10</v>
      </c>
      <c r="C94" s="0" t="n">
        <v>14585.6</v>
      </c>
      <c r="D94" s="0" t="n">
        <f aca="false">C94/1000</f>
        <v>14.5856</v>
      </c>
      <c r="E94" s="92" t="n">
        <f aca="false">D94/60</f>
        <v>0.243093333333333</v>
      </c>
      <c r="G94" s="0" t="s">
        <v>42</v>
      </c>
      <c r="H94" s="0" t="n">
        <v>10</v>
      </c>
      <c r="I94" s="0" t="n">
        <v>3256.27</v>
      </c>
      <c r="J94" s="0" t="n">
        <f aca="false">I94/1000</f>
        <v>3.25627</v>
      </c>
      <c r="P94" s="0" t="s">
        <v>42</v>
      </c>
      <c r="Q94" s="0" t="n">
        <v>10</v>
      </c>
      <c r="R94" s="0" t="n">
        <v>155746</v>
      </c>
      <c r="S94" s="0" t="n">
        <f aca="false">R94/1000</f>
        <v>155.746</v>
      </c>
    </row>
    <row r="95" customFormat="false" ht="12.8" hidden="false" customHeight="false" outlineLevel="0" collapsed="false">
      <c r="A95" s="0" t="s">
        <v>42</v>
      </c>
      <c r="B95" s="0" t="n">
        <v>15</v>
      </c>
      <c r="C95" s="0" t="n">
        <v>25050.6</v>
      </c>
      <c r="D95" s="0" t="n">
        <f aca="false">C95/1000</f>
        <v>25.0506</v>
      </c>
      <c r="E95" s="92" t="n">
        <f aca="false">D95/60</f>
        <v>0.41751</v>
      </c>
      <c r="G95" s="0" t="s">
        <v>42</v>
      </c>
      <c r="H95" s="0" t="n">
        <v>15</v>
      </c>
      <c r="I95" s="0" t="n">
        <v>3008.91</v>
      </c>
      <c r="J95" s="0" t="n">
        <f aca="false">I95/1000</f>
        <v>3.00891</v>
      </c>
      <c r="P95" s="0" t="s">
        <v>42</v>
      </c>
      <c r="Q95" s="0" t="n">
        <v>15</v>
      </c>
      <c r="R95" s="0" t="n">
        <v>195875</v>
      </c>
      <c r="S95" s="0" t="n">
        <f aca="false">R95/1000</f>
        <v>195.875</v>
      </c>
    </row>
    <row r="96" customFormat="false" ht="12.8" hidden="false" customHeight="false" outlineLevel="0" collapsed="false">
      <c r="A96" s="0" t="s">
        <v>42</v>
      </c>
      <c r="B96" s="0" t="n">
        <v>20</v>
      </c>
      <c r="C96" s="0" t="n">
        <v>40502.5</v>
      </c>
      <c r="D96" s="0" t="n">
        <f aca="false">C96/1000</f>
        <v>40.5025</v>
      </c>
      <c r="E96" s="92" t="n">
        <f aca="false">D96/60</f>
        <v>0.675041666666667</v>
      </c>
      <c r="G96" s="0" t="s">
        <v>42</v>
      </c>
      <c r="H96" s="0" t="n">
        <v>20</v>
      </c>
      <c r="I96" s="0" t="n">
        <v>4512.8</v>
      </c>
      <c r="J96" s="0" t="n">
        <f aca="false">I96/1000</f>
        <v>4.5128</v>
      </c>
      <c r="P96" s="0" t="s">
        <v>42</v>
      </c>
      <c r="Q96" s="0" t="n">
        <v>20</v>
      </c>
      <c r="R96" s="0" t="n">
        <v>290535</v>
      </c>
      <c r="S96" s="0" t="n">
        <f aca="false">R96/1000</f>
        <v>290.535</v>
      </c>
    </row>
    <row r="97" customFormat="false" ht="12.8" hidden="false" customHeight="false" outlineLevel="0" collapsed="false">
      <c r="A97" s="0" t="s">
        <v>42</v>
      </c>
      <c r="B97" s="0" t="n">
        <v>30</v>
      </c>
      <c r="C97" s="0" t="n">
        <v>77694.1</v>
      </c>
      <c r="D97" s="0" t="n">
        <f aca="false">C97/1000</f>
        <v>77.6941</v>
      </c>
      <c r="E97" s="92" t="n">
        <f aca="false">D97/60</f>
        <v>1.29490166666667</v>
      </c>
      <c r="G97" s="0" t="s">
        <v>42</v>
      </c>
      <c r="H97" s="0" t="n">
        <v>30</v>
      </c>
      <c r="I97" s="0" t="n">
        <v>6263.01</v>
      </c>
      <c r="J97" s="0" t="n">
        <f aca="false">I97/1000</f>
        <v>6.26301</v>
      </c>
      <c r="P97" s="0" t="s">
        <v>42</v>
      </c>
      <c r="Q97" s="0" t="n">
        <v>30</v>
      </c>
      <c r="R97" s="0" t="n">
        <v>335962</v>
      </c>
      <c r="S97" s="0" t="n">
        <f aca="false">R97/1000</f>
        <v>335.962</v>
      </c>
    </row>
    <row r="98" customFormat="false" ht="12.8" hidden="false" customHeight="false" outlineLevel="0" collapsed="false">
      <c r="A98" s="0" t="s">
        <v>42</v>
      </c>
      <c r="B98" s="0" t="n">
        <v>40</v>
      </c>
      <c r="C98" s="0" t="n">
        <v>118388</v>
      </c>
      <c r="D98" s="0" t="n">
        <f aca="false">C98/1000</f>
        <v>118.388</v>
      </c>
      <c r="E98" s="92" t="n">
        <f aca="false">D98/60</f>
        <v>1.97313333333333</v>
      </c>
      <c r="G98" s="0" t="s">
        <v>42</v>
      </c>
      <c r="H98" s="0" t="n">
        <v>40</v>
      </c>
      <c r="I98" s="0" t="n">
        <v>4982.9</v>
      </c>
      <c r="J98" s="0" t="n">
        <f aca="false">I98/1000</f>
        <v>4.9829</v>
      </c>
      <c r="P98" s="0" t="s">
        <v>42</v>
      </c>
      <c r="Q98" s="0" t="n">
        <v>40</v>
      </c>
      <c r="R98" s="0" t="n">
        <v>421279</v>
      </c>
      <c r="S98" s="0" t="n">
        <f aca="false">R98/1000</f>
        <v>421.279</v>
      </c>
    </row>
    <row r="99" customFormat="false" ht="12.8" hidden="false" customHeight="false" outlineLevel="0" collapsed="false">
      <c r="A99" s="0" t="s">
        <v>42</v>
      </c>
      <c r="B99" s="0" t="n">
        <v>50</v>
      </c>
      <c r="C99" s="0" t="n">
        <v>186689</v>
      </c>
      <c r="D99" s="0" t="n">
        <f aca="false">C99/1000</f>
        <v>186.689</v>
      </c>
      <c r="E99" s="92" t="n">
        <f aca="false">D99/60</f>
        <v>3.11148333333333</v>
      </c>
      <c r="G99" s="0" t="s">
        <v>42</v>
      </c>
      <c r="H99" s="0" t="n">
        <v>50</v>
      </c>
      <c r="I99" s="0" t="n">
        <v>9558.31</v>
      </c>
      <c r="J99" s="0" t="n">
        <f aca="false">I99/1000</f>
        <v>9.55831</v>
      </c>
      <c r="P99" s="0" t="s">
        <v>42</v>
      </c>
      <c r="Q99" s="0" t="n">
        <v>50</v>
      </c>
      <c r="R99" s="0" t="n">
        <v>478102</v>
      </c>
      <c r="S99" s="0" t="n">
        <f aca="false">R99/1000</f>
        <v>478.102</v>
      </c>
    </row>
    <row r="100" customFormat="false" ht="12.8" hidden="false" customHeight="false" outlineLevel="0" collapsed="false">
      <c r="A100" s="0" t="s">
        <v>42</v>
      </c>
      <c r="B100" s="0" t="n">
        <v>64</v>
      </c>
      <c r="C100" s="0" t="n">
        <v>298652</v>
      </c>
      <c r="D100" s="0" t="n">
        <f aca="false">C100/1000</f>
        <v>298.652</v>
      </c>
      <c r="E100" s="92" t="n">
        <f aca="false">D100/60</f>
        <v>4.97753333333333</v>
      </c>
      <c r="G100" s="0" t="s">
        <v>42</v>
      </c>
      <c r="H100" s="0" t="n">
        <v>64</v>
      </c>
      <c r="I100" s="0" t="n">
        <v>6068.23</v>
      </c>
      <c r="J100" s="0" t="n">
        <f aca="false">I100/1000</f>
        <v>6.06823</v>
      </c>
      <c r="P100" s="0" t="s">
        <v>42</v>
      </c>
      <c r="Q100" s="0" t="n">
        <v>64</v>
      </c>
      <c r="R100" s="0" t="n">
        <v>514727</v>
      </c>
      <c r="S100" s="0" t="n">
        <f aca="false">R100/1000</f>
        <v>514.727</v>
      </c>
    </row>
    <row r="101" customFormat="false" ht="12.8" hidden="false" customHeight="false" outlineLevel="0" collapsed="false">
      <c r="A101" s="0" t="s">
        <v>42</v>
      </c>
      <c r="B101" s="0" t="n">
        <v>82</v>
      </c>
      <c r="C101" s="0" t="n">
        <v>478431</v>
      </c>
      <c r="D101" s="0" t="n">
        <f aca="false">C101/1000</f>
        <v>478.431</v>
      </c>
      <c r="E101" s="92" t="n">
        <f aca="false">D101/60</f>
        <v>7.97385</v>
      </c>
      <c r="G101" s="0" t="s">
        <v>42</v>
      </c>
      <c r="H101" s="0" t="n">
        <v>82</v>
      </c>
      <c r="I101" s="0" t="n">
        <v>16872.3</v>
      </c>
      <c r="J101" s="0" t="n">
        <f aca="false">I101/1000</f>
        <v>16.8723</v>
      </c>
      <c r="P101" s="0" t="s">
        <v>42</v>
      </c>
      <c r="Q101" s="0" t="n">
        <v>82</v>
      </c>
      <c r="R101" s="0" t="n">
        <v>636055</v>
      </c>
      <c r="S101" s="0" t="n">
        <f aca="false">R101/1000</f>
        <v>636.055</v>
      </c>
    </row>
    <row r="102" customFormat="false" ht="12.8" hidden="false" customHeight="false" outlineLevel="0" collapsed="false">
      <c r="A102" s="0" t="s">
        <v>42</v>
      </c>
      <c r="B102" s="0" t="n">
        <v>100</v>
      </c>
      <c r="C102" s="0" t="n">
        <v>632218</v>
      </c>
      <c r="D102" s="0" t="n">
        <f aca="false">C102/1000</f>
        <v>632.218</v>
      </c>
      <c r="E102" s="92" t="n">
        <f aca="false">D102/60</f>
        <v>10.5369666666667</v>
      </c>
      <c r="G102" s="0" t="s">
        <v>42</v>
      </c>
      <c r="H102" s="0" t="n">
        <v>100</v>
      </c>
      <c r="I102" s="0" t="n">
        <v>13566.9</v>
      </c>
      <c r="J102" s="0" t="n">
        <f aca="false">I102/1000</f>
        <v>13.5669</v>
      </c>
      <c r="P102" s="0" t="s">
        <v>42</v>
      </c>
      <c r="Q102" s="0" t="n">
        <v>100</v>
      </c>
      <c r="R102" s="0" t="n">
        <v>673462</v>
      </c>
      <c r="S102" s="0" t="n">
        <f aca="false">R102/1000</f>
        <v>673.462</v>
      </c>
    </row>
    <row r="103" customFormat="false" ht="12.8" hidden="false" customHeight="false" outlineLevel="0" collapsed="false">
      <c r="A103" s="0" t="s">
        <v>43</v>
      </c>
      <c r="B103" s="0" t="n">
        <v>5</v>
      </c>
      <c r="C103" s="0" t="n">
        <v>245953</v>
      </c>
      <c r="D103" s="0" t="n">
        <f aca="false">C103/1000</f>
        <v>245.953</v>
      </c>
      <c r="E103" s="92" t="n">
        <f aca="false">D103/60</f>
        <v>4.09921666666667</v>
      </c>
      <c r="G103" s="0" t="s">
        <v>43</v>
      </c>
      <c r="H103" s="0" t="n">
        <v>5</v>
      </c>
      <c r="I103" s="0" t="n">
        <v>223581</v>
      </c>
      <c r="J103" s="0" t="n">
        <f aca="false">I103/1000</f>
        <v>223.581</v>
      </c>
      <c r="P103" s="0" t="s">
        <v>43</v>
      </c>
      <c r="Q103" s="0" t="n">
        <v>5</v>
      </c>
      <c r="R103" s="0" t="n">
        <v>9292830</v>
      </c>
      <c r="S103" s="0" t="n">
        <f aca="false">R103/1000</f>
        <v>9292.83</v>
      </c>
    </row>
    <row r="104" customFormat="false" ht="12.8" hidden="false" customHeight="false" outlineLevel="0" collapsed="false">
      <c r="A104" s="0" t="s">
        <v>43</v>
      </c>
      <c r="B104" s="0" t="n">
        <v>10</v>
      </c>
      <c r="C104" s="0" t="n">
        <v>427705</v>
      </c>
      <c r="D104" s="0" t="n">
        <f aca="false">C104/1000</f>
        <v>427.705</v>
      </c>
      <c r="E104" s="92" t="n">
        <f aca="false">D104/60</f>
        <v>7.12841666666667</v>
      </c>
      <c r="G104" s="0" t="s">
        <v>43</v>
      </c>
      <c r="H104" s="0" t="n">
        <v>10</v>
      </c>
      <c r="I104" s="0" t="n">
        <v>288687</v>
      </c>
      <c r="J104" s="0" t="n">
        <f aca="false">I104/1000</f>
        <v>288.687</v>
      </c>
      <c r="P104" s="0" t="s">
        <v>43</v>
      </c>
      <c r="Q104" s="0" t="n">
        <v>10</v>
      </c>
      <c r="R104" s="0" t="n">
        <v>13948800</v>
      </c>
      <c r="S104" s="0" t="n">
        <f aca="false">R104/1000</f>
        <v>13948.8</v>
      </c>
    </row>
    <row r="105" customFormat="false" ht="12.8" hidden="false" customHeight="false" outlineLevel="0" collapsed="false">
      <c r="A105" s="0" t="s">
        <v>43</v>
      </c>
      <c r="B105" s="0" t="n">
        <v>15</v>
      </c>
      <c r="C105" s="0" t="n">
        <v>1287550</v>
      </c>
      <c r="D105" s="0" t="n">
        <f aca="false">C105/1000</f>
        <v>1287.55</v>
      </c>
      <c r="E105" s="92" t="n">
        <f aca="false">D105/60</f>
        <v>21.4591666666667</v>
      </c>
      <c r="G105" s="0" t="s">
        <v>43</v>
      </c>
      <c r="H105" s="0" t="n">
        <v>15</v>
      </c>
      <c r="I105" s="0" t="n">
        <v>315876</v>
      </c>
      <c r="J105" s="0" t="n">
        <f aca="false">I105/1000</f>
        <v>315.876</v>
      </c>
      <c r="P105" s="0" t="s">
        <v>43</v>
      </c>
      <c r="Q105" s="0" t="n">
        <v>15</v>
      </c>
      <c r="R105" s="0" t="n">
        <v>16331300</v>
      </c>
      <c r="S105" s="0" t="n">
        <f aca="false">R105/1000</f>
        <v>16331.3</v>
      </c>
    </row>
    <row r="106" customFormat="false" ht="12.8" hidden="false" customHeight="false" outlineLevel="0" collapsed="false">
      <c r="A106" s="0" t="s">
        <v>43</v>
      </c>
      <c r="B106" s="0" t="n">
        <v>20</v>
      </c>
      <c r="C106" s="0" t="n">
        <v>1487370</v>
      </c>
      <c r="D106" s="0" t="n">
        <f aca="false">C106/1000</f>
        <v>1487.37</v>
      </c>
      <c r="E106" s="92" t="n">
        <f aca="false">D106/60</f>
        <v>24.7895</v>
      </c>
      <c r="G106" s="0" t="s">
        <v>43</v>
      </c>
      <c r="H106" s="0" t="n">
        <v>20</v>
      </c>
      <c r="I106" s="0" t="n">
        <v>342749</v>
      </c>
      <c r="J106" s="0" t="n">
        <f aca="false">I106/1000</f>
        <v>342.749</v>
      </c>
      <c r="P106" s="0" t="s">
        <v>43</v>
      </c>
      <c r="Q106" s="0" t="n">
        <v>20</v>
      </c>
      <c r="R106" s="0" t="n">
        <v>18036200</v>
      </c>
      <c r="S106" s="0" t="n">
        <f aca="false">R106/1000</f>
        <v>18036.2</v>
      </c>
    </row>
    <row r="107" customFormat="false" ht="12.8" hidden="false" customHeight="false" outlineLevel="0" collapsed="false">
      <c r="A107" s="0" t="s">
        <v>43</v>
      </c>
      <c r="B107" s="0" t="n">
        <v>30</v>
      </c>
      <c r="C107" s="0" t="n">
        <v>1775850</v>
      </c>
      <c r="D107" s="0" t="n">
        <f aca="false">C107/1000</f>
        <v>1775.85</v>
      </c>
      <c r="E107" s="92" t="n">
        <f aca="false">D107/60</f>
        <v>29.5975</v>
      </c>
      <c r="G107" s="0" t="s">
        <v>43</v>
      </c>
      <c r="H107" s="0" t="n">
        <v>30</v>
      </c>
      <c r="I107" s="0" t="n">
        <v>347330</v>
      </c>
      <c r="J107" s="0" t="n">
        <f aca="false">I107/1000</f>
        <v>347.33</v>
      </c>
      <c r="P107" s="0" t="s">
        <v>43</v>
      </c>
      <c r="Q107" s="0" t="n">
        <v>30</v>
      </c>
      <c r="R107" s="0" t="n">
        <v>20009300</v>
      </c>
      <c r="S107" s="0" t="n">
        <f aca="false">R107/1000</f>
        <v>20009.3</v>
      </c>
    </row>
    <row r="108" customFormat="false" ht="12.8" hidden="false" customHeight="false" outlineLevel="0" collapsed="false">
      <c r="A108" s="0" t="s">
        <v>43</v>
      </c>
      <c r="B108" s="0" t="n">
        <v>40</v>
      </c>
      <c r="C108" s="0" t="n">
        <v>3357600</v>
      </c>
      <c r="D108" s="0" t="n">
        <f aca="false">C108/1000</f>
        <v>3357.6</v>
      </c>
      <c r="E108" s="92" t="n">
        <f aca="false">D108/60</f>
        <v>55.96</v>
      </c>
      <c r="G108" s="0" t="s">
        <v>43</v>
      </c>
      <c r="H108" s="0" t="n">
        <v>40</v>
      </c>
      <c r="I108" s="0" t="n">
        <v>360705</v>
      </c>
      <c r="J108" s="0" t="n">
        <f aca="false">I108/1000</f>
        <v>360.705</v>
      </c>
      <c r="P108" s="0" t="s">
        <v>43</v>
      </c>
      <c r="Q108" s="0" t="n">
        <v>40</v>
      </c>
      <c r="R108" s="0" t="n">
        <v>21744700</v>
      </c>
      <c r="S108" s="0" t="n">
        <f aca="false">R108/1000</f>
        <v>21744.7</v>
      </c>
    </row>
    <row r="109" customFormat="false" ht="12.8" hidden="false" customHeight="false" outlineLevel="0" collapsed="false">
      <c r="A109" s="0" t="s">
        <v>43</v>
      </c>
      <c r="B109" s="0" t="n">
        <v>50</v>
      </c>
      <c r="C109" s="0" t="n">
        <v>4663790</v>
      </c>
      <c r="D109" s="0" t="n">
        <f aca="false">C109/1000</f>
        <v>4663.79</v>
      </c>
      <c r="E109" s="92" t="n">
        <f aca="false">D109/60</f>
        <v>77.7298333333333</v>
      </c>
      <c r="G109" s="0" t="s">
        <v>43</v>
      </c>
      <c r="H109" s="0" t="n">
        <v>50</v>
      </c>
      <c r="I109" s="0" t="n">
        <v>399629</v>
      </c>
      <c r="J109" s="0" t="n">
        <f aca="false">I109/1000</f>
        <v>399.629</v>
      </c>
      <c r="P109" s="0" t="s">
        <v>43</v>
      </c>
      <c r="Q109" s="0" t="n">
        <v>50</v>
      </c>
      <c r="R109" s="0" t="n">
        <v>21557800</v>
      </c>
      <c r="S109" s="0" t="n">
        <f aca="false">R109/1000</f>
        <v>21557.8</v>
      </c>
    </row>
    <row r="110" customFormat="false" ht="12.8" hidden="false" customHeight="false" outlineLevel="0" collapsed="false">
      <c r="A110" s="0" t="s">
        <v>43</v>
      </c>
      <c r="B110" s="0" t="n">
        <v>64</v>
      </c>
      <c r="C110" s="0" t="n">
        <v>7462520</v>
      </c>
      <c r="D110" s="0" t="n">
        <f aca="false">C110/1000</f>
        <v>7462.52</v>
      </c>
      <c r="E110" s="92" t="n">
        <f aca="false">D110/60</f>
        <v>124.375333333333</v>
      </c>
      <c r="G110" s="0" t="s">
        <v>43</v>
      </c>
      <c r="H110" s="0" t="n">
        <v>64</v>
      </c>
      <c r="I110" s="0" t="n">
        <v>412179</v>
      </c>
      <c r="J110" s="0" t="n">
        <f aca="false">I110/1000</f>
        <v>412.179</v>
      </c>
      <c r="P110" s="0" t="s">
        <v>43</v>
      </c>
      <c r="Q110" s="0" t="n">
        <v>64</v>
      </c>
      <c r="R110" s="0" t="n">
        <v>27882300</v>
      </c>
      <c r="S110" s="0" t="n">
        <f aca="false">R110/1000</f>
        <v>27882.3</v>
      </c>
    </row>
    <row r="111" customFormat="false" ht="12.8" hidden="false" customHeight="false" outlineLevel="0" collapsed="false">
      <c r="A111" s="0" t="s">
        <v>43</v>
      </c>
      <c r="B111" s="0" t="n">
        <v>82</v>
      </c>
      <c r="C111" s="0" t="n">
        <v>10585500</v>
      </c>
      <c r="D111" s="0" t="n">
        <f aca="false">C111/1000</f>
        <v>10585.5</v>
      </c>
      <c r="E111" s="92" t="n">
        <f aca="false">D111/60</f>
        <v>176.425</v>
      </c>
      <c r="G111" s="0" t="s">
        <v>43</v>
      </c>
      <c r="H111" s="0" t="n">
        <v>82</v>
      </c>
      <c r="I111" s="0" t="n">
        <v>439628</v>
      </c>
      <c r="J111" s="0" t="n">
        <f aca="false">I111/1000</f>
        <v>439.628</v>
      </c>
      <c r="P111" s="0" t="s">
        <v>43</v>
      </c>
      <c r="Q111" s="0" t="n">
        <v>82</v>
      </c>
      <c r="R111" s="0" t="n">
        <v>28424000</v>
      </c>
      <c r="S111" s="0" t="n">
        <f aca="false">R111/1000</f>
        <v>28424</v>
      </c>
    </row>
    <row r="112" customFormat="false" ht="12.8" hidden="false" customHeight="false" outlineLevel="0" collapsed="false">
      <c r="A112" s="0" t="s">
        <v>43</v>
      </c>
      <c r="E112" s="92" t="n">
        <f aca="false">D112/60</f>
        <v>0</v>
      </c>
      <c r="G112" s="0" t="s">
        <v>43</v>
      </c>
      <c r="H112" s="0" t="n">
        <v>100</v>
      </c>
      <c r="I112" s="0" t="n">
        <v>454007</v>
      </c>
      <c r="J112" s="0" t="n">
        <f aca="false">I112/1000</f>
        <v>454.007</v>
      </c>
      <c r="P112" s="0" t="s">
        <v>43</v>
      </c>
    </row>
    <row r="113" customFormat="false" ht="12.8" hidden="false" customHeight="false" outlineLevel="0" collapsed="false">
      <c r="A113" s="0" t="s">
        <v>44</v>
      </c>
      <c r="B113" s="0" t="n">
        <v>5</v>
      </c>
      <c r="C113" s="0" t="n">
        <v>254109</v>
      </c>
      <c r="D113" s="0" t="n">
        <f aca="false">C113/1000</f>
        <v>254.109</v>
      </c>
      <c r="E113" s="92" t="n">
        <f aca="false">D113/60</f>
        <v>4.23515</v>
      </c>
      <c r="G113" s="0" t="s">
        <v>44</v>
      </c>
      <c r="H113" s="0" t="n">
        <v>5</v>
      </c>
      <c r="I113" s="0" t="n">
        <v>201877</v>
      </c>
      <c r="J113" s="0" t="n">
        <f aca="false">I113/1000</f>
        <v>201.877</v>
      </c>
      <c r="P113" s="0" t="s">
        <v>44</v>
      </c>
    </row>
    <row r="114" customFormat="false" ht="12.8" hidden="false" customHeight="false" outlineLevel="0" collapsed="false">
      <c r="A114" s="0" t="s">
        <v>44</v>
      </c>
      <c r="B114" s="0" t="n">
        <v>10</v>
      </c>
      <c r="C114" s="0" t="n">
        <v>575271</v>
      </c>
      <c r="D114" s="0" t="n">
        <f aca="false">C114/1000</f>
        <v>575.271</v>
      </c>
      <c r="E114" s="92" t="n">
        <f aca="false">D114/60</f>
        <v>9.58785</v>
      </c>
      <c r="G114" s="0" t="s">
        <v>44</v>
      </c>
      <c r="H114" s="0" t="n">
        <v>10</v>
      </c>
      <c r="I114" s="0" t="n">
        <v>275318</v>
      </c>
      <c r="J114" s="0" t="n">
        <f aca="false">I114/1000</f>
        <v>275.318</v>
      </c>
      <c r="P114" s="0" t="s">
        <v>44</v>
      </c>
    </row>
    <row r="115" customFormat="false" ht="12.8" hidden="false" customHeight="false" outlineLevel="0" collapsed="false">
      <c r="A115" s="0" t="s">
        <v>44</v>
      </c>
      <c r="B115" s="0" t="n">
        <v>15</v>
      </c>
      <c r="C115" s="0" t="n">
        <v>1080010</v>
      </c>
      <c r="D115" s="0" t="n">
        <f aca="false">C115/1000</f>
        <v>1080.01</v>
      </c>
      <c r="E115" s="92" t="n">
        <f aca="false">D115/60</f>
        <v>18.0001666666667</v>
      </c>
      <c r="G115" s="0" t="s">
        <v>44</v>
      </c>
      <c r="H115" s="0" t="n">
        <v>15</v>
      </c>
      <c r="I115" s="0" t="n">
        <v>313566</v>
      </c>
      <c r="J115" s="0" t="n">
        <f aca="false">I115/1000</f>
        <v>313.566</v>
      </c>
      <c r="P115" s="0" t="s">
        <v>44</v>
      </c>
    </row>
    <row r="116" customFormat="false" ht="12.8" hidden="false" customHeight="false" outlineLevel="0" collapsed="false">
      <c r="A116" s="0" t="s">
        <v>44</v>
      </c>
      <c r="B116" s="0" t="n">
        <v>20</v>
      </c>
      <c r="C116" s="0" t="n">
        <v>1405900</v>
      </c>
      <c r="D116" s="0" t="n">
        <f aca="false">C116/1000</f>
        <v>1405.9</v>
      </c>
      <c r="E116" s="92" t="n">
        <f aca="false">D116/60</f>
        <v>23.4316666666667</v>
      </c>
      <c r="G116" s="0" t="s">
        <v>44</v>
      </c>
      <c r="H116" s="0" t="n">
        <v>20</v>
      </c>
      <c r="I116" s="0" t="n">
        <v>320653</v>
      </c>
      <c r="J116" s="0" t="n">
        <f aca="false">I116/1000</f>
        <v>320.653</v>
      </c>
      <c r="P116" s="0" t="s">
        <v>44</v>
      </c>
    </row>
    <row r="117" customFormat="false" ht="12.8" hidden="false" customHeight="false" outlineLevel="0" collapsed="false">
      <c r="A117" s="0" t="s">
        <v>44</v>
      </c>
      <c r="B117" s="0" t="n">
        <v>30</v>
      </c>
      <c r="C117" s="0" t="n">
        <v>4394180</v>
      </c>
      <c r="D117" s="0" t="n">
        <f aca="false">C117/1000</f>
        <v>4394.18</v>
      </c>
      <c r="E117" s="92" t="n">
        <f aca="false">D117/60</f>
        <v>73.2363333333333</v>
      </c>
      <c r="G117" s="0" t="s">
        <v>44</v>
      </c>
      <c r="H117" s="0" t="n">
        <v>30</v>
      </c>
      <c r="I117" s="0" t="n">
        <v>333014</v>
      </c>
      <c r="J117" s="0" t="n">
        <f aca="false">I117/1000</f>
        <v>333.014</v>
      </c>
      <c r="P117" s="0" t="s">
        <v>44</v>
      </c>
    </row>
    <row r="118" customFormat="false" ht="12.8" hidden="false" customHeight="false" outlineLevel="0" collapsed="false">
      <c r="A118" s="0" t="s">
        <v>44</v>
      </c>
      <c r="B118" s="0" t="n">
        <v>40</v>
      </c>
      <c r="C118" s="0" t="n">
        <v>1044770</v>
      </c>
      <c r="D118" s="0" t="n">
        <f aca="false">C118/1000</f>
        <v>1044.77</v>
      </c>
      <c r="E118" s="92" t="n">
        <f aca="false">D118/60</f>
        <v>17.4128333333333</v>
      </c>
      <c r="G118" s="0" t="s">
        <v>44</v>
      </c>
      <c r="H118" s="0" t="n">
        <v>40</v>
      </c>
      <c r="I118" s="0" t="n">
        <v>370802</v>
      </c>
      <c r="J118" s="0" t="n">
        <f aca="false">I118/1000</f>
        <v>370.802</v>
      </c>
      <c r="P118" s="0" t="s">
        <v>44</v>
      </c>
    </row>
    <row r="119" customFormat="false" ht="12.8" hidden="false" customHeight="false" outlineLevel="0" collapsed="false">
      <c r="A119" s="0" t="s">
        <v>44</v>
      </c>
      <c r="B119" s="0" t="n">
        <v>50</v>
      </c>
      <c r="C119" s="0" t="n">
        <v>2117910</v>
      </c>
      <c r="D119" s="0" t="n">
        <f aca="false">C119/1000</f>
        <v>2117.91</v>
      </c>
      <c r="E119" s="92" t="n">
        <f aca="false">D119/60</f>
        <v>35.2985</v>
      </c>
      <c r="G119" s="0" t="s">
        <v>44</v>
      </c>
      <c r="H119" s="0" t="n">
        <v>50</v>
      </c>
      <c r="I119" s="0" t="n">
        <v>374015</v>
      </c>
      <c r="J119" s="0" t="n">
        <f aca="false">I119/1000</f>
        <v>374.015</v>
      </c>
      <c r="P119" s="0" t="s">
        <v>44</v>
      </c>
    </row>
    <row r="120" customFormat="false" ht="12.8" hidden="false" customHeight="false" outlineLevel="0" collapsed="false">
      <c r="A120" s="0" t="s">
        <v>44</v>
      </c>
      <c r="B120" s="0" t="n">
        <v>64</v>
      </c>
      <c r="C120" s="0" t="n">
        <v>6589250</v>
      </c>
      <c r="D120" s="0" t="n">
        <f aca="false">C120/1000</f>
        <v>6589.25</v>
      </c>
      <c r="E120" s="92" t="n">
        <f aca="false">D120/60</f>
        <v>109.820833333333</v>
      </c>
      <c r="G120" s="0" t="s">
        <v>44</v>
      </c>
      <c r="H120" s="0" t="n">
        <v>64</v>
      </c>
      <c r="I120" s="0" t="n">
        <v>404598</v>
      </c>
      <c r="J120" s="0" t="n">
        <f aca="false">I120/1000</f>
        <v>404.598</v>
      </c>
      <c r="P120" s="0" t="s">
        <v>44</v>
      </c>
    </row>
    <row r="121" customFormat="false" ht="12.8" hidden="false" customHeight="false" outlineLevel="0" collapsed="false">
      <c r="A121" s="0" t="s">
        <v>44</v>
      </c>
      <c r="B121" s="0" t="n">
        <v>82</v>
      </c>
      <c r="C121" s="0" t="n">
        <v>9209400</v>
      </c>
      <c r="D121" s="0" t="n">
        <f aca="false">C121/1000</f>
        <v>9209.4</v>
      </c>
      <c r="E121" s="92" t="n">
        <f aca="false">D121/60</f>
        <v>153.49</v>
      </c>
      <c r="G121" s="0" t="s">
        <v>44</v>
      </c>
      <c r="H121" s="0" t="n">
        <v>82</v>
      </c>
      <c r="I121" s="0" t="n">
        <v>427646</v>
      </c>
      <c r="J121" s="0" t="n">
        <f aca="false">I121/1000</f>
        <v>427.646</v>
      </c>
      <c r="P121" s="0" t="s">
        <v>44</v>
      </c>
    </row>
    <row r="122" customFormat="false" ht="12.8" hidden="false" customHeight="false" outlineLevel="0" collapsed="false">
      <c r="A122" s="0" t="s">
        <v>44</v>
      </c>
      <c r="B122" s="0" t="n">
        <v>100</v>
      </c>
      <c r="C122" s="0" t="n">
        <v>13478200</v>
      </c>
      <c r="D122" s="0" t="n">
        <f aca="false">C122/1000</f>
        <v>13478.2</v>
      </c>
      <c r="E122" s="92" t="n">
        <f aca="false">D122/60</f>
        <v>224.636666666667</v>
      </c>
      <c r="G122" s="0" t="s">
        <v>44</v>
      </c>
      <c r="H122" s="0" t="n">
        <v>100</v>
      </c>
      <c r="I122" s="0" t="n">
        <v>475049</v>
      </c>
      <c r="J122" s="0" t="n">
        <f aca="false">I122/1000</f>
        <v>475.049</v>
      </c>
      <c r="P122" s="0" t="s">
        <v>44</v>
      </c>
    </row>
    <row r="123" customFormat="false" ht="12.8" hidden="false" customHeight="false" outlineLevel="0" collapsed="false">
      <c r="A123" s="0" t="s">
        <v>46</v>
      </c>
      <c r="B123" s="0" t="n">
        <v>5</v>
      </c>
      <c r="C123" s="0" t="n">
        <v>5849.53</v>
      </c>
      <c r="D123" s="0" t="n">
        <f aca="false">C123/1000</f>
        <v>5.84953</v>
      </c>
      <c r="E123" s="92" t="n">
        <f aca="false">D123/60</f>
        <v>0.0974921666666667</v>
      </c>
      <c r="G123" s="0" t="s">
        <v>46</v>
      </c>
      <c r="H123" s="0" t="n">
        <v>5</v>
      </c>
      <c r="I123" s="0" t="n">
        <v>2320.05</v>
      </c>
      <c r="J123" s="0" t="n">
        <f aca="false">I123/1000</f>
        <v>2.32005</v>
      </c>
      <c r="P123" s="0" t="s">
        <v>46</v>
      </c>
      <c r="Q123" s="0" t="n">
        <v>5</v>
      </c>
      <c r="R123" s="0" t="n">
        <v>112454</v>
      </c>
      <c r="S123" s="0" t="n">
        <f aca="false">R123/1000</f>
        <v>112.454</v>
      </c>
    </row>
    <row r="124" customFormat="false" ht="12.8" hidden="false" customHeight="false" outlineLevel="0" collapsed="false">
      <c r="A124" s="0" t="s">
        <v>46</v>
      </c>
      <c r="B124" s="0" t="n">
        <v>10</v>
      </c>
      <c r="C124" s="0" t="n">
        <v>17682.9</v>
      </c>
      <c r="D124" s="0" t="n">
        <f aca="false">C124/1000</f>
        <v>17.6829</v>
      </c>
      <c r="E124" s="92" t="n">
        <f aca="false">D124/60</f>
        <v>0.294715</v>
      </c>
      <c r="G124" s="0" t="s">
        <v>46</v>
      </c>
      <c r="H124" s="0" t="n">
        <v>10</v>
      </c>
      <c r="I124" s="0" t="n">
        <v>3976.04</v>
      </c>
      <c r="J124" s="0" t="n">
        <f aca="false">I124/1000</f>
        <v>3.97604</v>
      </c>
      <c r="P124" s="0" t="s">
        <v>46</v>
      </c>
      <c r="Q124" s="0" t="n">
        <v>10</v>
      </c>
      <c r="R124" s="0" t="n">
        <v>221870</v>
      </c>
      <c r="S124" s="0" t="n">
        <f aca="false">R124/1000</f>
        <v>221.87</v>
      </c>
    </row>
    <row r="125" customFormat="false" ht="12.8" hidden="false" customHeight="false" outlineLevel="0" collapsed="false">
      <c r="A125" s="0" t="s">
        <v>46</v>
      </c>
      <c r="B125" s="0" t="n">
        <v>15</v>
      </c>
      <c r="C125" s="0" t="n">
        <v>34418.7</v>
      </c>
      <c r="D125" s="0" t="n">
        <f aca="false">C125/1000</f>
        <v>34.4187</v>
      </c>
      <c r="E125" s="92" t="n">
        <f aca="false">D125/60</f>
        <v>0.573645</v>
      </c>
      <c r="G125" s="0" t="s">
        <v>46</v>
      </c>
      <c r="H125" s="0" t="n">
        <v>15</v>
      </c>
      <c r="I125" s="0" t="n">
        <v>4300.87</v>
      </c>
      <c r="J125" s="0" t="n">
        <f aca="false">I125/1000</f>
        <v>4.30087</v>
      </c>
      <c r="P125" s="0" t="s">
        <v>46</v>
      </c>
      <c r="Q125" s="0" t="n">
        <v>15</v>
      </c>
      <c r="R125" s="0" t="n">
        <v>282228</v>
      </c>
      <c r="S125" s="0" t="n">
        <f aca="false">R125/1000</f>
        <v>282.228</v>
      </c>
    </row>
    <row r="126" customFormat="false" ht="12.8" hidden="false" customHeight="false" outlineLevel="0" collapsed="false">
      <c r="A126" s="0" t="s">
        <v>46</v>
      </c>
      <c r="B126" s="0" t="n">
        <v>20</v>
      </c>
      <c r="C126" s="0" t="n">
        <v>56067.9</v>
      </c>
      <c r="D126" s="0" t="n">
        <f aca="false">C126/1000</f>
        <v>56.0679</v>
      </c>
      <c r="E126" s="92" t="n">
        <f aca="false">D126/60</f>
        <v>0.934465</v>
      </c>
      <c r="G126" s="0" t="s">
        <v>46</v>
      </c>
      <c r="H126" s="0" t="n">
        <v>20</v>
      </c>
      <c r="I126" s="0" t="n">
        <v>4336.65</v>
      </c>
      <c r="J126" s="0" t="n">
        <f aca="false">I126/1000</f>
        <v>4.33665</v>
      </c>
      <c r="P126" s="0" t="s">
        <v>46</v>
      </c>
      <c r="Q126" s="0" t="n">
        <v>20</v>
      </c>
      <c r="R126" s="0" t="n">
        <v>361936</v>
      </c>
      <c r="S126" s="0" t="n">
        <f aca="false">R126/1000</f>
        <v>361.936</v>
      </c>
    </row>
    <row r="127" customFormat="false" ht="12.8" hidden="false" customHeight="false" outlineLevel="0" collapsed="false">
      <c r="A127" s="0" t="s">
        <v>46</v>
      </c>
      <c r="B127" s="0" t="n">
        <v>30</v>
      </c>
      <c r="C127" s="0" t="n">
        <v>103575</v>
      </c>
      <c r="D127" s="0" t="n">
        <f aca="false">C127/1000</f>
        <v>103.575</v>
      </c>
      <c r="E127" s="92" t="n">
        <f aca="false">D127/60</f>
        <v>1.72625</v>
      </c>
      <c r="G127" s="0" t="s">
        <v>46</v>
      </c>
      <c r="H127" s="0" t="n">
        <v>30</v>
      </c>
      <c r="I127" s="0" t="n">
        <v>4550.32</v>
      </c>
      <c r="J127" s="0" t="n">
        <f aca="false">I127/1000</f>
        <v>4.55032</v>
      </c>
      <c r="P127" s="0" t="s">
        <v>46</v>
      </c>
      <c r="Q127" s="0" t="n">
        <v>30</v>
      </c>
      <c r="R127" s="0" t="n">
        <v>483914</v>
      </c>
      <c r="S127" s="0" t="n">
        <f aca="false">R127/1000</f>
        <v>483.914</v>
      </c>
    </row>
    <row r="128" customFormat="false" ht="12.8" hidden="false" customHeight="false" outlineLevel="0" collapsed="false">
      <c r="A128" s="0" t="s">
        <v>46</v>
      </c>
      <c r="B128" s="0" t="n">
        <v>40</v>
      </c>
      <c r="C128" s="0" t="n">
        <v>153909</v>
      </c>
      <c r="D128" s="0" t="n">
        <f aca="false">C128/1000</f>
        <v>153.909</v>
      </c>
      <c r="E128" s="92" t="n">
        <f aca="false">D128/60</f>
        <v>2.56515</v>
      </c>
      <c r="G128" s="0" t="s">
        <v>46</v>
      </c>
      <c r="H128" s="0" t="n">
        <v>40</v>
      </c>
      <c r="I128" s="0" t="n">
        <v>5834.21</v>
      </c>
      <c r="J128" s="0" t="n">
        <f aca="false">I128/1000</f>
        <v>5.83421</v>
      </c>
      <c r="P128" s="0" t="s">
        <v>46</v>
      </c>
      <c r="Q128" s="0" t="n">
        <v>40</v>
      </c>
      <c r="R128" s="0" t="n">
        <v>682919</v>
      </c>
      <c r="S128" s="0" t="n">
        <f aca="false">R128/1000</f>
        <v>682.919</v>
      </c>
    </row>
    <row r="129" customFormat="false" ht="12.8" hidden="false" customHeight="false" outlineLevel="0" collapsed="false">
      <c r="A129" s="0" t="s">
        <v>46</v>
      </c>
      <c r="B129" s="0" t="n">
        <v>50</v>
      </c>
      <c r="C129" s="0" t="n">
        <v>214528</v>
      </c>
      <c r="D129" s="0" t="n">
        <f aca="false">C129/1000</f>
        <v>214.528</v>
      </c>
      <c r="E129" s="92" t="n">
        <f aca="false">D129/60</f>
        <v>3.57546666666667</v>
      </c>
      <c r="G129" s="0" t="s">
        <v>46</v>
      </c>
      <c r="H129" s="0" t="n">
        <v>50</v>
      </c>
      <c r="I129" s="0" t="n">
        <v>6064.56</v>
      </c>
      <c r="J129" s="0" t="n">
        <f aca="false">I129/1000</f>
        <v>6.06456</v>
      </c>
      <c r="P129" s="0" t="s">
        <v>46</v>
      </c>
      <c r="Q129" s="0" t="n">
        <v>50</v>
      </c>
      <c r="R129" s="0" t="n">
        <v>793859</v>
      </c>
      <c r="S129" s="0" t="n">
        <f aca="false">R129/1000</f>
        <v>793.859</v>
      </c>
    </row>
    <row r="130" customFormat="false" ht="12.8" hidden="false" customHeight="false" outlineLevel="0" collapsed="false">
      <c r="A130" s="0" t="s">
        <v>46</v>
      </c>
      <c r="B130" s="0" t="n">
        <v>64</v>
      </c>
      <c r="C130" s="0" t="n">
        <v>316470</v>
      </c>
      <c r="D130" s="0" t="n">
        <f aca="false">C130/1000</f>
        <v>316.47</v>
      </c>
      <c r="E130" s="92" t="n">
        <f aca="false">D130/60</f>
        <v>5.2745</v>
      </c>
      <c r="G130" s="0" t="s">
        <v>46</v>
      </c>
      <c r="H130" s="0" t="n">
        <v>64</v>
      </c>
      <c r="I130" s="0" t="n">
        <v>5931.52</v>
      </c>
      <c r="J130" s="0" t="n">
        <f aca="false">I130/1000</f>
        <v>5.93152</v>
      </c>
      <c r="P130" s="0" t="s">
        <v>46</v>
      </c>
      <c r="Q130" s="0" t="n">
        <v>64</v>
      </c>
      <c r="R130" s="0" t="n">
        <v>836258</v>
      </c>
      <c r="S130" s="0" t="n">
        <f aca="false">R130/1000</f>
        <v>836.258</v>
      </c>
    </row>
    <row r="131" customFormat="false" ht="12.8" hidden="false" customHeight="false" outlineLevel="0" collapsed="false">
      <c r="A131" s="0" t="s">
        <v>46</v>
      </c>
      <c r="B131" s="0" t="n">
        <v>82</v>
      </c>
      <c r="C131" s="0" t="n">
        <v>467862</v>
      </c>
      <c r="D131" s="0" t="n">
        <f aca="false">C131/1000</f>
        <v>467.862</v>
      </c>
      <c r="E131" s="92" t="n">
        <f aca="false">D131/60</f>
        <v>7.7977</v>
      </c>
      <c r="G131" s="0" t="s">
        <v>46</v>
      </c>
      <c r="H131" s="0" t="n">
        <v>82</v>
      </c>
      <c r="I131" s="0" t="n">
        <v>6896.5</v>
      </c>
      <c r="J131" s="0" t="n">
        <f aca="false">I131/1000</f>
        <v>6.8965</v>
      </c>
      <c r="P131" s="0" t="s">
        <v>46</v>
      </c>
      <c r="Q131" s="0" t="n">
        <v>82</v>
      </c>
      <c r="R131" s="0" t="n">
        <v>1219590</v>
      </c>
      <c r="S131" s="0" t="n">
        <f aca="false">R131/1000</f>
        <v>1219.59</v>
      </c>
    </row>
    <row r="132" customFormat="false" ht="12.8" hidden="false" customHeight="false" outlineLevel="0" collapsed="false">
      <c r="A132" s="0" t="s">
        <v>46</v>
      </c>
      <c r="B132" s="0" t="n">
        <v>100</v>
      </c>
      <c r="C132" s="0" t="n">
        <v>597099</v>
      </c>
      <c r="D132" s="0" t="n">
        <f aca="false">C132/1000</f>
        <v>597.099</v>
      </c>
      <c r="E132" s="92" t="n">
        <f aca="false">D132/60</f>
        <v>9.95165</v>
      </c>
      <c r="G132" s="0" t="s">
        <v>46</v>
      </c>
      <c r="H132" s="0" t="n">
        <v>100</v>
      </c>
      <c r="I132" s="0" t="n">
        <v>8830.03</v>
      </c>
      <c r="J132" s="0" t="n">
        <f aca="false">I132/1000</f>
        <v>8.83003</v>
      </c>
      <c r="P132" s="0" t="s">
        <v>46</v>
      </c>
      <c r="Q132" s="0" t="n">
        <v>100</v>
      </c>
      <c r="R132" s="0" t="n">
        <v>1468610</v>
      </c>
      <c r="S132" s="0" t="n">
        <f aca="false">R132/1000</f>
        <v>1468.61</v>
      </c>
    </row>
    <row r="133" customFormat="false" ht="12.8" hidden="false" customHeight="false" outlineLevel="0" collapsed="false">
      <c r="A133" s="0" t="s">
        <v>47</v>
      </c>
      <c r="B133" s="0" t="n">
        <v>5</v>
      </c>
      <c r="C133" s="0" t="n">
        <v>9801.41</v>
      </c>
      <c r="D133" s="0" t="n">
        <f aca="false">C133/1000</f>
        <v>9.80141</v>
      </c>
      <c r="E133" s="92" t="n">
        <f aca="false">D133/60</f>
        <v>0.163356833333333</v>
      </c>
      <c r="G133" s="0" t="s">
        <v>47</v>
      </c>
      <c r="H133" s="0" t="n">
        <v>5</v>
      </c>
      <c r="I133" s="0" t="n">
        <v>2401.64</v>
      </c>
      <c r="J133" s="0" t="n">
        <f aca="false">I133/1000</f>
        <v>2.40164</v>
      </c>
      <c r="P133" s="0" t="s">
        <v>47</v>
      </c>
      <c r="Q133" s="0" t="n">
        <v>5</v>
      </c>
      <c r="R133" s="0" t="n">
        <v>192105</v>
      </c>
      <c r="S133" s="0" t="n">
        <f aca="false">R133/1000</f>
        <v>192.105</v>
      </c>
    </row>
    <row r="134" customFormat="false" ht="12.8" hidden="false" customHeight="false" outlineLevel="0" collapsed="false">
      <c r="A134" s="0" t="s">
        <v>47</v>
      </c>
      <c r="B134" s="0" t="n">
        <v>10</v>
      </c>
      <c r="C134" s="0" t="n">
        <v>12690</v>
      </c>
      <c r="D134" s="0" t="n">
        <f aca="false">C134/1000</f>
        <v>12.69</v>
      </c>
      <c r="E134" s="92" t="n">
        <f aca="false">D134/60</f>
        <v>0.2115</v>
      </c>
      <c r="G134" s="0" t="s">
        <v>47</v>
      </c>
      <c r="H134" s="0" t="n">
        <v>10</v>
      </c>
      <c r="I134" s="0" t="n">
        <v>3865.81</v>
      </c>
      <c r="J134" s="0" t="n">
        <f aca="false">I134/1000</f>
        <v>3.86581</v>
      </c>
      <c r="P134" s="0" t="s">
        <v>47</v>
      </c>
      <c r="Q134" s="0" t="n">
        <v>10</v>
      </c>
      <c r="R134" s="0" t="n">
        <v>403741</v>
      </c>
      <c r="S134" s="0" t="n">
        <f aca="false">R134/1000</f>
        <v>403.741</v>
      </c>
    </row>
    <row r="135" customFormat="false" ht="12.8" hidden="false" customHeight="false" outlineLevel="0" collapsed="false">
      <c r="A135" s="0" t="s">
        <v>47</v>
      </c>
      <c r="B135" s="0" t="n">
        <v>15</v>
      </c>
      <c r="C135" s="0" t="n">
        <v>29794.4</v>
      </c>
      <c r="D135" s="0" t="n">
        <f aca="false">C135/1000</f>
        <v>29.7944</v>
      </c>
      <c r="E135" s="92" t="n">
        <f aca="false">D135/60</f>
        <v>0.496573333333333</v>
      </c>
      <c r="G135" s="0" t="s">
        <v>47</v>
      </c>
      <c r="H135" s="0" t="n">
        <v>15</v>
      </c>
      <c r="I135" s="0" t="n">
        <v>3865.91</v>
      </c>
      <c r="J135" s="0" t="n">
        <f aca="false">I135/1000</f>
        <v>3.86591</v>
      </c>
      <c r="P135" s="0" t="s">
        <v>47</v>
      </c>
      <c r="Q135" s="0" t="n">
        <v>15</v>
      </c>
      <c r="R135" s="0" t="n">
        <v>473270</v>
      </c>
      <c r="S135" s="0" t="n">
        <f aca="false">R135/1000</f>
        <v>473.27</v>
      </c>
    </row>
    <row r="136" customFormat="false" ht="12.8" hidden="false" customHeight="false" outlineLevel="0" collapsed="false">
      <c r="A136" s="0" t="s">
        <v>47</v>
      </c>
      <c r="B136" s="0" t="n">
        <v>20</v>
      </c>
      <c r="C136" s="0" t="n">
        <v>54140.3</v>
      </c>
      <c r="D136" s="0" t="n">
        <f aca="false">C136/1000</f>
        <v>54.1403</v>
      </c>
      <c r="E136" s="92" t="n">
        <f aca="false">D136/60</f>
        <v>0.902338333333333</v>
      </c>
      <c r="G136" s="0" t="s">
        <v>47</v>
      </c>
      <c r="H136" s="0" t="n">
        <v>20</v>
      </c>
      <c r="I136" s="0" t="n">
        <v>4305.67</v>
      </c>
      <c r="J136" s="0" t="n">
        <f aca="false">I136/1000</f>
        <v>4.30567</v>
      </c>
      <c r="P136" s="0" t="s">
        <v>47</v>
      </c>
      <c r="Q136" s="0" t="n">
        <v>20</v>
      </c>
      <c r="R136" s="0" t="n">
        <v>631002</v>
      </c>
      <c r="S136" s="0" t="n">
        <f aca="false">R136/1000</f>
        <v>631.002</v>
      </c>
    </row>
    <row r="137" customFormat="false" ht="12.8" hidden="false" customHeight="false" outlineLevel="0" collapsed="false">
      <c r="A137" s="0" t="s">
        <v>47</v>
      </c>
      <c r="B137" s="0" t="n">
        <v>30</v>
      </c>
      <c r="C137" s="0" t="n">
        <v>107390</v>
      </c>
      <c r="D137" s="0" t="n">
        <f aca="false">C137/1000</f>
        <v>107.39</v>
      </c>
      <c r="E137" s="92" t="n">
        <f aca="false">D137/60</f>
        <v>1.78983333333333</v>
      </c>
      <c r="G137" s="0" t="s">
        <v>47</v>
      </c>
      <c r="H137" s="0" t="n">
        <v>30</v>
      </c>
      <c r="I137" s="0" t="n">
        <v>4477.32</v>
      </c>
      <c r="J137" s="0" t="n">
        <f aca="false">I137/1000</f>
        <v>4.47732</v>
      </c>
      <c r="P137" s="0" t="s">
        <v>47</v>
      </c>
      <c r="Q137" s="0" t="n">
        <v>30</v>
      </c>
      <c r="R137" s="0" t="n">
        <v>943710</v>
      </c>
      <c r="S137" s="0" t="n">
        <f aca="false">R137/1000</f>
        <v>943.71</v>
      </c>
    </row>
    <row r="138" customFormat="false" ht="12.8" hidden="false" customHeight="false" outlineLevel="0" collapsed="false">
      <c r="A138" s="0" t="s">
        <v>47</v>
      </c>
      <c r="B138" s="0" t="n">
        <v>40</v>
      </c>
      <c r="C138" s="0" t="n">
        <v>148061</v>
      </c>
      <c r="D138" s="0" t="n">
        <f aca="false">C138/1000</f>
        <v>148.061</v>
      </c>
      <c r="E138" s="92" t="n">
        <f aca="false">D138/60</f>
        <v>2.46768333333333</v>
      </c>
      <c r="G138" s="0" t="s">
        <v>47</v>
      </c>
      <c r="H138" s="0" t="n">
        <v>40</v>
      </c>
      <c r="I138" s="0" t="n">
        <v>5206.51</v>
      </c>
      <c r="J138" s="0" t="n">
        <f aca="false">I138/1000</f>
        <v>5.20651</v>
      </c>
      <c r="P138" s="0" t="s">
        <v>47</v>
      </c>
      <c r="Q138" s="0" t="n">
        <v>40</v>
      </c>
      <c r="R138" s="0" t="n">
        <v>1413540</v>
      </c>
      <c r="S138" s="0" t="n">
        <f aca="false">R138/1000</f>
        <v>1413.54</v>
      </c>
    </row>
    <row r="139" customFormat="false" ht="12.8" hidden="false" customHeight="false" outlineLevel="0" collapsed="false">
      <c r="A139" s="0" t="s">
        <v>47</v>
      </c>
      <c r="B139" s="0" t="n">
        <v>50</v>
      </c>
      <c r="C139" s="0" t="n">
        <v>210884</v>
      </c>
      <c r="D139" s="0" t="n">
        <f aca="false">C139/1000</f>
        <v>210.884</v>
      </c>
      <c r="E139" s="92" t="n">
        <f aca="false">D139/60</f>
        <v>3.51473333333333</v>
      </c>
      <c r="G139" s="0" t="s">
        <v>47</v>
      </c>
      <c r="H139" s="0" t="n">
        <v>50</v>
      </c>
      <c r="I139" s="0" t="n">
        <v>5104.02</v>
      </c>
      <c r="J139" s="0" t="n">
        <f aca="false">I139/1000</f>
        <v>5.10402</v>
      </c>
      <c r="P139" s="0" t="s">
        <v>47</v>
      </c>
      <c r="Q139" s="0" t="n">
        <v>50</v>
      </c>
      <c r="R139" s="0" t="n">
        <v>1696760</v>
      </c>
      <c r="S139" s="0" t="n">
        <f aca="false">R139/1000</f>
        <v>1696.76</v>
      </c>
    </row>
    <row r="140" customFormat="false" ht="12.8" hidden="false" customHeight="false" outlineLevel="0" collapsed="false">
      <c r="A140" s="0" t="s">
        <v>47</v>
      </c>
      <c r="B140" s="0" t="n">
        <v>64</v>
      </c>
      <c r="C140" s="0" t="n">
        <v>307947</v>
      </c>
      <c r="D140" s="0" t="n">
        <f aca="false">C140/1000</f>
        <v>307.947</v>
      </c>
      <c r="E140" s="92" t="n">
        <f aca="false">D140/60</f>
        <v>5.13245</v>
      </c>
      <c r="G140" s="0" t="s">
        <v>47</v>
      </c>
      <c r="H140" s="0" t="n">
        <v>64</v>
      </c>
      <c r="I140" s="0" t="n">
        <v>6414.81</v>
      </c>
      <c r="J140" s="0" t="n">
        <f aca="false">I140/1000</f>
        <v>6.41481</v>
      </c>
      <c r="P140" s="0" t="s">
        <v>47</v>
      </c>
      <c r="Q140" s="0" t="n">
        <v>64</v>
      </c>
      <c r="R140" s="0" t="n">
        <v>2406980</v>
      </c>
      <c r="S140" s="0" t="n">
        <f aca="false">R140/1000</f>
        <v>2406.98</v>
      </c>
    </row>
    <row r="141" customFormat="false" ht="12.8" hidden="false" customHeight="false" outlineLevel="0" collapsed="false">
      <c r="A141" s="0" t="s">
        <v>47</v>
      </c>
      <c r="B141" s="0" t="n">
        <v>82</v>
      </c>
      <c r="C141" s="0" t="n">
        <v>471949</v>
      </c>
      <c r="D141" s="0" t="n">
        <f aca="false">C141/1000</f>
        <v>471.949</v>
      </c>
      <c r="E141" s="92" t="n">
        <f aca="false">D141/60</f>
        <v>7.86581666666667</v>
      </c>
      <c r="G141" s="0" t="s">
        <v>47</v>
      </c>
      <c r="H141" s="0" t="n">
        <v>82</v>
      </c>
      <c r="I141" s="0" t="n">
        <v>6741.84</v>
      </c>
      <c r="J141" s="0" t="n">
        <f aca="false">I141/1000</f>
        <v>6.74184</v>
      </c>
      <c r="P141" s="0" t="s">
        <v>47</v>
      </c>
      <c r="Q141" s="0" t="n">
        <v>82</v>
      </c>
      <c r="R141" s="0" t="n">
        <v>4084270</v>
      </c>
      <c r="S141" s="0" t="n">
        <f aca="false">R141/1000</f>
        <v>4084.27</v>
      </c>
    </row>
    <row r="142" customFormat="false" ht="12.8" hidden="false" customHeight="false" outlineLevel="0" collapsed="false">
      <c r="A142" s="0" t="s">
        <v>47</v>
      </c>
      <c r="B142" s="0" t="n">
        <v>100</v>
      </c>
      <c r="C142" s="0" t="n">
        <v>626313</v>
      </c>
      <c r="D142" s="0" t="n">
        <f aca="false">C142/1000</f>
        <v>626.313</v>
      </c>
      <c r="E142" s="92" t="n">
        <f aca="false">D142/60</f>
        <v>10.43855</v>
      </c>
      <c r="G142" s="0" t="s">
        <v>47</v>
      </c>
      <c r="H142" s="0" t="n">
        <v>100</v>
      </c>
      <c r="I142" s="0" t="n">
        <v>8832.45</v>
      </c>
      <c r="J142" s="0" t="n">
        <f aca="false">I142/1000</f>
        <v>8.83245</v>
      </c>
      <c r="P142" s="0" t="s">
        <v>47</v>
      </c>
      <c r="Q142" s="0" t="n">
        <v>100</v>
      </c>
      <c r="R142" s="0" t="n">
        <v>4197120</v>
      </c>
      <c r="S142" s="0" t="n">
        <f aca="false">R142/1000</f>
        <v>4197.12</v>
      </c>
    </row>
    <row r="143" customFormat="false" ht="12.8" hidden="false" customHeight="false" outlineLevel="0" collapsed="false">
      <c r="A143" s="0" t="s">
        <v>48</v>
      </c>
      <c r="B143" s="0" t="n">
        <v>5</v>
      </c>
      <c r="C143" s="0" t="n">
        <v>10121.1</v>
      </c>
      <c r="D143" s="0" t="n">
        <f aca="false">C143/1000</f>
        <v>10.1211</v>
      </c>
      <c r="E143" s="92" t="n">
        <f aca="false">D143/60</f>
        <v>0.168685</v>
      </c>
      <c r="G143" s="0" t="s">
        <v>48</v>
      </c>
      <c r="H143" s="0" t="n">
        <v>5</v>
      </c>
      <c r="I143" s="0" t="n">
        <v>25074.6</v>
      </c>
      <c r="J143" s="0" t="n">
        <f aca="false">I143/1000</f>
        <v>25.0746</v>
      </c>
      <c r="P143" s="0" t="s">
        <v>48</v>
      </c>
      <c r="Q143" s="0" t="n">
        <v>5</v>
      </c>
      <c r="R143" s="0" t="n">
        <v>1184330</v>
      </c>
      <c r="S143" s="0" t="n">
        <f aca="false">R143/1000</f>
        <v>1184.33</v>
      </c>
    </row>
    <row r="144" customFormat="false" ht="12.8" hidden="false" customHeight="false" outlineLevel="0" collapsed="false">
      <c r="A144" s="0" t="s">
        <v>48</v>
      </c>
      <c r="B144" s="0" t="n">
        <v>10</v>
      </c>
      <c r="C144" s="0" t="n">
        <v>64190.4</v>
      </c>
      <c r="D144" s="0" t="n">
        <f aca="false">C144/1000</f>
        <v>64.1904</v>
      </c>
      <c r="E144" s="92" t="n">
        <f aca="false">D144/60</f>
        <v>1.06984</v>
      </c>
      <c r="G144" s="0" t="s">
        <v>48</v>
      </c>
      <c r="H144" s="0" t="n">
        <v>10</v>
      </c>
      <c r="I144" s="0" t="n">
        <v>37833.8</v>
      </c>
      <c r="J144" s="0" t="n">
        <f aca="false">I144/1000</f>
        <v>37.8338</v>
      </c>
      <c r="P144" s="0" t="s">
        <v>48</v>
      </c>
      <c r="Q144" s="0" t="n">
        <v>10</v>
      </c>
      <c r="R144" s="0" t="n">
        <v>1822130</v>
      </c>
      <c r="S144" s="0" t="n">
        <f aca="false">R144/1000</f>
        <v>1822.13</v>
      </c>
    </row>
    <row r="145" customFormat="false" ht="12.8" hidden="false" customHeight="false" outlineLevel="0" collapsed="false">
      <c r="A145" s="0" t="s">
        <v>48</v>
      </c>
      <c r="B145" s="0" t="n">
        <v>15</v>
      </c>
      <c r="C145" s="0" t="n">
        <v>28670.5</v>
      </c>
      <c r="D145" s="0" t="n">
        <f aca="false">C145/1000</f>
        <v>28.6705</v>
      </c>
      <c r="E145" s="92" t="n">
        <f aca="false">D145/60</f>
        <v>0.477841666666667</v>
      </c>
      <c r="G145" s="0" t="s">
        <v>48</v>
      </c>
      <c r="H145" s="0" t="n">
        <v>15</v>
      </c>
      <c r="I145" s="0" t="n">
        <v>39336.2</v>
      </c>
      <c r="J145" s="0" t="n">
        <f aca="false">I145/1000</f>
        <v>39.3362</v>
      </c>
      <c r="P145" s="0" t="s">
        <v>48</v>
      </c>
      <c r="Q145" s="0" t="n">
        <v>15</v>
      </c>
      <c r="R145" s="0" t="n">
        <v>1310040</v>
      </c>
      <c r="S145" s="0" t="n">
        <f aca="false">R145/1000</f>
        <v>1310.04</v>
      </c>
    </row>
    <row r="146" customFormat="false" ht="12.8" hidden="false" customHeight="false" outlineLevel="0" collapsed="false">
      <c r="A146" s="0" t="s">
        <v>48</v>
      </c>
      <c r="B146" s="0" t="n">
        <v>20</v>
      </c>
      <c r="C146" s="0" t="n">
        <v>84446.1</v>
      </c>
      <c r="D146" s="0" t="n">
        <f aca="false">C146/1000</f>
        <v>84.4461</v>
      </c>
      <c r="E146" s="92" t="n">
        <f aca="false">D146/60</f>
        <v>1.407435</v>
      </c>
      <c r="G146" s="0" t="s">
        <v>48</v>
      </c>
      <c r="H146" s="0" t="n">
        <v>20</v>
      </c>
      <c r="I146" s="0" t="n">
        <v>41257.6</v>
      </c>
      <c r="J146" s="0" t="n">
        <f aca="false">I146/1000</f>
        <v>41.2576</v>
      </c>
      <c r="P146" s="0" t="s">
        <v>48</v>
      </c>
      <c r="Q146" s="0" t="n">
        <v>20</v>
      </c>
      <c r="R146" s="0" t="n">
        <v>2274160</v>
      </c>
      <c r="S146" s="0" t="n">
        <f aca="false">R146/1000</f>
        <v>2274.16</v>
      </c>
    </row>
    <row r="147" customFormat="false" ht="12.8" hidden="false" customHeight="false" outlineLevel="0" collapsed="false">
      <c r="A147" s="0" t="s">
        <v>48</v>
      </c>
      <c r="B147" s="0" t="n">
        <v>30</v>
      </c>
      <c r="C147" s="0" t="n">
        <v>228388</v>
      </c>
      <c r="D147" s="0" t="n">
        <f aca="false">C147/1000</f>
        <v>228.388</v>
      </c>
      <c r="E147" s="92" t="n">
        <f aca="false">D147/60</f>
        <v>3.80646666666667</v>
      </c>
      <c r="G147" s="0" t="s">
        <v>48</v>
      </c>
      <c r="H147" s="0" t="n">
        <v>30</v>
      </c>
      <c r="I147" s="0" t="n">
        <v>46663.6</v>
      </c>
      <c r="J147" s="0" t="n">
        <f aca="false">I147/1000</f>
        <v>46.6636</v>
      </c>
      <c r="P147" s="0" t="s">
        <v>48</v>
      </c>
      <c r="Q147" s="0" t="n">
        <v>30</v>
      </c>
      <c r="R147" s="0" t="n">
        <v>2575840</v>
      </c>
      <c r="S147" s="0" t="n">
        <f aca="false">R147/1000</f>
        <v>2575.84</v>
      </c>
    </row>
    <row r="148" customFormat="false" ht="12.8" hidden="false" customHeight="false" outlineLevel="0" collapsed="false">
      <c r="A148" s="0" t="s">
        <v>48</v>
      </c>
      <c r="B148" s="0" t="n">
        <v>40</v>
      </c>
      <c r="C148" s="0" t="n">
        <v>325981</v>
      </c>
      <c r="D148" s="0" t="n">
        <f aca="false">C148/1000</f>
        <v>325.981</v>
      </c>
      <c r="E148" s="92" t="n">
        <f aca="false">D148/60</f>
        <v>5.43301666666667</v>
      </c>
      <c r="G148" s="0" t="s">
        <v>48</v>
      </c>
      <c r="H148" s="0" t="n">
        <v>40</v>
      </c>
      <c r="I148" s="0" t="n">
        <v>46433.3</v>
      </c>
      <c r="J148" s="0" t="n">
        <f aca="false">I148/1000</f>
        <v>46.4333</v>
      </c>
      <c r="P148" s="0" t="s">
        <v>48</v>
      </c>
      <c r="Q148" s="0" t="n">
        <v>40</v>
      </c>
      <c r="R148" s="0" t="n">
        <v>2169120</v>
      </c>
      <c r="S148" s="0" t="n">
        <f aca="false">R148/1000</f>
        <v>2169.12</v>
      </c>
    </row>
    <row r="149" customFormat="false" ht="12.8" hidden="false" customHeight="false" outlineLevel="0" collapsed="false">
      <c r="A149" s="0" t="s">
        <v>48</v>
      </c>
      <c r="B149" s="0" t="n">
        <v>50</v>
      </c>
      <c r="C149" s="0" t="n">
        <v>478111</v>
      </c>
      <c r="D149" s="0" t="n">
        <f aca="false">C149/1000</f>
        <v>478.111</v>
      </c>
      <c r="E149" s="92" t="n">
        <f aca="false">D149/60</f>
        <v>7.96851666666667</v>
      </c>
      <c r="G149" s="0" t="s">
        <v>48</v>
      </c>
      <c r="H149" s="0" t="n">
        <v>50</v>
      </c>
      <c r="I149" s="0" t="n">
        <v>51518.5</v>
      </c>
      <c r="J149" s="0" t="n">
        <f aca="false">I149/1000</f>
        <v>51.5185</v>
      </c>
      <c r="P149" s="0" t="s">
        <v>48</v>
      </c>
      <c r="Q149" s="0" t="n">
        <v>50</v>
      </c>
      <c r="R149" s="0" t="n">
        <v>2419380</v>
      </c>
      <c r="S149" s="0" t="n">
        <f aca="false">R149/1000</f>
        <v>2419.38</v>
      </c>
    </row>
    <row r="150" customFormat="false" ht="12.8" hidden="false" customHeight="false" outlineLevel="0" collapsed="false">
      <c r="A150" s="0" t="s">
        <v>48</v>
      </c>
      <c r="B150" s="0" t="n">
        <v>64</v>
      </c>
      <c r="C150" s="0" t="n">
        <v>733686</v>
      </c>
      <c r="D150" s="0" t="n">
        <f aca="false">C150/1000</f>
        <v>733.686</v>
      </c>
      <c r="E150" s="92" t="n">
        <f aca="false">D150/60</f>
        <v>12.2281</v>
      </c>
      <c r="G150" s="0" t="s">
        <v>48</v>
      </c>
      <c r="H150" s="0" t="n">
        <v>64</v>
      </c>
      <c r="I150" s="0" t="n">
        <v>65596.8</v>
      </c>
      <c r="J150" s="0" t="n">
        <f aca="false">I150/1000</f>
        <v>65.5968</v>
      </c>
      <c r="P150" s="0" t="s">
        <v>48</v>
      </c>
      <c r="Q150" s="0" t="n">
        <v>64</v>
      </c>
      <c r="R150" s="0" t="n">
        <v>2405930</v>
      </c>
      <c r="S150" s="0" t="n">
        <f aca="false">R150/1000</f>
        <v>2405.93</v>
      </c>
    </row>
    <row r="151" customFormat="false" ht="12.8" hidden="false" customHeight="false" outlineLevel="0" collapsed="false">
      <c r="A151" s="0" t="s">
        <v>48</v>
      </c>
      <c r="B151" s="0" t="n">
        <v>82</v>
      </c>
      <c r="C151" s="0" t="n">
        <v>1086250</v>
      </c>
      <c r="D151" s="0" t="n">
        <f aca="false">C151/1000</f>
        <v>1086.25</v>
      </c>
      <c r="E151" s="92" t="n">
        <f aca="false">D151/60</f>
        <v>18.1041666666667</v>
      </c>
      <c r="G151" s="0" t="s">
        <v>48</v>
      </c>
      <c r="H151" s="0" t="n">
        <v>82</v>
      </c>
      <c r="I151" s="0" t="n">
        <v>60552.5</v>
      </c>
      <c r="J151" s="0" t="n">
        <f aca="false">I151/1000</f>
        <v>60.5525</v>
      </c>
      <c r="P151" s="0" t="s">
        <v>48</v>
      </c>
      <c r="Q151" s="0" t="n">
        <v>82</v>
      </c>
      <c r="R151" s="0" t="n">
        <v>2866750</v>
      </c>
      <c r="S151" s="0" t="n">
        <f aca="false">R151/1000</f>
        <v>2866.75</v>
      </c>
    </row>
    <row r="152" customFormat="false" ht="12.8" hidden="false" customHeight="false" outlineLevel="0" collapsed="false">
      <c r="A152" s="0" t="s">
        <v>48</v>
      </c>
      <c r="B152" s="0" t="n">
        <v>100</v>
      </c>
      <c r="C152" s="0" t="n">
        <v>1482050</v>
      </c>
      <c r="D152" s="0" t="n">
        <f aca="false">C152/1000</f>
        <v>1482.05</v>
      </c>
      <c r="E152" s="92" t="n">
        <f aca="false">D152/60</f>
        <v>24.7008333333333</v>
      </c>
      <c r="G152" s="0" t="s">
        <v>48</v>
      </c>
      <c r="H152" s="0" t="n">
        <v>100</v>
      </c>
      <c r="I152" s="0" t="n">
        <v>77917.5</v>
      </c>
      <c r="J152" s="0" t="n">
        <f aca="false">I152/1000</f>
        <v>77.9175</v>
      </c>
      <c r="P152" s="0" t="s">
        <v>48</v>
      </c>
      <c r="Q152" s="0" t="n">
        <v>100</v>
      </c>
      <c r="R152" s="0" t="n">
        <v>2936750</v>
      </c>
      <c r="S152" s="0" t="n">
        <f aca="false">R152/1000</f>
        <v>2936.75</v>
      </c>
    </row>
    <row r="153" customFormat="false" ht="12.8" hidden="false" customHeight="false" outlineLevel="0" collapsed="false">
      <c r="A153" s="0" t="s">
        <v>49</v>
      </c>
      <c r="B153" s="0" t="n">
        <v>5</v>
      </c>
      <c r="C153" s="0" t="n">
        <v>135883</v>
      </c>
      <c r="D153" s="0" t="n">
        <f aca="false">C153/1000</f>
        <v>135.883</v>
      </c>
      <c r="E153" s="92" t="n">
        <f aca="false">D153/60</f>
        <v>2.26471666666667</v>
      </c>
      <c r="G153" s="0" t="s">
        <v>49</v>
      </c>
      <c r="H153" s="0" t="n">
        <v>5</v>
      </c>
      <c r="I153" s="0" t="n">
        <v>118927</v>
      </c>
      <c r="J153" s="0" t="n">
        <f aca="false">I153/1000</f>
        <v>118.927</v>
      </c>
      <c r="P153" s="0" t="s">
        <v>49</v>
      </c>
      <c r="Q153" s="0" t="n">
        <v>5</v>
      </c>
      <c r="R153" s="0" t="n">
        <v>2981510</v>
      </c>
      <c r="S153" s="0" t="n">
        <f aca="false">R153/1000</f>
        <v>2981.51</v>
      </c>
    </row>
    <row r="154" customFormat="false" ht="12.8" hidden="false" customHeight="false" outlineLevel="0" collapsed="false">
      <c r="A154" s="0" t="s">
        <v>49</v>
      </c>
      <c r="B154" s="0" t="n">
        <v>10</v>
      </c>
      <c r="C154" s="0" t="n">
        <v>167366</v>
      </c>
      <c r="D154" s="0" t="n">
        <f aca="false">C154/1000</f>
        <v>167.366</v>
      </c>
      <c r="E154" s="92" t="n">
        <f aca="false">D154/60</f>
        <v>2.78943333333333</v>
      </c>
      <c r="G154" s="0" t="s">
        <v>49</v>
      </c>
      <c r="H154" s="0" t="n">
        <v>10</v>
      </c>
      <c r="I154" s="0" t="n">
        <v>159925</v>
      </c>
      <c r="J154" s="0" t="n">
        <f aca="false">I154/1000</f>
        <v>159.925</v>
      </c>
      <c r="P154" s="0" t="s">
        <v>49</v>
      </c>
      <c r="Q154" s="0" t="n">
        <v>10</v>
      </c>
      <c r="R154" s="0" t="n">
        <v>4267600</v>
      </c>
      <c r="S154" s="0" t="n">
        <f aca="false">R154/1000</f>
        <v>4267.6</v>
      </c>
    </row>
    <row r="155" customFormat="false" ht="12.8" hidden="false" customHeight="false" outlineLevel="0" collapsed="false">
      <c r="A155" s="0" t="s">
        <v>49</v>
      </c>
      <c r="B155" s="0" t="n">
        <v>15</v>
      </c>
      <c r="C155" s="0" t="n">
        <v>385667</v>
      </c>
      <c r="D155" s="0" t="n">
        <f aca="false">C155/1000</f>
        <v>385.667</v>
      </c>
      <c r="E155" s="92" t="n">
        <f aca="false">D155/60</f>
        <v>6.42778333333333</v>
      </c>
      <c r="G155" s="0" t="s">
        <v>49</v>
      </c>
      <c r="H155" s="0" t="n">
        <v>15</v>
      </c>
      <c r="I155" s="0" t="n">
        <v>171986</v>
      </c>
      <c r="J155" s="0" t="n">
        <f aca="false">I155/1000</f>
        <v>171.986</v>
      </c>
      <c r="P155" s="0" t="s">
        <v>49</v>
      </c>
      <c r="Q155" s="0" t="n">
        <v>15</v>
      </c>
      <c r="R155" s="0" t="n">
        <v>6102880</v>
      </c>
      <c r="S155" s="0" t="n">
        <f aca="false">R155/1000</f>
        <v>6102.88</v>
      </c>
    </row>
    <row r="156" customFormat="false" ht="12.8" hidden="false" customHeight="false" outlineLevel="0" collapsed="false">
      <c r="A156" s="0" t="s">
        <v>49</v>
      </c>
      <c r="B156" s="0" t="n">
        <v>20</v>
      </c>
      <c r="C156" s="0" t="n">
        <v>597544</v>
      </c>
      <c r="D156" s="0" t="n">
        <f aca="false">C156/1000</f>
        <v>597.544</v>
      </c>
      <c r="E156" s="92" t="n">
        <f aca="false">D156/60</f>
        <v>9.95906666666667</v>
      </c>
      <c r="G156" s="0" t="s">
        <v>49</v>
      </c>
      <c r="H156" s="0" t="n">
        <v>20</v>
      </c>
      <c r="I156" s="0" t="n">
        <v>210331</v>
      </c>
      <c r="J156" s="0" t="n">
        <f aca="false">I156/1000</f>
        <v>210.331</v>
      </c>
      <c r="P156" s="0" t="s">
        <v>49</v>
      </c>
      <c r="Q156" s="0" t="n">
        <v>20</v>
      </c>
      <c r="R156" s="0" t="n">
        <v>4626960</v>
      </c>
      <c r="S156" s="0" t="n">
        <f aca="false">R156/1000</f>
        <v>4626.96</v>
      </c>
    </row>
    <row r="157" customFormat="false" ht="12.8" hidden="false" customHeight="false" outlineLevel="0" collapsed="false">
      <c r="A157" s="0" t="s">
        <v>49</v>
      </c>
      <c r="B157" s="0" t="n">
        <v>30</v>
      </c>
      <c r="C157" s="0" t="n">
        <v>1032250</v>
      </c>
      <c r="D157" s="0" t="n">
        <f aca="false">C157/1000</f>
        <v>1032.25</v>
      </c>
      <c r="E157" s="92" t="n">
        <f aca="false">D157/60</f>
        <v>17.2041666666667</v>
      </c>
      <c r="G157" s="0" t="s">
        <v>49</v>
      </c>
      <c r="H157" s="0" t="n">
        <v>30</v>
      </c>
      <c r="I157" s="0" t="n">
        <v>210215</v>
      </c>
      <c r="J157" s="0" t="n">
        <f aca="false">I157/1000</f>
        <v>210.215</v>
      </c>
      <c r="P157" s="0" t="s">
        <v>49</v>
      </c>
      <c r="Q157" s="0" t="n">
        <v>30</v>
      </c>
      <c r="R157" s="0" t="n">
        <v>4917680</v>
      </c>
      <c r="S157" s="0" t="n">
        <f aca="false">R157/1000</f>
        <v>4917.68</v>
      </c>
    </row>
    <row r="158" customFormat="false" ht="12.8" hidden="false" customHeight="false" outlineLevel="0" collapsed="false">
      <c r="A158" s="0" t="s">
        <v>49</v>
      </c>
      <c r="B158" s="0" t="n">
        <v>40</v>
      </c>
      <c r="C158" s="0" t="n">
        <v>1685760</v>
      </c>
      <c r="D158" s="0" t="n">
        <f aca="false">C158/1000</f>
        <v>1685.76</v>
      </c>
      <c r="E158" s="92" t="n">
        <f aca="false">D158/60</f>
        <v>28.096</v>
      </c>
      <c r="G158" s="0" t="s">
        <v>49</v>
      </c>
      <c r="H158" s="0" t="n">
        <v>40</v>
      </c>
      <c r="I158" s="0" t="n">
        <v>191011</v>
      </c>
      <c r="J158" s="0" t="n">
        <f aca="false">I158/1000</f>
        <v>191.011</v>
      </c>
      <c r="P158" s="0" t="s">
        <v>49</v>
      </c>
      <c r="Q158" s="0" t="n">
        <v>40</v>
      </c>
      <c r="R158" s="0" t="n">
        <v>6788500</v>
      </c>
      <c r="S158" s="0" t="n">
        <f aca="false">R158/1000</f>
        <v>6788.5</v>
      </c>
    </row>
    <row r="159" customFormat="false" ht="12.8" hidden="false" customHeight="false" outlineLevel="0" collapsed="false">
      <c r="A159" s="0" t="s">
        <v>49</v>
      </c>
      <c r="B159" s="0" t="n">
        <v>50</v>
      </c>
      <c r="E159" s="92" t="n">
        <f aca="false">D159/60</f>
        <v>0</v>
      </c>
      <c r="G159" s="0" t="s">
        <v>49</v>
      </c>
      <c r="H159" s="0" t="n">
        <v>50</v>
      </c>
      <c r="I159" s="0" t="n">
        <v>181780</v>
      </c>
      <c r="J159" s="0" t="n">
        <f aca="false">I159/1000</f>
        <v>181.78</v>
      </c>
      <c r="P159" s="0" t="s">
        <v>49</v>
      </c>
      <c r="Q159" s="0" t="n">
        <v>50</v>
      </c>
      <c r="R159" s="0" t="n">
        <v>5855080</v>
      </c>
      <c r="S159" s="0" t="n">
        <f aca="false">R159/1000</f>
        <v>5855.08</v>
      </c>
    </row>
    <row r="160" customFormat="false" ht="12.8" hidden="false" customHeight="false" outlineLevel="0" collapsed="false">
      <c r="A160" s="0" t="s">
        <v>49</v>
      </c>
      <c r="B160" s="0" t="n">
        <v>64</v>
      </c>
      <c r="C160" s="0" t="n">
        <v>3202410</v>
      </c>
      <c r="D160" s="0" t="n">
        <f aca="false">C160/1000</f>
        <v>3202.41</v>
      </c>
      <c r="E160" s="92" t="n">
        <f aca="false">D160/60</f>
        <v>53.3735</v>
      </c>
      <c r="G160" s="0" t="s">
        <v>49</v>
      </c>
      <c r="H160" s="0" t="n">
        <v>64</v>
      </c>
      <c r="I160" s="0" t="n">
        <v>211274</v>
      </c>
      <c r="J160" s="0" t="n">
        <f aca="false">I160/1000</f>
        <v>211.274</v>
      </c>
      <c r="P160" s="0" t="s">
        <v>49</v>
      </c>
      <c r="Q160" s="0" t="n">
        <v>64</v>
      </c>
      <c r="R160" s="0" t="n">
        <v>5217250</v>
      </c>
      <c r="S160" s="0" t="n">
        <f aca="false">R160/1000</f>
        <v>5217.25</v>
      </c>
    </row>
    <row r="161" customFormat="false" ht="12.8" hidden="false" customHeight="false" outlineLevel="0" collapsed="false">
      <c r="A161" s="0" t="s">
        <v>49</v>
      </c>
      <c r="B161" s="0" t="n">
        <v>82</v>
      </c>
      <c r="C161" s="0" t="n">
        <v>4782970</v>
      </c>
      <c r="D161" s="0" t="n">
        <f aca="false">C161/1000</f>
        <v>4782.97</v>
      </c>
      <c r="E161" s="92" t="n">
        <f aca="false">D161/60</f>
        <v>79.7161666666667</v>
      </c>
      <c r="G161" s="0" t="s">
        <v>49</v>
      </c>
      <c r="H161" s="0" t="n">
        <v>82</v>
      </c>
      <c r="I161" s="0" t="n">
        <v>210479</v>
      </c>
      <c r="J161" s="0" t="n">
        <f aca="false">I161/1000</f>
        <v>210.479</v>
      </c>
      <c r="P161" s="0" t="s">
        <v>49</v>
      </c>
      <c r="Q161" s="0" t="n">
        <v>82</v>
      </c>
      <c r="R161" s="0" t="n">
        <v>6063290</v>
      </c>
      <c r="S161" s="0" t="n">
        <f aca="false">R161/1000</f>
        <v>6063.29</v>
      </c>
    </row>
    <row r="162" customFormat="false" ht="12.8" hidden="false" customHeight="false" outlineLevel="0" collapsed="false">
      <c r="A162" s="0" t="s">
        <v>49</v>
      </c>
      <c r="B162" s="0" t="n">
        <v>100</v>
      </c>
      <c r="C162" s="0" t="n">
        <v>5964980</v>
      </c>
      <c r="D162" s="0" t="n">
        <f aca="false">C162/1000</f>
        <v>5964.98</v>
      </c>
      <c r="E162" s="92" t="n">
        <f aca="false">D162/60</f>
        <v>99.4163333333333</v>
      </c>
      <c r="G162" s="0" t="s">
        <v>49</v>
      </c>
      <c r="H162" s="0" t="n">
        <v>100</v>
      </c>
      <c r="I162" s="0" t="n">
        <v>252797</v>
      </c>
      <c r="J162" s="0" t="n">
        <f aca="false">I162/1000</f>
        <v>252.797</v>
      </c>
      <c r="P162" s="0" t="s">
        <v>49</v>
      </c>
      <c r="Q162" s="0" t="n">
        <v>100</v>
      </c>
      <c r="R162" s="0" t="n">
        <v>6232660</v>
      </c>
      <c r="S162" s="0" t="n">
        <f aca="false">R162/1000</f>
        <v>6232.66</v>
      </c>
    </row>
    <row r="163" customFormat="false" ht="12.8" hidden="false" customHeight="false" outlineLevel="0" collapsed="false">
      <c r="A163" s="0" t="s">
        <v>50</v>
      </c>
      <c r="B163" s="0" t="n">
        <v>5</v>
      </c>
      <c r="C163" s="0" t="n">
        <v>10842.3</v>
      </c>
      <c r="D163" s="0" t="n">
        <f aca="false">C163/1000</f>
        <v>10.8423</v>
      </c>
      <c r="E163" s="92" t="n">
        <f aca="false">D163/60</f>
        <v>0.180705</v>
      </c>
      <c r="G163" s="0" t="s">
        <v>50</v>
      </c>
      <c r="H163" s="0" t="n">
        <v>5</v>
      </c>
      <c r="I163" s="0" t="n">
        <v>5250.09</v>
      </c>
      <c r="J163" s="0" t="n">
        <f aca="false">I163/1000</f>
        <v>5.25009</v>
      </c>
      <c r="P163" s="0" t="s">
        <v>50</v>
      </c>
      <c r="Q163" s="0" t="n">
        <v>5</v>
      </c>
      <c r="R163" s="0" t="n">
        <v>379122</v>
      </c>
      <c r="S163" s="0" t="n">
        <f aca="false">R163/1000</f>
        <v>379.122</v>
      </c>
    </row>
    <row r="164" customFormat="false" ht="12.8" hidden="false" customHeight="false" outlineLevel="0" collapsed="false">
      <c r="A164" s="0" t="s">
        <v>50</v>
      </c>
      <c r="B164" s="0" t="n">
        <v>10</v>
      </c>
      <c r="C164" s="0" t="n">
        <v>30454.6</v>
      </c>
      <c r="D164" s="0" t="n">
        <f aca="false">C164/1000</f>
        <v>30.4546</v>
      </c>
      <c r="E164" s="92" t="n">
        <f aca="false">D164/60</f>
        <v>0.507576666666667</v>
      </c>
      <c r="G164" s="0" t="s">
        <v>50</v>
      </c>
      <c r="H164" s="0" t="n">
        <v>10</v>
      </c>
      <c r="I164" s="0" t="n">
        <v>7483.31</v>
      </c>
      <c r="J164" s="0" t="n">
        <f aca="false">I164/1000</f>
        <v>7.48331</v>
      </c>
      <c r="P164" s="0" t="s">
        <v>50</v>
      </c>
      <c r="Q164" s="0" t="n">
        <v>10</v>
      </c>
      <c r="R164" s="0" t="n">
        <v>399393</v>
      </c>
      <c r="S164" s="0" t="n">
        <f aca="false">R164/1000</f>
        <v>399.393</v>
      </c>
    </row>
    <row r="165" customFormat="false" ht="12.8" hidden="false" customHeight="false" outlineLevel="0" collapsed="false">
      <c r="A165" s="0" t="s">
        <v>50</v>
      </c>
      <c r="B165" s="0" t="n">
        <v>15</v>
      </c>
      <c r="C165" s="0" t="n">
        <v>23997.5</v>
      </c>
      <c r="D165" s="0" t="n">
        <f aca="false">C165/1000</f>
        <v>23.9975</v>
      </c>
      <c r="E165" s="92" t="n">
        <f aca="false">D165/60</f>
        <v>0.399958333333333</v>
      </c>
      <c r="G165" s="0" t="s">
        <v>50</v>
      </c>
      <c r="H165" s="0" t="n">
        <v>15</v>
      </c>
      <c r="I165" s="0" t="n">
        <v>8831.59</v>
      </c>
      <c r="J165" s="0" t="n">
        <f aca="false">I165/1000</f>
        <v>8.83159</v>
      </c>
      <c r="P165" s="0" t="s">
        <v>50</v>
      </c>
      <c r="Q165" s="0" t="n">
        <v>15</v>
      </c>
      <c r="R165" s="0" t="n">
        <v>511341</v>
      </c>
      <c r="S165" s="0" t="n">
        <f aca="false">R165/1000</f>
        <v>511.341</v>
      </c>
    </row>
    <row r="166" customFormat="false" ht="12.8" hidden="false" customHeight="false" outlineLevel="0" collapsed="false">
      <c r="A166" s="0" t="s">
        <v>50</v>
      </c>
      <c r="B166" s="0" t="n">
        <v>20</v>
      </c>
      <c r="C166" s="0" t="n">
        <v>49133.4</v>
      </c>
      <c r="D166" s="0" t="n">
        <f aca="false">C166/1000</f>
        <v>49.1334</v>
      </c>
      <c r="E166" s="92" t="n">
        <f aca="false">D166/60</f>
        <v>0.81889</v>
      </c>
      <c r="G166" s="0" t="s">
        <v>50</v>
      </c>
      <c r="H166" s="0" t="n">
        <v>20</v>
      </c>
      <c r="I166" s="0" t="n">
        <v>9632.36</v>
      </c>
      <c r="J166" s="0" t="n">
        <f aca="false">I166/1000</f>
        <v>9.63236</v>
      </c>
      <c r="P166" s="0" t="s">
        <v>50</v>
      </c>
      <c r="Q166" s="0" t="n">
        <v>20</v>
      </c>
      <c r="R166" s="0" t="n">
        <v>506779</v>
      </c>
      <c r="S166" s="0" t="n">
        <f aca="false">R166/1000</f>
        <v>506.779</v>
      </c>
    </row>
    <row r="167" customFormat="false" ht="12.8" hidden="false" customHeight="false" outlineLevel="0" collapsed="false">
      <c r="A167" s="0" t="s">
        <v>50</v>
      </c>
      <c r="B167" s="0" t="n">
        <v>30</v>
      </c>
      <c r="C167" s="0" t="n">
        <v>107327</v>
      </c>
      <c r="D167" s="0" t="n">
        <f aca="false">C167/1000</f>
        <v>107.327</v>
      </c>
      <c r="E167" s="92" t="n">
        <f aca="false">D167/60</f>
        <v>1.78878333333333</v>
      </c>
      <c r="G167" s="0" t="s">
        <v>50</v>
      </c>
      <c r="H167" s="0" t="n">
        <v>30</v>
      </c>
      <c r="I167" s="0" t="n">
        <v>9984.67</v>
      </c>
      <c r="J167" s="0" t="n">
        <f aca="false">I167/1000</f>
        <v>9.98467</v>
      </c>
      <c r="P167" s="0" t="s">
        <v>50</v>
      </c>
      <c r="Q167" s="0" t="n">
        <v>30</v>
      </c>
      <c r="R167" s="0" t="n">
        <v>636593</v>
      </c>
      <c r="S167" s="0" t="n">
        <f aca="false">R167/1000</f>
        <v>636.593</v>
      </c>
    </row>
    <row r="168" customFormat="false" ht="12.8" hidden="false" customHeight="false" outlineLevel="0" collapsed="false">
      <c r="A168" s="0" t="s">
        <v>50</v>
      </c>
      <c r="B168" s="0" t="n">
        <v>40</v>
      </c>
      <c r="C168" s="0" t="n">
        <v>170659</v>
      </c>
      <c r="D168" s="0" t="n">
        <f aca="false">C168/1000</f>
        <v>170.659</v>
      </c>
      <c r="E168" s="92" t="n">
        <f aca="false">D168/60</f>
        <v>2.84431666666667</v>
      </c>
      <c r="G168" s="0" t="s">
        <v>50</v>
      </c>
      <c r="H168" s="0" t="n">
        <v>40</v>
      </c>
      <c r="I168" s="0" t="n">
        <v>11676.8</v>
      </c>
      <c r="J168" s="0" t="n">
        <f aca="false">I168/1000</f>
        <v>11.6768</v>
      </c>
      <c r="P168" s="0" t="s">
        <v>50</v>
      </c>
      <c r="Q168" s="0" t="n">
        <v>40</v>
      </c>
      <c r="R168" s="0" t="n">
        <v>700409</v>
      </c>
      <c r="S168" s="0" t="n">
        <f aca="false">R168/1000</f>
        <v>700.409</v>
      </c>
    </row>
    <row r="169" customFormat="false" ht="12.8" hidden="false" customHeight="false" outlineLevel="0" collapsed="false">
      <c r="A169" s="0" t="s">
        <v>50</v>
      </c>
      <c r="B169" s="0" t="n">
        <v>50</v>
      </c>
      <c r="C169" s="0" t="n">
        <v>241100</v>
      </c>
      <c r="D169" s="0" t="n">
        <f aca="false">C169/1000</f>
        <v>241.1</v>
      </c>
      <c r="E169" s="92" t="n">
        <f aca="false">D169/60</f>
        <v>4.01833333333333</v>
      </c>
      <c r="G169" s="0" t="s">
        <v>50</v>
      </c>
      <c r="H169" s="0" t="n">
        <v>50</v>
      </c>
      <c r="I169" s="0" t="n">
        <v>10952</v>
      </c>
      <c r="J169" s="0" t="n">
        <f aca="false">I169/1000</f>
        <v>10.952</v>
      </c>
      <c r="P169" s="0" t="s">
        <v>50</v>
      </c>
      <c r="Q169" s="0" t="n">
        <v>50</v>
      </c>
      <c r="R169" s="0" t="n">
        <v>758665</v>
      </c>
      <c r="S169" s="0" t="n">
        <f aca="false">R169/1000</f>
        <v>758.665</v>
      </c>
    </row>
    <row r="170" customFormat="false" ht="12.8" hidden="false" customHeight="false" outlineLevel="0" collapsed="false">
      <c r="A170" s="0" t="s">
        <v>50</v>
      </c>
      <c r="B170" s="0" t="n">
        <v>64</v>
      </c>
      <c r="C170" s="0" t="n">
        <v>344334</v>
      </c>
      <c r="D170" s="0" t="n">
        <f aca="false">C170/1000</f>
        <v>344.334</v>
      </c>
      <c r="E170" s="92" t="n">
        <f aca="false">D170/60</f>
        <v>5.7389</v>
      </c>
      <c r="G170" s="0" t="s">
        <v>50</v>
      </c>
      <c r="H170" s="0" t="n">
        <v>64</v>
      </c>
      <c r="I170" s="0" t="n">
        <v>14061.1</v>
      </c>
      <c r="J170" s="0" t="n">
        <f aca="false">I170/1000</f>
        <v>14.0611</v>
      </c>
      <c r="P170" s="0" t="s">
        <v>50</v>
      </c>
      <c r="Q170" s="0" t="n">
        <v>64</v>
      </c>
      <c r="R170" s="0" t="n">
        <v>621409</v>
      </c>
      <c r="S170" s="0" t="n">
        <f aca="false">R170/1000</f>
        <v>621.409</v>
      </c>
    </row>
    <row r="171" customFormat="false" ht="12.8" hidden="false" customHeight="false" outlineLevel="0" collapsed="false">
      <c r="A171" s="0" t="s">
        <v>50</v>
      </c>
      <c r="B171" s="0" t="n">
        <v>82</v>
      </c>
      <c r="C171" s="0" t="n">
        <v>532530</v>
      </c>
      <c r="D171" s="0" t="n">
        <f aca="false">C171/1000</f>
        <v>532.53</v>
      </c>
      <c r="E171" s="92" t="n">
        <f aca="false">D171/60</f>
        <v>8.8755</v>
      </c>
      <c r="G171" s="0" t="s">
        <v>50</v>
      </c>
      <c r="H171" s="0" t="n">
        <v>82</v>
      </c>
      <c r="I171" s="0" t="n">
        <v>12606.8</v>
      </c>
      <c r="J171" s="0" t="n">
        <f aca="false">I171/1000</f>
        <v>12.6068</v>
      </c>
      <c r="P171" s="0" t="s">
        <v>50</v>
      </c>
      <c r="Q171" s="0" t="n">
        <v>82</v>
      </c>
      <c r="R171" s="0" t="n">
        <v>641236</v>
      </c>
      <c r="S171" s="0" t="n">
        <f aca="false">R171/1000</f>
        <v>641.236</v>
      </c>
    </row>
    <row r="172" customFormat="false" ht="12.8" hidden="false" customHeight="false" outlineLevel="0" collapsed="false">
      <c r="A172" s="0" t="s">
        <v>50</v>
      </c>
      <c r="B172" s="0" t="n">
        <v>100</v>
      </c>
      <c r="C172" s="0" t="n">
        <v>665002</v>
      </c>
      <c r="D172" s="0" t="n">
        <f aca="false">C172/1000</f>
        <v>665.002</v>
      </c>
      <c r="E172" s="92" t="n">
        <f aca="false">D172/60</f>
        <v>11.0833666666667</v>
      </c>
      <c r="G172" s="0" t="s">
        <v>50</v>
      </c>
      <c r="H172" s="0" t="n">
        <v>100</v>
      </c>
      <c r="I172" s="0" t="n">
        <v>18121.1</v>
      </c>
      <c r="J172" s="0" t="n">
        <f aca="false">I172/1000</f>
        <v>18.1211</v>
      </c>
      <c r="P172" s="0" t="s">
        <v>50</v>
      </c>
      <c r="Q172" s="0" t="n">
        <v>100</v>
      </c>
      <c r="R172" s="0" t="n">
        <v>783248</v>
      </c>
      <c r="S172" s="0" t="n">
        <f aca="false">R172/1000</f>
        <v>783.248</v>
      </c>
    </row>
  </sheetData>
  <mergeCells count="4">
    <mergeCell ref="A1:D1"/>
    <mergeCell ref="G1:J1"/>
    <mergeCell ref="L1:N1"/>
    <mergeCell ref="P1:S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23046875" defaultRowHeight="12.8" customHeight="false" zeroHeight="false" outlineLevelRow="0" outlineLevelCol="0"/>
  <sheetData>
    <row r="1" customFormat="false" ht="12.8" hidden="false" customHeight="false" outlineLevel="0" collapsed="false">
      <c r="A1" s="44" t="s">
        <v>87</v>
      </c>
      <c r="B1" s="44" t="s">
        <v>88</v>
      </c>
      <c r="C1" s="44" t="s">
        <v>89</v>
      </c>
    </row>
    <row r="2" customFormat="false" ht="12.8" hidden="false" customHeight="false" outlineLevel="0" collapsed="false">
      <c r="A2" s="0" t="n">
        <v>1</v>
      </c>
      <c r="B2" s="0" t="n">
        <v>0</v>
      </c>
      <c r="C2" s="0" t="n">
        <v>0</v>
      </c>
    </row>
    <row r="3" customFormat="false" ht="12.8" hidden="false" customHeight="false" outlineLevel="0" collapsed="false">
      <c r="A3" s="0" t="n">
        <v>2</v>
      </c>
      <c r="B3" s="23" t="n">
        <v>1</v>
      </c>
      <c r="C3" s="67" t="n">
        <v>12.706</v>
      </c>
    </row>
    <row r="4" customFormat="false" ht="12.8" hidden="false" customHeight="false" outlineLevel="0" collapsed="false">
      <c r="A4" s="0" t="n">
        <v>3</v>
      </c>
      <c r="B4" s="0" t="n">
        <v>2</v>
      </c>
      <c r="C4" s="16" t="n">
        <v>4.303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1123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2026-06-20T02:28:31Z</dcterms:modified>
  <cp:revision>27</cp:revision>
  <dc:subject/>
  <dc:title/>
</cp:coreProperties>
</file>